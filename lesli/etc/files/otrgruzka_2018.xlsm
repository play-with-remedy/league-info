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5" yWindow="33315" windowWidth="10245" windowHeight="1185" tabRatio="604"/>
  </bookViews>
  <sheets>
    <sheet name="отгрузка" sheetId="10" r:id="rId1"/>
    <sheet name="Лист1" sheetId="12" r:id="rId2"/>
  </sheets>
  <definedNames>
    <definedName name="_xlnm._FilterDatabase" localSheetId="0" hidden="1">отгрузка!$A$1:$IZ$611</definedName>
    <definedName name="Z_B41285D4_7F16_4BC3_8288_DCA0600ADAEA_.wvu.Cols" localSheetId="0" hidden="1">отгрузка!$C:$IX,отгрузка!#REF!</definedName>
    <definedName name="Z_B41285D4_7F16_4BC3_8288_DCA0600ADAEA_.wvu.FilterData" localSheetId="0" hidden="1">отгрузка!$A$1:$IZ$611</definedName>
    <definedName name="Z_B41285D4_7F16_4BC3_8288_DCA0600ADAEA_.wvu.PrintArea" localSheetId="0" hidden="1">отгрузка!$A$1:$IZ$647</definedName>
    <definedName name="_xlnm.Print_Area" localSheetId="0">отгрузка!$A$1:$IZ$647</definedName>
  </definedNames>
  <calcPr calcId="144525"/>
  <customWorkbookViews>
    <customWorkbookView name="Lesli2 - Личное представление" guid="{B41285D4-7F16-4BC3-8288-DCA0600ADAEA}" mergeInterval="0" personalView="1" maximized="1" windowWidth="1596" windowHeight="675" tabRatio="604" activeSheetId="10"/>
  </customWorkbookViews>
</workbook>
</file>

<file path=xl/calcChain.xml><?xml version="1.0" encoding="utf-8"?>
<calcChain xmlns="http://schemas.openxmlformats.org/spreadsheetml/2006/main">
  <c r="IY416" i="10" l="1"/>
  <c r="IY609" i="10" l="1"/>
  <c r="IY608" i="10"/>
  <c r="IY607" i="10" l="1"/>
  <c r="IY606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BU610" i="10"/>
  <c r="BV610" i="10"/>
  <c r="BW610" i="10"/>
  <c r="BX610" i="10"/>
  <c r="BY610" i="10"/>
  <c r="BZ610" i="10"/>
  <c r="CA610" i="10"/>
  <c r="CB610" i="10"/>
  <c r="CC610" i="10"/>
  <c r="CD610" i="10"/>
  <c r="CE610" i="10"/>
  <c r="CF610" i="10"/>
  <c r="CG610" i="10"/>
  <c r="CH610" i="10"/>
  <c r="CI610" i="10"/>
  <c r="CJ610" i="10"/>
  <c r="CK610" i="10"/>
  <c r="CL610" i="10"/>
  <c r="CM610" i="10"/>
  <c r="CN610" i="10"/>
  <c r="CO610" i="10"/>
  <c r="CP610" i="10"/>
  <c r="CQ610" i="10"/>
  <c r="CR610" i="10"/>
  <c r="CS610" i="10"/>
  <c r="CT610" i="10"/>
  <c r="CU610" i="10"/>
  <c r="CV610" i="10"/>
  <c r="CW610" i="10"/>
  <c r="CX610" i="10"/>
  <c r="CY610" i="10"/>
  <c r="CZ610" i="10"/>
  <c r="DA610" i="10"/>
  <c r="DB610" i="10"/>
  <c r="DC610" i="10"/>
  <c r="DD610" i="10"/>
  <c r="DE610" i="10"/>
  <c r="DF610" i="10"/>
  <c r="DG610" i="10"/>
  <c r="DH610" i="10"/>
  <c r="DI610" i="10"/>
  <c r="DJ610" i="10"/>
  <c r="DK610" i="10"/>
  <c r="DL610" i="10"/>
  <c r="DM610" i="10"/>
  <c r="DN610" i="10"/>
  <c r="DO610" i="10"/>
  <c r="DP610" i="10"/>
  <c r="DQ610" i="10"/>
  <c r="DR610" i="10"/>
  <c r="DS610" i="10"/>
  <c r="DT610" i="10"/>
  <c r="DU610" i="10"/>
  <c r="DV610" i="10"/>
  <c r="DW610" i="10"/>
  <c r="DX610" i="10"/>
  <c r="DY610" i="10"/>
  <c r="DZ610" i="10"/>
  <c r="EA610" i="10"/>
  <c r="EB610" i="10"/>
  <c r="EC610" i="10"/>
  <c r="ED610" i="10"/>
  <c r="EE610" i="10"/>
  <c r="EF610" i="10"/>
  <c r="EG610" i="10"/>
  <c r="EH610" i="10"/>
  <c r="EI610" i="10"/>
  <c r="EJ610" i="10"/>
  <c r="EK610" i="10"/>
  <c r="EL610" i="10"/>
  <c r="EM610" i="10"/>
  <c r="EN610" i="10"/>
  <c r="EO610" i="10"/>
  <c r="EP610" i="10"/>
  <c r="EQ610" i="10"/>
  <c r="ER610" i="10"/>
  <c r="ES610" i="10"/>
  <c r="ET610" i="10"/>
  <c r="EU610" i="10"/>
  <c r="EV610" i="10"/>
  <c r="EW610" i="10"/>
  <c r="EX610" i="10"/>
  <c r="EY610" i="10"/>
  <c r="EZ610" i="10"/>
  <c r="FA610" i="10"/>
  <c r="FB610" i="10"/>
  <c r="FC610" i="10"/>
  <c r="FD610" i="10"/>
  <c r="FE610" i="10"/>
  <c r="FF610" i="10"/>
  <c r="FG610" i="10"/>
  <c r="FH610" i="10"/>
  <c r="FI610" i="10"/>
  <c r="FJ610" i="10"/>
  <c r="FK610" i="10"/>
  <c r="FL610" i="10"/>
  <c r="FM610" i="10"/>
  <c r="FN610" i="10"/>
  <c r="FO610" i="10"/>
  <c r="FP610" i="10"/>
  <c r="FQ610" i="10"/>
  <c r="FR610" i="10"/>
  <c r="FS610" i="10"/>
  <c r="FT610" i="10"/>
  <c r="FU610" i="10"/>
  <c r="FV610" i="10"/>
  <c r="FW610" i="10"/>
  <c r="FX610" i="10"/>
  <c r="FY610" i="10"/>
  <c r="FZ610" i="10"/>
  <c r="GA610" i="10"/>
  <c r="GB610" i="10"/>
  <c r="GC610" i="10"/>
  <c r="GD610" i="10"/>
  <c r="GE610" i="10"/>
  <c r="GF610" i="10"/>
  <c r="GG610" i="10"/>
  <c r="GH610" i="10"/>
  <c r="GI610" i="10"/>
  <c r="GJ610" i="10"/>
  <c r="GK610" i="10"/>
  <c r="GL610" i="10"/>
  <c r="GM610" i="10"/>
  <c r="GN610" i="10"/>
  <c r="GO610" i="10"/>
  <c r="GP610" i="10"/>
  <c r="GQ610" i="10"/>
  <c r="GR610" i="10"/>
  <c r="GS610" i="10"/>
  <c r="GT610" i="10"/>
  <c r="GU610" i="10"/>
  <c r="GV610" i="10"/>
  <c r="GW610" i="10"/>
  <c r="GX610" i="10"/>
  <c r="GY610" i="10"/>
  <c r="GZ610" i="10"/>
  <c r="HA610" i="10"/>
  <c r="HB610" i="10"/>
  <c r="HC610" i="10"/>
  <c r="HD610" i="10"/>
  <c r="HE610" i="10"/>
  <c r="HF610" i="10"/>
  <c r="HG610" i="10"/>
  <c r="HH610" i="10"/>
  <c r="HI610" i="10"/>
  <c r="HJ610" i="10"/>
  <c r="HK610" i="10"/>
  <c r="HL610" i="10"/>
  <c r="HM610" i="10"/>
  <c r="HN610" i="10"/>
  <c r="HO610" i="10"/>
  <c r="HP610" i="10"/>
  <c r="HQ610" i="10"/>
  <c r="HR610" i="10"/>
  <c r="HS610" i="10"/>
  <c r="HT610" i="10"/>
  <c r="HU610" i="10"/>
  <c r="HV610" i="10"/>
  <c r="HW610" i="10"/>
  <c r="HX610" i="10"/>
  <c r="HY610" i="10"/>
  <c r="HZ610" i="10"/>
  <c r="IA610" i="10"/>
  <c r="IB610" i="10"/>
  <c r="IC610" i="10"/>
  <c r="ID610" i="10"/>
  <c r="IE610" i="10"/>
  <c r="IF610" i="10"/>
  <c r="IG610" i="10"/>
  <c r="IH610" i="10"/>
  <c r="II610" i="10"/>
  <c r="IJ610" i="10"/>
  <c r="IK610" i="10"/>
  <c r="IL610" i="10"/>
  <c r="IM610" i="10"/>
  <c r="IN610" i="10"/>
  <c r="IO610" i="10"/>
  <c r="IP610" i="10"/>
  <c r="IQ610" i="10"/>
  <c r="IR610" i="10"/>
  <c r="IS610" i="10"/>
  <c r="IT610" i="10"/>
  <c r="IU610" i="10"/>
  <c r="IV610" i="10"/>
  <c r="IW610" i="10"/>
  <c r="IX610" i="10"/>
  <c r="C610" i="10"/>
  <c r="IY605" i="10"/>
  <c r="IY604" i="10"/>
  <c r="IY603" i="10"/>
  <c r="IY602" i="10"/>
  <c r="IY601" i="10"/>
  <c r="IY600" i="10"/>
  <c r="IY599" i="10"/>
  <c r="IY598" i="10" l="1"/>
  <c r="IY597" i="10"/>
  <c r="IY596" i="10" l="1"/>
  <c r="IY595" i="10"/>
  <c r="IY594" i="10"/>
  <c r="IY593" i="10" l="1"/>
  <c r="IY592" i="10"/>
  <c r="IY591" i="10"/>
  <c r="IY590" i="10"/>
  <c r="IY589" i="10" l="1"/>
  <c r="IY588" i="10"/>
  <c r="IY587" i="10"/>
  <c r="IY586" i="10" l="1"/>
  <c r="IY585" i="10"/>
  <c r="IY584" i="10"/>
  <c r="IY583" i="10" l="1"/>
  <c r="IY582" i="10" l="1"/>
  <c r="IY581" i="10"/>
  <c r="IY580" i="10"/>
  <c r="IY579" i="10"/>
  <c r="IY578" i="10"/>
  <c r="IY575" i="10" l="1"/>
  <c r="IY576" i="10"/>
  <c r="IY577" i="10"/>
  <c r="IY574" i="10" l="1"/>
  <c r="IY573" i="10"/>
  <c r="IY572" i="10" l="1"/>
  <c r="IY571" i="10"/>
  <c r="IY570" i="10" l="1"/>
  <c r="IY569" i="10"/>
  <c r="IY568" i="10"/>
  <c r="IY567" i="10" l="1"/>
  <c r="IY566" i="10"/>
  <c r="IY565" i="10"/>
  <c r="IY564" i="10" l="1"/>
  <c r="IY563" i="10"/>
  <c r="IY562" i="10"/>
  <c r="IY561" i="10" l="1"/>
  <c r="IY560" i="10"/>
  <c r="IY559" i="10"/>
  <c r="IY558" i="10"/>
  <c r="IY557" i="10" l="1"/>
  <c r="IY556" i="10" l="1"/>
  <c r="IY555" i="10"/>
  <c r="IY554" i="10" l="1"/>
  <c r="IY553" i="10" l="1"/>
  <c r="IY552" i="10"/>
  <c r="IY551" i="10"/>
  <c r="IY550" i="10"/>
  <c r="IY549" i="10" l="1"/>
  <c r="IY548" i="10" l="1"/>
  <c r="IY547" i="10"/>
  <c r="IY546" i="10" l="1"/>
  <c r="IY545" i="10" l="1"/>
  <c r="IY544" i="10" l="1"/>
  <c r="IY543" i="10" l="1"/>
  <c r="IY542" i="10"/>
  <c r="IY541" i="10"/>
  <c r="IY540" i="10"/>
  <c r="IY534" i="10" l="1"/>
  <c r="IY535" i="10"/>
  <c r="IY536" i="10"/>
  <c r="IY537" i="10"/>
  <c r="IY538" i="10"/>
  <c r="IY539" i="10"/>
  <c r="IY533" i="10" l="1"/>
  <c r="IY532" i="10"/>
  <c r="IY531" i="10"/>
  <c r="IY530" i="10" l="1"/>
  <c r="IY529" i="10"/>
  <c r="IY528" i="10"/>
  <c r="IY527" i="10" l="1"/>
  <c r="IY526" i="10"/>
  <c r="IY525" i="10"/>
  <c r="IY524" i="10"/>
  <c r="IY523" i="10"/>
  <c r="IY522" i="10"/>
  <c r="IY521" i="10" l="1"/>
  <c r="IY520" i="10" l="1"/>
  <c r="IY519" i="10" l="1"/>
  <c r="IY518" i="10" l="1"/>
  <c r="IY517" i="10" l="1"/>
  <c r="IY516" i="10" l="1"/>
  <c r="IY515" i="10"/>
  <c r="IY514" i="10"/>
  <c r="IY513" i="10"/>
  <c r="IY512" i="10"/>
  <c r="IY511" i="10"/>
  <c r="IY510" i="10"/>
  <c r="IY509" i="10" l="1"/>
  <c r="IY508" i="10" l="1"/>
  <c r="IY507" i="10"/>
  <c r="IY506" i="10"/>
  <c r="IY505" i="10"/>
  <c r="IY504" i="10" l="1"/>
  <c r="IY503" i="10" l="1"/>
  <c r="IY502" i="10"/>
  <c r="IY501" i="10"/>
  <c r="IY500" i="10"/>
  <c r="IY499" i="10"/>
  <c r="IY498" i="10"/>
  <c r="IY497" i="10"/>
  <c r="IY496" i="10"/>
  <c r="IY495" i="10" l="1"/>
  <c r="IY494" i="10"/>
  <c r="IY493" i="10" l="1"/>
  <c r="IY492" i="10" l="1"/>
  <c r="IY491" i="10"/>
  <c r="IY490" i="10"/>
  <c r="IY489" i="10"/>
  <c r="IY488" i="10"/>
  <c r="IY487" i="10" l="1"/>
  <c r="IY486" i="10"/>
  <c r="IY485" i="10" l="1"/>
  <c r="IY484" i="10"/>
  <c r="IY483" i="10"/>
  <c r="IY482" i="10"/>
  <c r="IY481" i="10" l="1"/>
  <c r="IY480" i="10"/>
  <c r="IY479" i="10"/>
  <c r="IY478" i="10" l="1"/>
  <c r="IY477" i="10"/>
  <c r="IY476" i="10"/>
  <c r="IY475" i="10"/>
  <c r="IY474" i="10" l="1"/>
  <c r="IY473" i="10" l="1"/>
  <c r="IY472" i="10" l="1"/>
  <c r="IY471" i="10"/>
  <c r="IY470" i="10" l="1"/>
  <c r="IY469" i="10" l="1"/>
  <c r="IY468" i="10"/>
  <c r="IY467" i="10" l="1"/>
  <c r="IY466" i="10" l="1"/>
  <c r="IY465" i="10"/>
  <c r="IY464" i="10"/>
  <c r="IY463" i="10"/>
  <c r="IY462" i="10" l="1"/>
  <c r="IY461" i="10" l="1"/>
  <c r="IY460" i="10" l="1"/>
  <c r="IY459" i="10" l="1"/>
  <c r="IY458" i="10" l="1"/>
  <c r="IY457" i="10"/>
  <c r="IY456" i="10"/>
  <c r="IY455" i="10" l="1"/>
  <c r="IY454" i="10"/>
  <c r="IY453" i="10" l="1"/>
  <c r="IY452" i="10"/>
  <c r="IY451" i="10" l="1"/>
  <c r="IY450" i="10" l="1"/>
  <c r="IY449" i="10"/>
  <c r="IY448" i="10"/>
  <c r="IY447" i="10" l="1"/>
  <c r="IY446" i="10" l="1"/>
  <c r="IY445" i="10"/>
  <c r="IY444" i="10" l="1"/>
  <c r="IY443" i="10"/>
  <c r="IY442" i="10"/>
  <c r="IY441" i="10" l="1"/>
  <c r="IY440" i="10" l="1"/>
  <c r="IY439" i="10"/>
  <c r="IY438" i="10" l="1"/>
  <c r="IY437" i="10"/>
  <c r="IY436" i="10"/>
  <c r="IY435" i="10" l="1"/>
  <c r="IY434" i="10"/>
  <c r="IY433" i="10" l="1"/>
  <c r="IY432" i="10"/>
  <c r="IY431" i="10"/>
  <c r="IY430" i="10"/>
  <c r="IY429" i="10" l="1"/>
  <c r="IY428" i="10" l="1"/>
  <c r="IY427" i="10"/>
  <c r="IY426" i="10"/>
  <c r="IY425" i="10"/>
  <c r="IY424" i="10"/>
  <c r="IY423" i="10"/>
  <c r="IY422" i="10" l="1"/>
  <c r="IY421" i="10"/>
  <c r="IY420" i="10"/>
  <c r="IY419" i="10" l="1"/>
  <c r="IY418" i="10"/>
  <c r="IY417" i="10"/>
  <c r="IY415" i="10" l="1"/>
  <c r="IY414" i="10"/>
  <c r="IY413" i="10" l="1"/>
  <c r="IY412" i="10" l="1"/>
  <c r="IY411" i="10" l="1"/>
  <c r="IY410" i="10"/>
  <c r="IY409" i="10" l="1"/>
  <c r="IY408" i="10" l="1"/>
  <c r="IY407" i="10" l="1"/>
  <c r="IY406" i="10" l="1"/>
  <c r="IY405" i="10"/>
  <c r="IY404" i="10"/>
  <c r="IY403" i="10"/>
  <c r="IY402" i="10"/>
  <c r="IY401" i="10"/>
  <c r="IY400" i="10"/>
  <c r="IY399" i="10"/>
  <c r="IY398" i="10"/>
  <c r="IY397" i="10"/>
  <c r="IY396" i="10"/>
  <c r="IY395" i="10"/>
  <c r="IY394" i="10"/>
  <c r="IY393" i="10"/>
  <c r="IY392" i="10"/>
  <c r="IY391" i="10"/>
  <c r="IY390" i="10"/>
  <c r="IY389" i="10"/>
  <c r="IY388" i="10"/>
  <c r="IY387" i="10"/>
  <c r="IY386" i="10"/>
  <c r="IY385" i="10"/>
  <c r="IY384" i="10"/>
  <c r="IY383" i="10"/>
  <c r="IY382" i="10"/>
  <c r="IY381" i="10"/>
  <c r="IY380" i="10"/>
  <c r="IY379" i="10"/>
  <c r="IY378" i="10"/>
  <c r="IY377" i="10"/>
  <c r="IY376" i="10"/>
  <c r="IY375" i="10"/>
  <c r="IY374" i="10"/>
  <c r="IY373" i="10"/>
  <c r="IY372" i="10"/>
  <c r="IY371" i="10"/>
  <c r="IY370" i="10"/>
  <c r="IY369" i="10"/>
  <c r="IY368" i="10"/>
  <c r="IY367" i="10"/>
  <c r="IY366" i="10"/>
  <c r="IY365" i="10"/>
  <c r="IY364" i="10"/>
  <c r="IY363" i="10"/>
  <c r="IY362" i="10"/>
  <c r="IY361" i="10"/>
  <c r="IY360" i="10"/>
  <c r="IY359" i="10"/>
  <c r="IY358" i="10"/>
  <c r="IY357" i="10"/>
  <c r="IY356" i="10"/>
  <c r="IY355" i="10"/>
  <c r="IY354" i="10"/>
  <c r="IY353" i="10"/>
  <c r="IY352" i="10"/>
  <c r="IY351" i="10"/>
  <c r="IY350" i="10"/>
  <c r="IY349" i="10"/>
  <c r="IY348" i="10"/>
  <c r="IY347" i="10"/>
  <c r="IY346" i="10"/>
  <c r="IY345" i="10"/>
  <c r="IY344" i="10"/>
  <c r="IY343" i="10"/>
  <c r="IY342" i="10"/>
  <c r="IY341" i="10"/>
  <c r="IY340" i="10"/>
  <c r="IY339" i="10"/>
  <c r="IY338" i="10"/>
  <c r="IY337" i="10"/>
  <c r="IY336" i="10"/>
  <c r="IY335" i="10"/>
  <c r="IY334" i="10"/>
  <c r="IY333" i="10"/>
  <c r="IY332" i="10"/>
  <c r="IY331" i="10"/>
  <c r="IY330" i="10"/>
  <c r="IY329" i="10"/>
  <c r="IY328" i="10"/>
  <c r="IY327" i="10"/>
  <c r="IY326" i="10"/>
  <c r="IY325" i="10"/>
  <c r="IY324" i="10"/>
  <c r="IY323" i="10"/>
  <c r="IY322" i="10"/>
  <c r="IY321" i="10"/>
  <c r="IY320" i="10"/>
  <c r="IY319" i="10"/>
  <c r="IY318" i="10"/>
  <c r="IY317" i="10"/>
  <c r="IY316" i="10"/>
  <c r="IY315" i="10"/>
  <c r="IY314" i="10"/>
  <c r="IY313" i="10"/>
  <c r="IY312" i="10"/>
  <c r="IY311" i="10"/>
  <c r="IY310" i="10"/>
  <c r="IY309" i="10"/>
  <c r="IY308" i="10"/>
  <c r="IY307" i="10"/>
  <c r="IY306" i="10"/>
  <c r="IY305" i="10"/>
  <c r="IY304" i="10"/>
  <c r="IY303" i="10"/>
  <c r="IY302" i="10"/>
  <c r="IY301" i="10"/>
  <c r="IY300" i="10"/>
  <c r="IY299" i="10"/>
  <c r="IY298" i="10"/>
  <c r="IY297" i="10"/>
  <c r="IY296" i="10"/>
  <c r="IY295" i="10"/>
  <c r="IY294" i="10"/>
  <c r="IY293" i="10"/>
  <c r="IY292" i="10"/>
  <c r="IY291" i="10"/>
  <c r="IY290" i="10"/>
  <c r="IY289" i="10"/>
  <c r="IY288" i="10"/>
  <c r="IY287" i="10"/>
  <c r="IY286" i="10"/>
  <c r="IY285" i="10"/>
  <c r="IY284" i="10"/>
  <c r="IY283" i="10"/>
  <c r="IY282" i="10"/>
  <c r="IY281" i="10"/>
  <c r="IY280" i="10"/>
  <c r="IY279" i="10"/>
  <c r="IY278" i="10"/>
  <c r="IY277" i="10"/>
  <c r="IY276" i="10"/>
  <c r="IY275" i="10"/>
  <c r="IY274" i="10"/>
  <c r="IY273" i="10"/>
  <c r="IY272" i="10"/>
  <c r="IY271" i="10"/>
  <c r="IY270" i="10"/>
  <c r="IY269" i="10"/>
  <c r="IY268" i="10"/>
  <c r="IY267" i="10"/>
  <c r="IY266" i="10"/>
  <c r="IY265" i="10"/>
  <c r="IY264" i="10"/>
  <c r="IY263" i="10"/>
  <c r="IY262" i="10"/>
  <c r="IY261" i="10"/>
  <c r="IY260" i="10"/>
  <c r="IY259" i="10"/>
  <c r="IY258" i="10"/>
  <c r="IY257" i="10"/>
  <c r="IY256" i="10"/>
  <c r="IY255" i="10"/>
  <c r="IY254" i="10"/>
  <c r="IY253" i="10"/>
  <c r="IY252" i="10"/>
  <c r="IY251" i="10"/>
  <c r="IY250" i="10"/>
  <c r="IY249" i="10"/>
  <c r="IY248" i="10"/>
  <c r="IY247" i="10"/>
  <c r="IY246" i="10"/>
  <c r="IY245" i="10"/>
  <c r="IY244" i="10"/>
  <c r="IY243" i="10"/>
  <c r="IY242" i="10"/>
  <c r="IY241" i="10"/>
  <c r="IY240" i="10"/>
  <c r="IY239" i="10"/>
  <c r="IY238" i="10"/>
  <c r="IY237" i="10"/>
  <c r="IY236" i="10"/>
  <c r="IY235" i="10"/>
  <c r="IY234" i="10"/>
  <c r="IY233" i="10"/>
  <c r="IY232" i="10"/>
  <c r="IY231" i="10"/>
  <c r="IY230" i="10"/>
  <c r="IY229" i="10"/>
  <c r="IY228" i="10"/>
  <c r="IY227" i="10"/>
  <c r="IY226" i="10"/>
  <c r="IY225" i="10"/>
  <c r="IY224" i="10"/>
  <c r="IY223" i="10"/>
  <c r="IY222" i="10"/>
  <c r="IY221" i="10"/>
  <c r="IY220" i="10"/>
  <c r="IY219" i="10"/>
  <c r="IY218" i="10"/>
  <c r="IY217" i="10"/>
  <c r="IY216" i="10"/>
  <c r="IY215" i="10"/>
  <c r="IY214" i="10"/>
  <c r="IY213" i="10"/>
  <c r="IY212" i="10"/>
  <c r="IY211" i="10"/>
  <c r="IY210" i="10"/>
  <c r="IY209" i="10"/>
  <c r="IY208" i="10"/>
  <c r="IY207" i="10"/>
  <c r="IY206" i="10"/>
  <c r="IY205" i="10"/>
  <c r="IY204" i="10"/>
  <c r="IY203" i="10"/>
  <c r="IY202" i="10"/>
  <c r="IY201" i="10"/>
  <c r="IY200" i="10"/>
  <c r="IY199" i="10"/>
  <c r="IY198" i="10"/>
  <c r="IY197" i="10"/>
  <c r="IY196" i="10"/>
  <c r="IY195" i="10"/>
  <c r="IY194" i="10"/>
  <c r="IY193" i="10"/>
  <c r="IY192" i="10"/>
  <c r="IY191" i="10"/>
  <c r="IY190" i="10"/>
  <c r="IY189" i="10"/>
  <c r="IY188" i="10"/>
  <c r="IY187" i="10"/>
  <c r="IY186" i="10"/>
  <c r="IY185" i="10"/>
  <c r="IY184" i="10"/>
  <c r="IY183" i="10"/>
  <c r="IY182" i="10"/>
  <c r="IY181" i="10"/>
  <c r="IY180" i="10"/>
  <c r="IY179" i="10"/>
  <c r="IY178" i="10"/>
  <c r="IY177" i="10"/>
  <c r="IY176" i="10"/>
  <c r="IY175" i="10"/>
  <c r="IY174" i="10"/>
  <c r="IY173" i="10"/>
  <c r="IY172" i="10"/>
  <c r="IY171" i="10"/>
  <c r="IY170" i="10"/>
  <c r="IY169" i="10"/>
  <c r="IY168" i="10"/>
  <c r="IY167" i="10"/>
  <c r="IY166" i="10"/>
  <c r="IY165" i="10"/>
  <c r="IY164" i="10"/>
  <c r="IY163" i="10"/>
  <c r="IY162" i="10"/>
  <c r="IY161" i="10"/>
  <c r="IY160" i="10"/>
  <c r="IY159" i="10"/>
  <c r="IY158" i="10"/>
  <c r="IY157" i="10"/>
  <c r="IY156" i="10"/>
  <c r="IY155" i="10"/>
  <c r="IY154" i="10"/>
  <c r="IY153" i="10"/>
  <c r="IY152" i="10"/>
  <c r="IY151" i="10"/>
  <c r="IY150" i="10"/>
  <c r="IY149" i="10"/>
  <c r="IY148" i="10"/>
  <c r="IY147" i="10"/>
  <c r="IY146" i="10"/>
  <c r="IY145" i="10"/>
  <c r="IY144" i="10"/>
  <c r="IY143" i="10"/>
  <c r="IY142" i="10"/>
  <c r="IY141" i="10"/>
  <c r="IY140" i="10"/>
  <c r="IY139" i="10"/>
  <c r="IY138" i="10"/>
  <c r="IY137" i="10"/>
  <c r="IY136" i="10"/>
  <c r="IY135" i="10"/>
  <c r="IY134" i="10"/>
  <c r="IY133" i="10"/>
  <c r="IY132" i="10"/>
  <c r="IY131" i="10"/>
  <c r="IY130" i="10"/>
  <c r="IY129" i="10"/>
  <c r="IY128" i="10"/>
  <c r="IY127" i="10"/>
  <c r="IY126" i="10"/>
  <c r="IY125" i="10"/>
  <c r="IY124" i="10"/>
  <c r="IY123" i="10"/>
  <c r="IY122" i="10"/>
  <c r="IY121" i="10"/>
  <c r="IY120" i="10"/>
  <c r="IY119" i="10"/>
  <c r="IY118" i="10"/>
  <c r="IY117" i="10"/>
  <c r="IY116" i="10"/>
  <c r="IY115" i="10"/>
  <c r="IY114" i="10"/>
  <c r="IY113" i="10"/>
  <c r="IY112" i="10"/>
  <c r="IY111" i="10"/>
  <c r="IY110" i="10"/>
  <c r="IY109" i="10"/>
  <c r="IY108" i="10"/>
  <c r="IY107" i="10"/>
  <c r="IY106" i="10"/>
  <c r="IY105" i="10"/>
  <c r="IY104" i="10"/>
  <c r="IY103" i="10"/>
  <c r="IY102" i="10"/>
  <c r="IY101" i="10"/>
  <c r="IY100" i="10"/>
  <c r="IY99" i="10"/>
  <c r="IY98" i="10"/>
  <c r="IY97" i="10"/>
  <c r="IY96" i="10"/>
  <c r="IY95" i="10"/>
  <c r="IY94" i="10"/>
  <c r="IY93" i="10"/>
  <c r="IY92" i="10"/>
  <c r="IY91" i="10"/>
  <c r="IY90" i="10"/>
  <c r="IY89" i="10"/>
  <c r="IY88" i="10"/>
  <c r="IY87" i="10"/>
  <c r="IY86" i="10"/>
  <c r="IY85" i="10"/>
  <c r="IY84" i="10"/>
  <c r="IY83" i="10"/>
  <c r="IY82" i="10"/>
  <c r="IY81" i="10"/>
  <c r="IY80" i="10"/>
  <c r="IY79" i="10"/>
  <c r="IY78" i="10"/>
  <c r="IY77" i="10"/>
  <c r="IY76" i="10"/>
  <c r="IY75" i="10"/>
  <c r="IY74" i="10"/>
  <c r="IY73" i="10"/>
  <c r="IY72" i="10"/>
  <c r="IY71" i="10"/>
  <c r="IY70" i="10"/>
  <c r="IY69" i="10"/>
  <c r="IY68" i="10"/>
  <c r="IY67" i="10"/>
  <c r="IY66" i="10"/>
  <c r="IY65" i="10"/>
  <c r="IY64" i="10"/>
  <c r="IY63" i="10"/>
  <c r="IY62" i="10"/>
  <c r="IY61" i="10"/>
  <c r="IY60" i="10"/>
  <c r="IY59" i="10"/>
  <c r="IY58" i="10"/>
  <c r="IY57" i="10"/>
  <c r="IY56" i="10"/>
  <c r="IY55" i="10"/>
  <c r="IY54" i="10"/>
  <c r="IY53" i="10"/>
  <c r="IY52" i="10"/>
  <c r="IY51" i="10"/>
  <c r="IY50" i="10"/>
  <c r="IY49" i="10"/>
  <c r="IY48" i="10"/>
  <c r="IY47" i="10"/>
  <c r="IY46" i="10"/>
  <c r="IY45" i="10"/>
  <c r="IY44" i="10"/>
  <c r="IY43" i="10"/>
  <c r="IY42" i="10"/>
  <c r="IY41" i="10"/>
  <c r="IY40" i="10"/>
  <c r="IY39" i="10"/>
  <c r="IY38" i="10"/>
  <c r="IY37" i="10"/>
  <c r="IY36" i="10"/>
  <c r="IY35" i="10"/>
  <c r="IY34" i="10"/>
  <c r="IY33" i="10"/>
  <c r="IY32" i="10"/>
  <c r="IY31" i="10"/>
  <c r="IY30" i="10"/>
  <c r="IY29" i="10"/>
  <c r="IY28" i="10"/>
  <c r="IY27" i="10"/>
  <c r="IY26" i="10"/>
  <c r="IY25" i="10"/>
  <c r="IY24" i="10"/>
  <c r="IY23" i="10"/>
  <c r="IY22" i="10"/>
  <c r="IY21" i="10"/>
  <c r="IY20" i="10"/>
  <c r="IY19" i="10"/>
  <c r="IY18" i="10"/>
  <c r="IY17" i="10"/>
  <c r="IY16" i="10"/>
  <c r="IY15" i="10"/>
  <c r="IY14" i="10"/>
  <c r="IY13" i="10"/>
  <c r="IY12" i="10"/>
  <c r="IY11" i="10"/>
  <c r="IY10" i="10"/>
  <c r="IY9" i="10"/>
  <c r="IY8" i="10"/>
  <c r="IY7" i="10"/>
  <c r="IY6" i="10"/>
  <c r="IY5" i="10"/>
  <c r="IY4" i="10"/>
  <c r="IY3" i="10"/>
  <c r="IY2" i="10"/>
</calcChain>
</file>

<file path=xl/sharedStrings.xml><?xml version="1.0" encoding="utf-8"?>
<sst xmlns="http://schemas.openxmlformats.org/spreadsheetml/2006/main" count="1481" uniqueCount="353">
  <si>
    <t>дата отгр</t>
  </si>
  <si>
    <t>Клиент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</si>
  <si>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</si>
  <si>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</si>
  <si>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</si>
  <si>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</si>
  <si>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</si>
  <si>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</si>
  <si>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</si>
  <si>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</si>
  <si>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</si>
  <si>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</si>
  <si>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</si>
  <si>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</si>
  <si>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</si>
  <si>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</si>
  <si>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</si>
  <si>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</si>
  <si>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</si>
  <si>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Молоко топленое 595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</si>
  <si>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</si>
  <si>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</si>
  <si>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</si>
  <si>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</si>
  <si>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</si>
  <si>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</si>
  <si>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</si>
  <si>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</si>
  <si>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</si>
  <si>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</si>
  <si>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</si>
  <si>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Цитрусовый 551</t>
  </si>
  <si>
    <t>Изоамилоцетат</t>
  </si>
  <si>
    <t>Кокос 589</t>
  </si>
  <si>
    <t>Клюква 727</t>
  </si>
  <si>
    <t>Сливки 735</t>
  </si>
  <si>
    <t>Смесь пищевая сладкая М25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</si>
  <si>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</si>
  <si>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</si>
  <si>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</si>
  <si>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</si>
  <si>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</si>
  <si>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</si>
  <si>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</si>
  <si>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</si>
  <si>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</si>
  <si>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</si>
  <si>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</si>
  <si>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</si>
  <si>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</si>
  <si>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</si>
  <si>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</si>
  <si>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</si>
  <si>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</si>
  <si>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</si>
  <si>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</si>
  <si>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</si>
  <si>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</si>
  <si>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Кондико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</si>
  <si>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</si>
  <si>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</si>
  <si>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</si>
  <si>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</si>
  <si>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</si>
  <si>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</si>
  <si>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</si>
  <si>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</si>
  <si>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</si>
  <si>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</si>
  <si>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Конфа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</si>
  <si>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</si>
  <si>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</si>
  <si>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</si>
  <si>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</si>
  <si>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</si>
  <si>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</si>
  <si>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</si>
  <si>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</si>
  <si>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</si>
  <si>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</si>
  <si>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</si>
  <si>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Крем-брюле 612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</si>
  <si>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</si>
  <si>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</si>
  <si>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</si>
  <si>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</si>
  <si>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</si>
  <si>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</si>
  <si>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тип Мята сладкая 1125</t>
  </si>
  <si>
    <t>Акванат Турмерик 0009</t>
  </si>
  <si>
    <t>Акванат кармин 0019/2</t>
  </si>
  <si>
    <t>Акванат кармин 0045</t>
  </si>
  <si>
    <t>Акванат аннатто 0006</t>
  </si>
  <si>
    <t>Персик 912/М порош.</t>
  </si>
  <si>
    <t>Foodco B 02 темный шоколад R210</t>
  </si>
  <si>
    <t>Аквабетин бетакаротин 0200В</t>
  </si>
  <si>
    <t>Халва 747</t>
  </si>
  <si>
    <t>Лак коричневый шоколад 318</t>
  </si>
  <si>
    <t>Бисквит 677</t>
  </si>
  <si>
    <t>Клубника 665</t>
  </si>
  <si>
    <t>Персик 1209</t>
  </si>
  <si>
    <t>Барбарис 502</t>
  </si>
  <si>
    <t>Дюшес 511</t>
  </si>
  <si>
    <t>Клубника 1185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</si>
  <si>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</si>
  <si>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</si>
  <si>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</si>
  <si>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</si>
  <si>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</si>
  <si>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</si>
  <si>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</si>
  <si>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</si>
  <si>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Укроп 541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</si>
  <si>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</si>
  <si>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</si>
  <si>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</si>
  <si>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</si>
  <si>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</si>
  <si>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</si>
  <si>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</si>
  <si>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Вишня 667</t>
  </si>
  <si>
    <t>Сметана 742</t>
  </si>
  <si>
    <t>Главмолснаб</t>
  </si>
  <si>
    <t>Спартак</t>
  </si>
  <si>
    <t>Михромовый зеленый 0311В</t>
  </si>
  <si>
    <t>Тутти-фрутти 618</t>
  </si>
  <si>
    <t>Черничный пирог 757</t>
  </si>
  <si>
    <t>Черника 553</t>
  </si>
  <si>
    <t>Чай зеленый 734</t>
  </si>
  <si>
    <t>Мед 96</t>
  </si>
  <si>
    <t>Чиз кейк 1134</t>
  </si>
  <si>
    <t>Мята 614</t>
  </si>
  <si>
    <t>Вишня 1140</t>
  </si>
  <si>
    <t>Черника 1318</t>
  </si>
  <si>
    <t>Шоколад 1147</t>
  </si>
  <si>
    <t>Мармикс 200С</t>
  </si>
  <si>
    <t>Рутилус</t>
  </si>
  <si>
    <t>Ванильно-пряный 905/К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</si>
  <si>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</si>
  <si>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</si>
  <si>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</si>
  <si>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</si>
  <si>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</si>
  <si>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</si>
  <si>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</si>
  <si>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</si>
  <si>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</si>
  <si>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</si>
  <si>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Пломбир 767</t>
  </si>
  <si>
    <t>Клюква 607</t>
  </si>
  <si>
    <t>Клюква 95</t>
  </si>
  <si>
    <t>Лесная ягода 1176</t>
  </si>
  <si>
    <t>Мармикс 200.5</t>
  </si>
  <si>
    <t>Марыля</t>
  </si>
  <si>
    <t>Береза ККП</t>
  </si>
  <si>
    <t>Апельсин 403 эмульс.</t>
  </si>
  <si>
    <t>Земляника 579</t>
  </si>
  <si>
    <t>Квас 1128</t>
  </si>
  <si>
    <t>Кислотный комп 201 с кофеином</t>
  </si>
  <si>
    <t>Лимонад 1167</t>
  </si>
  <si>
    <t>Мята 1195</t>
  </si>
  <si>
    <t>Кола 408</t>
  </si>
  <si>
    <t>Яблоко зеленое 629</t>
  </si>
  <si>
    <t>Слодыч</t>
  </si>
  <si>
    <t>Лимон 1139</t>
  </si>
  <si>
    <t>Акванат кармин 0002</t>
  </si>
  <si>
    <t>Манго 684</t>
  </si>
  <si>
    <t>Салита</t>
  </si>
  <si>
    <t>Тирамису 700</t>
  </si>
  <si>
    <t>Корица 514</t>
  </si>
  <si>
    <t>Ваниль 634</t>
  </si>
  <si>
    <t>Могилевоблпищ</t>
  </si>
  <si>
    <t>вода</t>
  </si>
  <si>
    <t>Унисон</t>
  </si>
  <si>
    <t>Кола 584</t>
  </si>
  <si>
    <t>Белга</t>
  </si>
  <si>
    <t>Малина 1370</t>
  </si>
  <si>
    <t>Борисов х/пром</t>
  </si>
  <si>
    <t>Foodcо Р02 Солнечный закат</t>
  </si>
  <si>
    <t>Цитрусовый 420 тип Апельсин</t>
  </si>
  <si>
    <t>ИП Бобкова</t>
  </si>
  <si>
    <t>ЭССА</t>
  </si>
  <si>
    <t>Олвитранс</t>
  </si>
  <si>
    <t>Амаретто 769</t>
  </si>
  <si>
    <t>Аромаколор DS/7</t>
  </si>
  <si>
    <t>Банан</t>
  </si>
  <si>
    <t>Акванат кармин 0289</t>
  </si>
  <si>
    <t>Молоко-ваниль 956/М</t>
  </si>
  <si>
    <t>Земляника лесная 652</t>
  </si>
  <si>
    <t>Крем-брюле 766</t>
  </si>
  <si>
    <t>Белянтэх</t>
  </si>
  <si>
    <t>Карамель сливочная 779</t>
  </si>
  <si>
    <t>Лимонадный 668</t>
  </si>
  <si>
    <t>Пряник тульский 1172</t>
  </si>
  <si>
    <t>Белросбиотех</t>
  </si>
  <si>
    <t>Зеленое яблоко 069</t>
  </si>
  <si>
    <t>Халва подсолнечная 1173</t>
  </si>
  <si>
    <t>Пряный 1133 тип тархун</t>
  </si>
  <si>
    <t>свитлэнд</t>
  </si>
  <si>
    <t>Тропик 566</t>
  </si>
  <si>
    <t>Ананас 572</t>
  </si>
  <si>
    <t>Сливки 1196</t>
  </si>
  <si>
    <t>Ваниль 1347</t>
  </si>
  <si>
    <t>Черная смородина 1206</t>
  </si>
  <si>
    <t>Масло сливки 611</t>
  </si>
  <si>
    <t>Красная смородина 699</t>
  </si>
  <si>
    <t>Ваниль 768</t>
  </si>
  <si>
    <t>Foodcо R 100 зеленое яблоко</t>
  </si>
  <si>
    <t>Морозпродукт</t>
  </si>
  <si>
    <t>молоко-ваниль 633</t>
  </si>
  <si>
    <t>Клубника 1204</t>
  </si>
  <si>
    <t>ММЗ1</t>
  </si>
  <si>
    <t>Какао 604</t>
  </si>
  <si>
    <t>Экоплант Угольный растительный А</t>
  </si>
  <si>
    <t>Анис 1179</t>
  </si>
  <si>
    <t>Алникор</t>
  </si>
  <si>
    <t>Ошмяны</t>
  </si>
  <si>
    <t>Малина садовая 518</t>
  </si>
  <si>
    <t>Молоко концентрированное 745</t>
  </si>
  <si>
    <t>Черная смородина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</si>
  <si>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</si>
  <si>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</si>
  <si>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</si>
  <si>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</si>
  <si>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</si>
  <si>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</si>
  <si>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</si>
  <si>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Яблочный штрудель 1301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</si>
  <si>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</si>
  <si>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</si>
  <si>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</si>
  <si>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</si>
  <si>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</si>
  <si>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</si>
  <si>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Орша СЗ</t>
  </si>
  <si>
    <t>Лимон 1189</t>
  </si>
  <si>
    <t>Фундук 1197</t>
  </si>
  <si>
    <t>ГТВкуса</t>
  </si>
  <si>
    <t>ГомТВ</t>
  </si>
  <si>
    <t>Полиолсинтез</t>
  </si>
  <si>
    <t>Foodco P 02 Хинолиновый желтый</t>
  </si>
  <si>
    <t>Апельсин 797</t>
  </si>
  <si>
    <t>Фисташка 1127</t>
  </si>
  <si>
    <t>Жодино х/д</t>
  </si>
  <si>
    <t>Витьба Полоцк</t>
  </si>
  <si>
    <t>Крупко В.П.</t>
  </si>
  <si>
    <t>Лидапищ</t>
  </si>
  <si>
    <t>Кармин аквамит Р50, РФ</t>
  </si>
  <si>
    <t>Монтбрук</t>
  </si>
  <si>
    <t>Гуарди</t>
  </si>
  <si>
    <t>Беловежские сыры</t>
  </si>
  <si>
    <t>Арарат ной</t>
  </si>
  <si>
    <t>Кофе капучино 755</t>
  </si>
  <si>
    <t>Молоко топленое 770</t>
  </si>
  <si>
    <t>Холодок 791</t>
  </si>
  <si>
    <t>Вителла</t>
  </si>
  <si>
    <t>Макбор</t>
  </si>
  <si>
    <t>1-я ШФ</t>
  </si>
  <si>
    <t>Экоплант Зкстракт фиолетовый 0305 WS</t>
  </si>
  <si>
    <t>Foodco Р 02 Понсо 4R</t>
  </si>
  <si>
    <t>Бисквитная Ф-ка</t>
  </si>
  <si>
    <t>МЧЗ</t>
  </si>
  <si>
    <t>Акванат хлорофилл 0634</t>
  </si>
  <si>
    <t>Эльвира КИМ</t>
  </si>
  <si>
    <t>Ванильный 741</t>
  </si>
  <si>
    <t>Барановичи МК</t>
  </si>
  <si>
    <t>изоамил.</t>
  </si>
  <si>
    <t>Берест пекарь</t>
  </si>
  <si>
    <t>Гомель х/п</t>
  </si>
  <si>
    <t>Кр.Пищевик</t>
  </si>
  <si>
    <t>Тартразин Р02, РФ</t>
  </si>
  <si>
    <t>Михромовый красный 0164</t>
  </si>
  <si>
    <t>им. Козлова</t>
  </si>
  <si>
    <t>Придвинье</t>
  </si>
  <si>
    <t>Кишко А.Л.</t>
  </si>
  <si>
    <t>Михромовый зеленый 0031В</t>
  </si>
  <si>
    <t>Вишня северная 510</t>
  </si>
  <si>
    <t>Летож</t>
  </si>
  <si>
    <t>Бисквитная ф-ка</t>
  </si>
  <si>
    <t>Асаро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</si>
  <si>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</si>
  <si>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</si>
  <si>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</si>
  <si>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</si>
  <si>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</si>
  <si>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</si>
  <si>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Сладкая страна</t>
  </si>
  <si>
    <t>Апельсин 1421</t>
  </si>
  <si>
    <t>Ирландский крем 1396</t>
  </si>
  <si>
    <t>Балансторг</t>
  </si>
  <si>
    <t>Персик</t>
  </si>
  <si>
    <t>Томат 687</t>
  </si>
  <si>
    <t>Универсал-люкс</t>
  </si>
  <si>
    <t>Морозов А.А.</t>
  </si>
  <si>
    <t>Ванильно-пряный 529</t>
  </si>
  <si>
    <t>Виноград 690</t>
  </si>
  <si>
    <t>Масло ваниль 675</t>
  </si>
  <si>
    <t>Элюрприма</t>
  </si>
  <si>
    <t>Барбарис 752</t>
  </si>
  <si>
    <t>Дюшес 780</t>
  </si>
  <si>
    <t>Ваниль 936</t>
  </si>
  <si>
    <t>Яблочная мечта</t>
  </si>
  <si>
    <t>Хлебозавод №10</t>
  </si>
  <si>
    <t>Вкус лета</t>
  </si>
  <si>
    <t>Горынь</t>
  </si>
  <si>
    <t>Foodcо Р02 Индигокармин</t>
  </si>
  <si>
    <t>Лимон 1207</t>
  </si>
  <si>
    <t>Шоколад фондю 1131</t>
  </si>
  <si>
    <t>Рогачев МКК</t>
  </si>
  <si>
    <t>Гранат 728</t>
  </si>
  <si>
    <t>Творог 722</t>
  </si>
  <si>
    <t>Вареная сгущенка 650</t>
  </si>
  <si>
    <t>Foodco P 02 Черный блестящий PN</t>
  </si>
  <si>
    <t>Квас 035</t>
  </si>
  <si>
    <t>Лаиткор</t>
  </si>
  <si>
    <t>Семенов С.И.</t>
  </si>
  <si>
    <t>Арбест</t>
  </si>
  <si>
    <t>Азбука сыра</t>
  </si>
  <si>
    <t>Ким Э.В,</t>
  </si>
  <si>
    <t>Ананас 95</t>
  </si>
  <si>
    <t>Ром ямайский 1136</t>
  </si>
  <si>
    <t>Медуниверситет</t>
  </si>
  <si>
    <t>Донатика</t>
  </si>
  <si>
    <t>Ферронат Р Ирис 035</t>
  </si>
  <si>
    <t>Ферронат Р Крем брюле 033</t>
  </si>
  <si>
    <t>Михром черный 0604</t>
  </si>
  <si>
    <t>Апельсин сицилийский 1351</t>
  </si>
  <si>
    <t>Кола 1374</t>
  </si>
  <si>
    <t>Лимон 926/С</t>
  </si>
  <si>
    <t>Тоффи 1170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</si>
  <si>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</si>
  <si>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</si>
  <si>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</si>
  <si>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</si>
  <si>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</si>
  <si>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</si>
  <si>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</si>
  <si>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</si>
  <si>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</si>
  <si>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</si>
  <si>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</si>
  <si>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Снэкпро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</si>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</sst>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5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2" borderId="1" xfId="0" applyFont="1" applyFill="1" applyBorder="1" applyAlignment="1">
      <alignment wrapText="1"/>
    </xf>
    <xf numFmtId="167" fontId="3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wrapText="1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6" borderId="1" xfId="0" applyFill="1" applyBorder="1" applyAlignment="1">
      <alignment wrapText="1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Z2397"/>
  <sheetViews>
    <sheetView tabSelected="1" zoomScaleNormal="100" workbookViewId="0">
      <pane xSplit="2" ySplit="1" topLeftCell="C2" activePane="bottomRight" state="frozenSplit"/>
      <selection pane="topRight" activeCell="D1" sqref="D1"/>
      <selection pane="bottomLeft" activeCell="A2" sqref="A2"/>
      <selection pane="bottomRight" activeCell="D62" sqref="D62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2.140625" style="16" customWidth="1"/>
    <col min="12" max="12" width="14" style="4" customWidth="1"/>
    <col min="13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18" width="10.85546875" style="8" customWidth="1"/>
    <col min="19" max="20" width="13.28515625" style="8" customWidth="1"/>
    <col min="21" max="21" width="11.28515625" style="8" customWidth="1"/>
    <col min="22" max="22" width="7.7109375" style="8" customWidth="1"/>
    <col min="23" max="23" width="12" style="8" customWidth="1"/>
    <col min="24" max="24" width="13.28515625" style="8" customWidth="1"/>
    <col min="25" max="25" width="8.7109375" style="8" customWidth="1"/>
    <col min="26" max="28" width="8.7109375" style="3" customWidth="1"/>
    <col min="29" max="38" width="11" style="4" customWidth="1"/>
    <col min="39" max="43" width="6.85546875" style="3" customWidth="1"/>
    <col min="44" max="47" width="9.140625" style="4" customWidth="1"/>
    <col min="48" max="56" width="8.7109375" style="3" customWidth="1"/>
    <col min="57" max="66" width="9.85546875" style="4" customWidth="1"/>
    <col min="67" max="68" width="9.140625" style="4" customWidth="1"/>
    <col min="69" max="69" width="9.42578125" style="8" customWidth="1"/>
    <col min="70" max="78" width="9.42578125" style="3" customWidth="1"/>
    <col min="79" max="91" width="8.85546875" style="3" customWidth="1"/>
    <col min="92" max="93" width="12.140625" style="3" customWidth="1"/>
    <col min="94" max="101" width="10.5703125" style="4" customWidth="1"/>
    <col min="102" max="104" width="8.5703125" style="8" customWidth="1"/>
    <col min="105" max="113" width="7.42578125" style="4" customWidth="1"/>
    <col min="114" max="114" width="6.85546875" style="8" customWidth="1"/>
    <col min="115" max="115" width="6.85546875" style="3" customWidth="1"/>
    <col min="116" max="119" width="9" style="4" customWidth="1"/>
    <col min="120" max="121" width="8" style="4" customWidth="1"/>
    <col min="122" max="122" width="8.28515625" style="4" customWidth="1"/>
    <col min="123" max="123" width="9.42578125" style="8" customWidth="1"/>
    <col min="124" max="125" width="9.42578125" style="3" customWidth="1"/>
    <col min="126" max="128" width="9.85546875" style="4" customWidth="1"/>
    <col min="129" max="129" width="10.28515625" style="8" customWidth="1"/>
    <col min="130" max="132" width="10.28515625" style="3" customWidth="1"/>
    <col min="133" max="134" width="9.28515625" style="4" customWidth="1"/>
    <col min="135" max="135" width="9.140625" style="8" customWidth="1"/>
    <col min="136" max="143" width="9.140625" style="3" customWidth="1"/>
    <col min="144" max="167" width="9.140625" style="4" customWidth="1"/>
    <col min="168" max="173" width="9.5703125" style="3" customWidth="1"/>
    <col min="174" max="174" width="11.5703125" style="8" customWidth="1"/>
    <col min="175" max="175" width="8.42578125" style="4" customWidth="1"/>
    <col min="176" max="178" width="8.85546875" style="4" customWidth="1"/>
    <col min="179" max="186" width="8.42578125" style="4" customWidth="1"/>
    <col min="187" max="188" width="7.28515625" style="4" customWidth="1"/>
    <col min="189" max="190" width="8.42578125" style="3" customWidth="1"/>
    <col min="191" max="196" width="8.85546875" style="4" customWidth="1"/>
    <col min="197" max="197" width="9.28515625" style="4" customWidth="1"/>
    <col min="198" max="198" width="11.7109375" style="4" customWidth="1"/>
    <col min="199" max="199" width="9.85546875" style="4" customWidth="1"/>
    <col min="200" max="201" width="7.5703125" style="4" customWidth="1"/>
    <col min="202" max="214" width="6.7109375" style="4" customWidth="1"/>
    <col min="215" max="223" width="8.85546875" style="4" customWidth="1"/>
    <col min="224" max="224" width="4.28515625" style="4" customWidth="1"/>
    <col min="225" max="238" width="8.85546875" style="4" customWidth="1"/>
    <col min="239" max="239" width="4.42578125" style="4" customWidth="1"/>
    <col min="240" max="258" width="8.85546875" style="4" customWidth="1"/>
    <col min="259" max="259" width="7.42578125" style="8" customWidth="1"/>
    <col min="260" max="260" width="11.5703125" style="4" customWidth="1"/>
    <col min="261" max="285" width="225.7109375" style="1" customWidth="1"/>
    <col min="286" max="16384" width="9.140625" style="1"/>
  </cols>
  <sheetData>
    <row r="1" spans="1:260" s="6" customFormat="1" ht="45" customHeight="1" x14ac:dyDescent="0.2">
      <c r="A1" s="36" t="s">
        <v>0</v>
      </c>
      <c r="B1" s="37" t="s">
        <v>1</v>
      </c>
      <c r="C1" s="6" t="s">
        <v>63</v>
      </c>
      <c r="D1" s="6" t="s">
        <v>63</v>
      </c>
      <c r="E1" s="9" t="s">
        <v>75</v>
      </c>
      <c r="F1" s="9" t="s">
        <v>224</v>
      </c>
      <c r="G1" s="9" t="s">
        <v>183</v>
      </c>
      <c r="H1" s="9" t="s">
        <v>319</v>
      </c>
      <c r="I1" s="9" t="s">
        <v>200</v>
      </c>
      <c r="J1" s="9" t="s">
        <v>214</v>
      </c>
      <c r="K1" s="9" t="s">
        <v>155</v>
      </c>
      <c r="L1" s="9" t="s">
        <v>73</v>
      </c>
      <c r="M1" s="9" t="s">
        <v>241</v>
      </c>
      <c r="N1" s="9" t="s">
        <v>287</v>
      </c>
      <c r="O1" s="9" t="s">
        <v>326</v>
      </c>
      <c r="P1" s="9" t="s">
        <v>108</v>
      </c>
      <c r="Q1" s="5" t="s">
        <v>37</v>
      </c>
      <c r="R1" s="5" t="s">
        <v>67</v>
      </c>
      <c r="S1" s="5" t="s">
        <v>101</v>
      </c>
      <c r="T1" s="5" t="s">
        <v>298</v>
      </c>
      <c r="U1" s="5" t="s">
        <v>59</v>
      </c>
      <c r="V1" s="5" t="s">
        <v>185</v>
      </c>
      <c r="W1" s="5" t="s">
        <v>98</v>
      </c>
      <c r="X1" s="5" t="s">
        <v>66</v>
      </c>
      <c r="Y1" s="5" t="s">
        <v>6</v>
      </c>
      <c r="Z1" s="9" t="s">
        <v>137</v>
      </c>
      <c r="AA1" s="9" t="s">
        <v>294</v>
      </c>
      <c r="AB1" s="9" t="s">
        <v>264</v>
      </c>
      <c r="AC1" s="9" t="s">
        <v>42</v>
      </c>
      <c r="AD1" s="9" t="s">
        <v>118</v>
      </c>
      <c r="AE1" s="9" t="s">
        <v>300</v>
      </c>
      <c r="AF1" s="9" t="s">
        <v>311</v>
      </c>
      <c r="AG1" s="9" t="s">
        <v>147</v>
      </c>
      <c r="AH1" s="9" t="s">
        <v>202</v>
      </c>
      <c r="AI1" s="9" t="s">
        <v>170</v>
      </c>
      <c r="AJ1" s="9" t="s">
        <v>206</v>
      </c>
      <c r="AK1" s="9" t="s">
        <v>295</v>
      </c>
      <c r="AL1" s="9" t="s">
        <v>345</v>
      </c>
      <c r="AM1" s="9" t="s">
        <v>54</v>
      </c>
      <c r="AN1" s="9" t="s">
        <v>276</v>
      </c>
      <c r="AO1" s="9" t="s">
        <v>120</v>
      </c>
      <c r="AP1" s="9" t="s">
        <v>132</v>
      </c>
      <c r="AQ1" s="9" t="s">
        <v>309</v>
      </c>
      <c r="AR1" s="9" t="s">
        <v>7</v>
      </c>
      <c r="AS1" s="9" t="s">
        <v>70</v>
      </c>
      <c r="AT1" s="5" t="s">
        <v>115</v>
      </c>
      <c r="AU1" s="5" t="s">
        <v>351</v>
      </c>
      <c r="AV1" s="9" t="s">
        <v>102</v>
      </c>
      <c r="AW1" s="9" t="s">
        <v>299</v>
      </c>
      <c r="AX1" s="9" t="s">
        <v>68</v>
      </c>
      <c r="AY1" s="9" t="s">
        <v>141</v>
      </c>
      <c r="AZ1" s="9" t="s">
        <v>332</v>
      </c>
      <c r="BA1" s="9" t="s">
        <v>156</v>
      </c>
      <c r="BB1" s="9" t="s">
        <v>71</v>
      </c>
      <c r="BC1" s="9" t="s">
        <v>188</v>
      </c>
      <c r="BD1" s="9" t="s">
        <v>195</v>
      </c>
      <c r="BE1" s="9" t="s">
        <v>47</v>
      </c>
      <c r="BF1" s="9" t="s">
        <v>18</v>
      </c>
      <c r="BG1" s="9" t="s">
        <v>288</v>
      </c>
      <c r="BH1" s="9" t="s">
        <v>212</v>
      </c>
      <c r="BI1" s="9" t="s">
        <v>60</v>
      </c>
      <c r="BJ1" s="9" t="s">
        <v>116</v>
      </c>
      <c r="BK1" s="9" t="s">
        <v>349</v>
      </c>
      <c r="BL1" s="9" t="s">
        <v>191</v>
      </c>
      <c r="BM1" s="9" t="s">
        <v>157</v>
      </c>
      <c r="BN1" s="9" t="s">
        <v>313</v>
      </c>
      <c r="BO1" s="5" t="s">
        <v>40</v>
      </c>
      <c r="BP1" s="5" t="s">
        <v>158</v>
      </c>
      <c r="BQ1" s="5" t="s">
        <v>8</v>
      </c>
      <c r="BR1" s="5" t="s">
        <v>99</v>
      </c>
      <c r="BS1" s="5" t="s">
        <v>84</v>
      </c>
      <c r="BT1" s="5" t="s">
        <v>53</v>
      </c>
      <c r="BU1" s="5" t="s">
        <v>228</v>
      </c>
      <c r="BV1" s="5" t="s">
        <v>103</v>
      </c>
      <c r="BW1" s="5" t="s">
        <v>210</v>
      </c>
      <c r="BX1" s="5" t="s">
        <v>150</v>
      </c>
      <c r="BY1" s="5" t="s">
        <v>149</v>
      </c>
      <c r="BZ1" s="5" t="s">
        <v>34</v>
      </c>
      <c r="CA1" s="5" t="s">
        <v>86</v>
      </c>
      <c r="CB1" s="5" t="s">
        <v>169</v>
      </c>
      <c r="CC1" s="5" t="s">
        <v>346</v>
      </c>
      <c r="CD1" s="5" t="s">
        <v>33</v>
      </c>
      <c r="CE1" s="5" t="s">
        <v>229</v>
      </c>
      <c r="CF1" s="5" t="s">
        <v>335</v>
      </c>
      <c r="CG1" s="5" t="s">
        <v>113</v>
      </c>
      <c r="CH1" s="5" t="s">
        <v>252</v>
      </c>
      <c r="CI1" s="5" t="s">
        <v>233</v>
      </c>
      <c r="CJ1" s="5" t="s">
        <v>161</v>
      </c>
      <c r="CK1" s="5" t="s">
        <v>174</v>
      </c>
      <c r="CL1" s="5" t="s">
        <v>327</v>
      </c>
      <c r="CM1" s="5" t="s">
        <v>24</v>
      </c>
      <c r="CN1" s="5" t="s">
        <v>205</v>
      </c>
      <c r="CO1" s="5" t="s">
        <v>230</v>
      </c>
      <c r="CP1" s="5" t="s">
        <v>23</v>
      </c>
      <c r="CQ1" s="5" t="s">
        <v>283</v>
      </c>
      <c r="CR1" s="5" t="s">
        <v>49</v>
      </c>
      <c r="CS1" s="5" t="s">
        <v>81</v>
      </c>
      <c r="CT1" s="5" t="s">
        <v>189</v>
      </c>
      <c r="CU1" s="5" t="s">
        <v>220</v>
      </c>
      <c r="CV1" s="5" t="s">
        <v>38</v>
      </c>
      <c r="CW1" s="5" t="s">
        <v>151</v>
      </c>
      <c r="CX1" s="5" t="s">
        <v>9</v>
      </c>
      <c r="CY1" s="5" t="s">
        <v>87</v>
      </c>
      <c r="CZ1" s="5" t="s">
        <v>46</v>
      </c>
      <c r="DA1" s="9" t="s">
        <v>10</v>
      </c>
      <c r="DB1" s="9" t="s">
        <v>159</v>
      </c>
      <c r="DC1" s="9" t="s">
        <v>192</v>
      </c>
      <c r="DD1" s="5" t="s">
        <v>164</v>
      </c>
      <c r="DE1" s="5" t="s">
        <v>306</v>
      </c>
      <c r="DF1" s="5" t="s">
        <v>235</v>
      </c>
      <c r="DG1" s="5" t="s">
        <v>328</v>
      </c>
      <c r="DH1" s="5" t="s">
        <v>333</v>
      </c>
      <c r="DI1" s="5" t="s">
        <v>166</v>
      </c>
      <c r="DJ1" s="5" t="s">
        <v>2</v>
      </c>
      <c r="DK1" s="9" t="s">
        <v>176</v>
      </c>
      <c r="DL1" s="9" t="s">
        <v>61</v>
      </c>
      <c r="DM1" s="9" t="s">
        <v>217</v>
      </c>
      <c r="DN1" s="9" t="s">
        <v>204</v>
      </c>
      <c r="DO1" s="9" t="s">
        <v>296</v>
      </c>
      <c r="DP1" s="9" t="s">
        <v>16</v>
      </c>
      <c r="DQ1" s="9" t="s">
        <v>74</v>
      </c>
      <c r="DR1" s="5" t="s">
        <v>129</v>
      </c>
      <c r="DS1" s="5" t="s">
        <v>26</v>
      </c>
      <c r="DT1" s="5" t="s">
        <v>187</v>
      </c>
      <c r="DU1" s="5" t="s">
        <v>209</v>
      </c>
      <c r="DV1" s="5" t="s">
        <v>17</v>
      </c>
      <c r="DW1" s="5" t="s">
        <v>231</v>
      </c>
      <c r="DX1" s="5" t="s">
        <v>218</v>
      </c>
      <c r="DY1" s="5" t="s">
        <v>21</v>
      </c>
      <c r="DZ1" s="5" t="s">
        <v>80</v>
      </c>
      <c r="EA1" s="9" t="s">
        <v>55</v>
      </c>
      <c r="EB1" s="9" t="s">
        <v>253</v>
      </c>
      <c r="EC1" s="9" t="s">
        <v>19</v>
      </c>
      <c r="ED1" s="26" t="s">
        <v>218</v>
      </c>
      <c r="EE1" s="5" t="s">
        <v>20</v>
      </c>
      <c r="EF1" s="9" t="s">
        <v>131</v>
      </c>
      <c r="EG1" s="9" t="s">
        <v>160</v>
      </c>
      <c r="EH1" s="9" t="s">
        <v>88</v>
      </c>
      <c r="EI1" s="9" t="s">
        <v>221</v>
      </c>
      <c r="EJ1" s="9" t="s">
        <v>11</v>
      </c>
      <c r="EK1" s="9" t="s">
        <v>290</v>
      </c>
      <c r="EL1" s="9" t="s">
        <v>104</v>
      </c>
      <c r="EM1" s="9" t="s">
        <v>100</v>
      </c>
      <c r="EN1" s="9" t="s">
        <v>193</v>
      </c>
      <c r="EO1" s="9" t="s">
        <v>197</v>
      </c>
      <c r="EP1" s="9" t="s">
        <v>337</v>
      </c>
      <c r="EQ1" s="9" t="s">
        <v>105</v>
      </c>
      <c r="ER1" s="9" t="s">
        <v>3</v>
      </c>
      <c r="ES1" s="9" t="s">
        <v>336</v>
      </c>
      <c r="ET1" s="9" t="s">
        <v>320</v>
      </c>
      <c r="EU1" s="9" t="s">
        <v>280</v>
      </c>
      <c r="EV1" s="9" t="s">
        <v>93</v>
      </c>
      <c r="EW1" s="9" t="s">
        <v>76</v>
      </c>
      <c r="EX1" s="9" t="s">
        <v>148</v>
      </c>
      <c r="EY1" s="9" t="s">
        <v>114</v>
      </c>
      <c r="EZ1" s="9" t="s">
        <v>232</v>
      </c>
      <c r="FA1" s="9" t="s">
        <v>27</v>
      </c>
      <c r="FB1" s="5" t="s">
        <v>35</v>
      </c>
      <c r="FC1" s="9" t="s">
        <v>117</v>
      </c>
      <c r="FD1" s="9" t="s">
        <v>201</v>
      </c>
      <c r="FE1" s="9" t="s">
        <v>121</v>
      </c>
      <c r="FF1" s="9" t="s">
        <v>72</v>
      </c>
      <c r="FG1" s="9" t="s">
        <v>139</v>
      </c>
      <c r="FH1" s="9" t="s">
        <v>281</v>
      </c>
      <c r="FI1" s="9" t="s">
        <v>310</v>
      </c>
      <c r="FJ1" s="9" t="s">
        <v>144</v>
      </c>
      <c r="FK1" s="9" t="s">
        <v>142</v>
      </c>
      <c r="FL1" s="5" t="s">
        <v>199</v>
      </c>
      <c r="FM1" s="5" t="s">
        <v>168</v>
      </c>
      <c r="FN1" s="5" t="s">
        <v>291</v>
      </c>
      <c r="FO1" s="5" t="s">
        <v>329</v>
      </c>
      <c r="FP1" s="5" t="s">
        <v>125</v>
      </c>
      <c r="FQ1" s="5" t="s">
        <v>112</v>
      </c>
      <c r="FR1" s="5" t="s">
        <v>15</v>
      </c>
      <c r="FS1" s="5" t="s">
        <v>12</v>
      </c>
      <c r="FT1" s="5" t="s">
        <v>45</v>
      </c>
      <c r="FU1" s="5" t="s">
        <v>236</v>
      </c>
      <c r="FV1" s="5" t="s">
        <v>242</v>
      </c>
      <c r="FW1" s="5" t="s">
        <v>96</v>
      </c>
      <c r="FX1" s="5" t="s">
        <v>196</v>
      </c>
      <c r="FY1" s="5" t="s">
        <v>254</v>
      </c>
      <c r="FZ1" s="5" t="s">
        <v>179</v>
      </c>
      <c r="GA1" s="5" t="s">
        <v>334</v>
      </c>
      <c r="GB1" s="5" t="s">
        <v>31</v>
      </c>
      <c r="GC1" s="5" t="s">
        <v>106</v>
      </c>
      <c r="GD1" s="5" t="s">
        <v>219</v>
      </c>
      <c r="GE1" s="5" t="s">
        <v>14</v>
      </c>
      <c r="GF1" s="9" t="s">
        <v>203</v>
      </c>
      <c r="GG1" s="9" t="s">
        <v>56</v>
      </c>
      <c r="GH1" s="9" t="s">
        <v>145</v>
      </c>
      <c r="GI1" s="5" t="s">
        <v>127</v>
      </c>
      <c r="GJ1" s="5" t="s">
        <v>350</v>
      </c>
      <c r="GK1" s="5" t="s">
        <v>126</v>
      </c>
      <c r="GL1" s="5" t="s">
        <v>128</v>
      </c>
      <c r="GM1" s="5" t="s">
        <v>133</v>
      </c>
      <c r="GN1" s="5" t="s">
        <v>134</v>
      </c>
      <c r="GO1" s="9" t="s">
        <v>50</v>
      </c>
      <c r="GP1" s="9" t="s">
        <v>307</v>
      </c>
      <c r="GQ1" s="9" t="s">
        <v>85</v>
      </c>
      <c r="GR1" s="9" t="s">
        <v>109</v>
      </c>
      <c r="GS1" s="9" t="s">
        <v>342</v>
      </c>
      <c r="GT1" s="9" t="s">
        <v>13</v>
      </c>
      <c r="GU1" s="5" t="s">
        <v>110</v>
      </c>
      <c r="GV1" s="5" t="s">
        <v>343</v>
      </c>
      <c r="GW1" s="5" t="s">
        <v>162</v>
      </c>
      <c r="GX1" s="26" t="s">
        <v>282</v>
      </c>
      <c r="GY1" s="9" t="s">
        <v>227</v>
      </c>
      <c r="GZ1" s="9" t="s">
        <v>226</v>
      </c>
      <c r="HA1" s="9" t="s">
        <v>107</v>
      </c>
      <c r="HB1" s="9" t="s">
        <v>142</v>
      </c>
      <c r="HC1" s="9" t="s">
        <v>213</v>
      </c>
      <c r="HD1" s="9" t="s">
        <v>258</v>
      </c>
      <c r="HE1" s="9" t="s">
        <v>138</v>
      </c>
      <c r="HF1" s="17" t="s">
        <v>305</v>
      </c>
      <c r="HG1" s="17" t="s">
        <v>207</v>
      </c>
      <c r="HH1" s="12" t="s">
        <v>178</v>
      </c>
      <c r="HI1" s="12" t="s">
        <v>94</v>
      </c>
      <c r="HJ1" s="12" t="s">
        <v>259</v>
      </c>
      <c r="HK1" s="12" t="s">
        <v>240</v>
      </c>
      <c r="HL1" s="12" t="s">
        <v>312</v>
      </c>
      <c r="HM1" s="12" t="s">
        <v>225</v>
      </c>
      <c r="HN1" s="12" t="s">
        <v>223</v>
      </c>
      <c r="HO1" s="12" t="s">
        <v>270</v>
      </c>
      <c r="HP1" s="12" t="s">
        <v>97</v>
      </c>
      <c r="HQ1" s="12" t="s">
        <v>95</v>
      </c>
      <c r="HR1" s="12" t="s">
        <v>92</v>
      </c>
      <c r="HS1" s="12" t="s">
        <v>91</v>
      </c>
      <c r="HT1" s="12" t="s">
        <v>165</v>
      </c>
      <c r="HU1" s="12" t="s">
        <v>344</v>
      </c>
      <c r="HV1" s="12" t="s">
        <v>186</v>
      </c>
      <c r="HW1" s="12" t="s">
        <v>90</v>
      </c>
      <c r="HX1" s="12" t="s">
        <v>111</v>
      </c>
      <c r="HY1" s="12" t="s">
        <v>89</v>
      </c>
      <c r="HZ1" s="12" t="s">
        <v>247</v>
      </c>
      <c r="IA1" s="12" t="s">
        <v>330</v>
      </c>
      <c r="IB1" s="12" t="s">
        <v>323</v>
      </c>
      <c r="IC1" s="12" t="s">
        <v>324</v>
      </c>
      <c r="ID1" s="5" t="s">
        <v>28</v>
      </c>
      <c r="IE1" s="5" t="s">
        <v>184</v>
      </c>
      <c r="IF1" s="5" t="s">
        <v>82</v>
      </c>
      <c r="IG1" s="5" t="s">
        <v>339</v>
      </c>
      <c r="IH1" s="29" t="s">
        <v>124</v>
      </c>
      <c r="II1" s="29" t="s">
        <v>275</v>
      </c>
      <c r="IJ1" s="29" t="s">
        <v>271</v>
      </c>
      <c r="IK1" s="29" t="s">
        <v>325</v>
      </c>
      <c r="IL1" s="29" t="s">
        <v>119</v>
      </c>
      <c r="IM1" s="5" t="s">
        <v>284</v>
      </c>
      <c r="IN1" s="5" t="s">
        <v>338</v>
      </c>
      <c r="IO1" s="5" t="s">
        <v>41</v>
      </c>
      <c r="IP1" s="5" t="s">
        <v>262</v>
      </c>
      <c r="IQ1" s="5" t="s">
        <v>222</v>
      </c>
      <c r="IR1" s="5" t="s">
        <v>36</v>
      </c>
      <c r="IS1" s="5" t="s">
        <v>135</v>
      </c>
      <c r="IT1" s="5" t="s">
        <v>152</v>
      </c>
      <c r="IU1" s="5" t="s">
        <v>39</v>
      </c>
      <c r="IV1" s="5" t="s">
        <v>52</v>
      </c>
      <c r="IW1" s="5" t="s">
        <v>32</v>
      </c>
      <c r="IX1" s="5" t="s">
        <v>130</v>
      </c>
      <c r="IY1" s="38" t="s">
        <v>4</v>
      </c>
      <c r="IZ1" s="39" t="s">
        <v>5</v>
      </c>
    </row>
    <row r="2" spans="1:260" s="2" customFormat="1" ht="12.75" customHeight="1" x14ac:dyDescent="0.2">
      <c r="A2" s="28">
        <v>43105</v>
      </c>
      <c r="B2" s="32" t="s">
        <v>208</v>
      </c>
      <c r="C2" s="23"/>
      <c r="D2" s="23"/>
      <c r="E2" s="24"/>
      <c r="F2" s="24"/>
      <c r="G2" s="24"/>
      <c r="H2" s="24"/>
      <c r="I2" s="24"/>
      <c r="J2" s="24"/>
      <c r="K2" s="24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>
        <v>4</v>
      </c>
      <c r="CP2" s="7"/>
      <c r="CQ2" s="7"/>
      <c r="CR2" s="7"/>
      <c r="CS2" s="7"/>
      <c r="CT2" s="7"/>
      <c r="CU2" s="7"/>
      <c r="CV2" s="7"/>
      <c r="CW2" s="7"/>
      <c r="CX2" s="7"/>
      <c r="CY2" s="7">
        <v>2.4</v>
      </c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11">
        <f t="shared" ref="IY2:IY64" si="0">SUBTOTAL(9,C2:IX2)</f>
        <v>6.4</v>
      </c>
      <c r="IZ2" s="25" t="s">
        <v>25</v>
      </c>
    </row>
    <row r="3" spans="1:260" s="2" customFormat="1" ht="12.75" customHeight="1" x14ac:dyDescent="0.2">
      <c r="A3" s="28">
        <v>43108</v>
      </c>
      <c r="B3" s="33" t="s">
        <v>30</v>
      </c>
      <c r="C3" s="23"/>
      <c r="D3" s="23"/>
      <c r="E3" s="24"/>
      <c r="F3" s="24"/>
      <c r="G3" s="24"/>
      <c r="H3" s="24"/>
      <c r="I3" s="24"/>
      <c r="J3" s="24"/>
      <c r="K3" s="24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>
        <v>20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>
        <v>9</v>
      </c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>
        <v>20</v>
      </c>
      <c r="CQ3" s="7"/>
      <c r="CR3" s="7"/>
      <c r="CS3" s="7"/>
      <c r="CT3" s="7"/>
      <c r="CU3" s="7"/>
      <c r="CV3" s="7"/>
      <c r="CW3" s="7"/>
      <c r="CX3" s="7"/>
      <c r="CY3" s="7"/>
      <c r="CZ3" s="7"/>
      <c r="DA3" s="7">
        <v>10</v>
      </c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>
        <v>10</v>
      </c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11">
        <f t="shared" si="0"/>
        <v>69</v>
      </c>
      <c r="IZ3" s="25" t="s">
        <v>25</v>
      </c>
    </row>
    <row r="4" spans="1:260" s="2" customFormat="1" ht="12.75" customHeight="1" x14ac:dyDescent="0.2">
      <c r="A4" s="28">
        <v>43109</v>
      </c>
      <c r="B4" s="31" t="s">
        <v>215</v>
      </c>
      <c r="C4" s="23"/>
      <c r="D4" s="23"/>
      <c r="E4" s="24"/>
      <c r="F4" s="24"/>
      <c r="G4" s="24"/>
      <c r="H4" s="24"/>
      <c r="I4" s="24"/>
      <c r="J4" s="24"/>
      <c r="K4" s="24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>
        <v>10</v>
      </c>
      <c r="DQ4" s="7"/>
      <c r="DR4" s="7"/>
      <c r="DS4" s="7"/>
      <c r="DT4" s="7"/>
      <c r="DU4" s="7"/>
      <c r="DV4" s="7"/>
      <c r="DW4" s="7">
        <v>4</v>
      </c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>
        <v>10</v>
      </c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>
        <v>10</v>
      </c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11">
        <f t="shared" si="0"/>
        <v>34</v>
      </c>
      <c r="IZ4" s="25" t="s">
        <v>25</v>
      </c>
    </row>
    <row r="5" spans="1:260" s="2" customFormat="1" ht="12.75" customHeight="1" x14ac:dyDescent="0.2">
      <c r="A5" s="28">
        <v>43110</v>
      </c>
      <c r="B5" s="32" t="s">
        <v>234</v>
      </c>
      <c r="C5" s="23"/>
      <c r="D5" s="23"/>
      <c r="E5" s="24"/>
      <c r="F5" s="24"/>
      <c r="G5" s="24"/>
      <c r="H5" s="24"/>
      <c r="I5" s="24"/>
      <c r="J5" s="24"/>
      <c r="K5" s="24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>
        <v>1</v>
      </c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11">
        <f t="shared" si="0"/>
        <v>1</v>
      </c>
      <c r="IZ5" s="25" t="s">
        <v>25</v>
      </c>
    </row>
    <row r="6" spans="1:260" s="2" customFormat="1" ht="12.75" customHeight="1" x14ac:dyDescent="0.2">
      <c r="A6" s="28">
        <v>43112</v>
      </c>
      <c r="B6" s="31" t="s">
        <v>237</v>
      </c>
      <c r="C6" s="23"/>
      <c r="D6" s="23"/>
      <c r="E6" s="24"/>
      <c r="F6" s="24"/>
      <c r="G6" s="24"/>
      <c r="H6" s="24"/>
      <c r="I6" s="24"/>
      <c r="J6" s="24"/>
      <c r="K6" s="24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>
        <v>0.8</v>
      </c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11">
        <f t="shared" si="0"/>
        <v>0.8</v>
      </c>
      <c r="IZ6" s="25" t="s">
        <v>25</v>
      </c>
    </row>
    <row r="7" spans="1:260" s="2" customFormat="1" ht="12.75" customHeight="1" x14ac:dyDescent="0.2">
      <c r="A7" s="28">
        <v>43115</v>
      </c>
      <c r="B7" s="32" t="s">
        <v>246</v>
      </c>
      <c r="C7" s="23"/>
      <c r="D7" s="23"/>
      <c r="E7" s="24"/>
      <c r="F7" s="24"/>
      <c r="G7" s="24"/>
      <c r="H7" s="24"/>
      <c r="I7" s="24"/>
      <c r="J7" s="24"/>
      <c r="K7" s="2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>
        <v>10</v>
      </c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11">
        <f t="shared" si="0"/>
        <v>10</v>
      </c>
      <c r="IZ7" s="25" t="s">
        <v>25</v>
      </c>
    </row>
    <row r="8" spans="1:260" s="2" customFormat="1" ht="12.75" customHeight="1" x14ac:dyDescent="0.2">
      <c r="A8" s="28">
        <v>43116</v>
      </c>
      <c r="B8" s="31" t="s">
        <v>78</v>
      </c>
      <c r="C8" s="23"/>
      <c r="D8" s="23"/>
      <c r="E8" s="24"/>
      <c r="F8" s="24"/>
      <c r="G8" s="24"/>
      <c r="H8" s="24"/>
      <c r="I8" s="24"/>
      <c r="J8" s="24"/>
      <c r="K8" s="24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>
        <v>2.7</v>
      </c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>
        <v>1</v>
      </c>
      <c r="IY8" s="11">
        <f t="shared" si="0"/>
        <v>3.7</v>
      </c>
      <c r="IZ8" s="25" t="s">
        <v>25</v>
      </c>
    </row>
    <row r="9" spans="1:260" s="2" customFormat="1" ht="12.75" customHeight="1" x14ac:dyDescent="0.2">
      <c r="A9" s="28">
        <v>43119</v>
      </c>
      <c r="B9" s="31" t="s">
        <v>163</v>
      </c>
      <c r="C9" s="23"/>
      <c r="D9" s="23"/>
      <c r="E9" s="24"/>
      <c r="F9" s="24"/>
      <c r="G9" s="24"/>
      <c r="H9" s="24"/>
      <c r="I9" s="24"/>
      <c r="J9" s="24"/>
      <c r="K9" s="24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>
        <v>100</v>
      </c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11">
        <f t="shared" si="0"/>
        <v>100</v>
      </c>
      <c r="IZ9" s="25" t="s">
        <v>25</v>
      </c>
    </row>
    <row r="10" spans="1:260" s="2" customFormat="1" ht="12.75" customHeight="1" x14ac:dyDescent="0.2">
      <c r="A10" s="28">
        <v>43119</v>
      </c>
      <c r="B10" s="27" t="s">
        <v>239</v>
      </c>
      <c r="C10" s="23"/>
      <c r="D10" s="23"/>
      <c r="E10" s="24"/>
      <c r="F10" s="24"/>
      <c r="G10" s="24"/>
      <c r="H10" s="24"/>
      <c r="I10" s="24"/>
      <c r="J10" s="24"/>
      <c r="K10" s="24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>
        <v>1</v>
      </c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11">
        <f t="shared" si="0"/>
        <v>1</v>
      </c>
      <c r="IZ10" s="25" t="s">
        <v>57</v>
      </c>
    </row>
    <row r="11" spans="1:260" s="2" customFormat="1" ht="12.75" customHeight="1" x14ac:dyDescent="0.2">
      <c r="A11" s="28">
        <v>43122</v>
      </c>
      <c r="B11" s="31" t="s">
        <v>211</v>
      </c>
      <c r="C11" s="23"/>
      <c r="D11" s="23"/>
      <c r="E11" s="24"/>
      <c r="F11" s="24"/>
      <c r="G11" s="24"/>
      <c r="H11" s="24"/>
      <c r="I11" s="24">
        <v>10</v>
      </c>
      <c r="J11" s="24"/>
      <c r="K11" s="24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11">
        <f t="shared" si="0"/>
        <v>10</v>
      </c>
      <c r="IZ11" s="25" t="s">
        <v>25</v>
      </c>
    </row>
    <row r="12" spans="1:260" s="2" customFormat="1" ht="12.75" customHeight="1" x14ac:dyDescent="0.2">
      <c r="A12" s="28">
        <v>43122</v>
      </c>
      <c r="B12" s="31" t="s">
        <v>173</v>
      </c>
      <c r="C12" s="23"/>
      <c r="D12" s="23"/>
      <c r="E12" s="24"/>
      <c r="F12" s="24"/>
      <c r="G12" s="24"/>
      <c r="H12" s="24"/>
      <c r="I12" s="24"/>
      <c r="J12" s="24"/>
      <c r="K12" s="24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>
        <v>30</v>
      </c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11">
        <f t="shared" si="0"/>
        <v>30</v>
      </c>
      <c r="IZ12" s="25" t="s">
        <v>25</v>
      </c>
    </row>
    <row r="13" spans="1:260" s="2" customFormat="1" ht="12.75" customHeight="1" x14ac:dyDescent="0.2">
      <c r="A13" s="28">
        <v>43122</v>
      </c>
      <c r="B13" s="31" t="s">
        <v>43</v>
      </c>
      <c r="C13" s="23"/>
      <c r="D13" s="23"/>
      <c r="E13" s="24"/>
      <c r="F13" s="24"/>
      <c r="G13" s="24"/>
      <c r="H13" s="24"/>
      <c r="I13" s="24"/>
      <c r="J13" s="24"/>
      <c r="K13" s="24"/>
      <c r="L13" s="7"/>
      <c r="M13" s="7"/>
      <c r="N13" s="7"/>
      <c r="O13" s="7"/>
      <c r="P13" s="7"/>
      <c r="Q13" s="7"/>
      <c r="R13" s="7"/>
      <c r="S13" s="7"/>
      <c r="T13" s="7"/>
      <c r="U13" s="7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>
        <v>100</v>
      </c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>
        <v>30</v>
      </c>
      <c r="ER13" s="7">
        <v>99</v>
      </c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11">
        <f t="shared" si="0"/>
        <v>265</v>
      </c>
      <c r="IZ13" s="25" t="s">
        <v>25</v>
      </c>
    </row>
    <row r="14" spans="1:260" s="2" customFormat="1" ht="12.75" customHeight="1" x14ac:dyDescent="0.2">
      <c r="A14" s="28">
        <v>43122</v>
      </c>
      <c r="B14" s="31" t="s">
        <v>243</v>
      </c>
      <c r="C14" s="23"/>
      <c r="D14" s="23"/>
      <c r="E14" s="24"/>
      <c r="F14" s="24"/>
      <c r="G14" s="24"/>
      <c r="H14" s="24"/>
      <c r="I14" s="24"/>
      <c r="J14" s="24"/>
      <c r="K14" s="24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>
        <v>10</v>
      </c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11">
        <f t="shared" si="0"/>
        <v>10</v>
      </c>
      <c r="IZ14" s="25" t="s">
        <v>25</v>
      </c>
    </row>
    <row r="15" spans="1:260" s="2" customFormat="1" ht="12.75" customHeight="1" x14ac:dyDescent="0.2">
      <c r="A15" s="28">
        <v>43122</v>
      </c>
      <c r="B15" s="32" t="s">
        <v>64</v>
      </c>
      <c r="C15" s="23"/>
      <c r="D15" s="23"/>
      <c r="E15" s="24"/>
      <c r="F15" s="24"/>
      <c r="G15" s="24"/>
      <c r="H15" s="24"/>
      <c r="I15" s="24"/>
      <c r="J15" s="24"/>
      <c r="K15" s="24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>
        <v>90</v>
      </c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11">
        <f t="shared" si="0"/>
        <v>90</v>
      </c>
      <c r="IZ15" s="25" t="s">
        <v>25</v>
      </c>
    </row>
    <row r="16" spans="1:260" s="2" customFormat="1" ht="12.75" customHeight="1" x14ac:dyDescent="0.2">
      <c r="A16" s="28">
        <v>43123</v>
      </c>
      <c r="B16" s="31" t="s">
        <v>177</v>
      </c>
      <c r="C16" s="23"/>
      <c r="D16" s="23"/>
      <c r="E16" s="24"/>
      <c r="F16" s="24"/>
      <c r="G16" s="24"/>
      <c r="H16" s="24"/>
      <c r="I16" s="24"/>
      <c r="J16" s="24"/>
      <c r="K16" s="24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>
        <v>2</v>
      </c>
      <c r="IP16" s="7"/>
      <c r="IQ16" s="7"/>
      <c r="IR16" s="7"/>
      <c r="IS16" s="7"/>
      <c r="IT16" s="7"/>
      <c r="IU16" s="7"/>
      <c r="IV16" s="7"/>
      <c r="IW16" s="7"/>
      <c r="IX16" s="7"/>
      <c r="IY16" s="11">
        <f t="shared" si="0"/>
        <v>2</v>
      </c>
      <c r="IZ16" s="25" t="s">
        <v>57</v>
      </c>
    </row>
    <row r="17" spans="1:260" s="2" customFormat="1" ht="12.75" customHeight="1" x14ac:dyDescent="0.2">
      <c r="A17" s="28">
        <v>43123</v>
      </c>
      <c r="B17" s="33" t="s">
        <v>22</v>
      </c>
      <c r="C17" s="23"/>
      <c r="D17" s="23"/>
      <c r="E17" s="24"/>
      <c r="F17" s="24"/>
      <c r="G17" s="24"/>
      <c r="H17" s="24"/>
      <c r="I17" s="24"/>
      <c r="J17" s="24"/>
      <c r="K17" s="24">
        <v>60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>
        <v>40</v>
      </c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70</v>
      </c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>
        <v>10</v>
      </c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>
        <v>25</v>
      </c>
      <c r="IF17" s="7">
        <v>20</v>
      </c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>
        <v>50</v>
      </c>
      <c r="IU17" s="7"/>
      <c r="IV17" s="7"/>
      <c r="IW17" s="7"/>
      <c r="IX17" s="7"/>
      <c r="IY17" s="11">
        <f t="shared" si="0"/>
        <v>275</v>
      </c>
      <c r="IZ17" s="25" t="s">
        <v>25</v>
      </c>
    </row>
    <row r="18" spans="1:260" s="2" customFormat="1" ht="12.75" customHeight="1" x14ac:dyDescent="0.2">
      <c r="A18" s="28">
        <v>43123</v>
      </c>
      <c r="B18" s="32" t="s">
        <v>122</v>
      </c>
      <c r="C18" s="23"/>
      <c r="D18" s="23"/>
      <c r="E18" s="24"/>
      <c r="F18" s="24"/>
      <c r="G18" s="24"/>
      <c r="H18" s="24"/>
      <c r="I18" s="24"/>
      <c r="J18" s="24"/>
      <c r="K18" s="24"/>
      <c r="L18" s="7"/>
      <c r="M18" s="7"/>
      <c r="N18" s="7"/>
      <c r="O18" s="7"/>
      <c r="P18" s="7">
        <v>1.6</v>
      </c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>
        <v>1</v>
      </c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11">
        <f t="shared" si="0"/>
        <v>2.6</v>
      </c>
      <c r="IZ18" s="25" t="s">
        <v>57</v>
      </c>
    </row>
    <row r="19" spans="1:260" s="2" customFormat="1" ht="12.75" customHeight="1" x14ac:dyDescent="0.2">
      <c r="A19" s="28">
        <v>43123</v>
      </c>
      <c r="B19" s="27" t="s">
        <v>245</v>
      </c>
      <c r="C19" s="23"/>
      <c r="D19" s="23"/>
      <c r="E19" s="24"/>
      <c r="F19" s="24"/>
      <c r="G19" s="24"/>
      <c r="H19" s="24"/>
      <c r="I19" s="24"/>
      <c r="J19" s="24"/>
      <c r="K19" s="24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>
        <v>3</v>
      </c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11">
        <f t="shared" si="0"/>
        <v>3</v>
      </c>
      <c r="IZ19" s="25" t="s">
        <v>25</v>
      </c>
    </row>
    <row r="20" spans="1:260" s="2" customFormat="1" ht="12.75" customHeight="1" x14ac:dyDescent="0.2">
      <c r="A20" s="28">
        <v>43123</v>
      </c>
      <c r="B20" s="32" t="s">
        <v>182</v>
      </c>
      <c r="C20" s="23"/>
      <c r="D20" s="23"/>
      <c r="E20" s="24"/>
      <c r="F20" s="24"/>
      <c r="G20" s="24"/>
      <c r="H20" s="24"/>
      <c r="I20" s="24"/>
      <c r="J20" s="24"/>
      <c r="K20" s="24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>
        <v>3.3</v>
      </c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11">
        <f t="shared" si="0"/>
        <v>3.3</v>
      </c>
      <c r="IZ20" s="25" t="s">
        <v>25</v>
      </c>
    </row>
    <row r="21" spans="1:260" s="2" customFormat="1" ht="12.75" customHeight="1" x14ac:dyDescent="0.2">
      <c r="A21" s="28">
        <v>43123</v>
      </c>
      <c r="B21" s="32" t="s">
        <v>208</v>
      </c>
      <c r="C21" s="23"/>
      <c r="D21" s="23"/>
      <c r="E21" s="24"/>
      <c r="F21" s="24"/>
      <c r="G21" s="24"/>
      <c r="H21" s="24"/>
      <c r="I21" s="24"/>
      <c r="J21" s="24"/>
      <c r="K21" s="24"/>
      <c r="L21" s="7"/>
      <c r="M21" s="7"/>
      <c r="N21" s="7"/>
      <c r="O21" s="7"/>
      <c r="P21" s="7"/>
      <c r="Q21" s="7"/>
      <c r="R21" s="7">
        <v>10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>
        <v>12</v>
      </c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>
        <v>4.5</v>
      </c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11">
        <f t="shared" si="0"/>
        <v>26.5</v>
      </c>
      <c r="IZ21" s="25" t="s">
        <v>25</v>
      </c>
    </row>
    <row r="22" spans="1:260" s="2" customFormat="1" ht="12.75" customHeight="1" x14ac:dyDescent="0.2">
      <c r="A22" s="28">
        <v>43123</v>
      </c>
      <c r="B22" s="31" t="s">
        <v>215</v>
      </c>
      <c r="C22" s="23"/>
      <c r="D22" s="23"/>
      <c r="E22" s="24"/>
      <c r="F22" s="24"/>
      <c r="G22" s="24"/>
      <c r="H22" s="24"/>
      <c r="I22" s="24"/>
      <c r="J22" s="24">
        <v>20</v>
      </c>
      <c r="K22" s="24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>
        <v>7</v>
      </c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11">
        <f t="shared" si="0"/>
        <v>27</v>
      </c>
      <c r="IZ22" s="25" t="s">
        <v>25</v>
      </c>
    </row>
    <row r="23" spans="1:260" s="2" customFormat="1" ht="12.75" customHeight="1" x14ac:dyDescent="0.2">
      <c r="A23" s="28">
        <v>43123</v>
      </c>
      <c r="B23" s="31" t="s">
        <v>237</v>
      </c>
      <c r="C23" s="23"/>
      <c r="D23" s="23"/>
      <c r="E23" s="24"/>
      <c r="F23" s="24"/>
      <c r="G23" s="24"/>
      <c r="H23" s="24"/>
      <c r="I23" s="24"/>
      <c r="J23" s="24"/>
      <c r="K23" s="24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>
        <v>0.8</v>
      </c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>
        <v>3.3</v>
      </c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11">
        <f t="shared" si="0"/>
        <v>4.0999999999999996</v>
      </c>
      <c r="IZ23" s="25" t="s">
        <v>25</v>
      </c>
    </row>
    <row r="24" spans="1:260" s="2" customFormat="1" ht="12.75" customHeight="1" x14ac:dyDescent="0.2">
      <c r="A24" s="28">
        <v>43123</v>
      </c>
      <c r="B24" s="32" t="s">
        <v>246</v>
      </c>
      <c r="C24" s="23"/>
      <c r="D24" s="23"/>
      <c r="E24" s="24"/>
      <c r="F24" s="24"/>
      <c r="G24" s="24"/>
      <c r="H24" s="24"/>
      <c r="I24" s="24"/>
      <c r="J24" s="24"/>
      <c r="K24" s="24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>
        <v>20</v>
      </c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11">
        <f t="shared" si="0"/>
        <v>20</v>
      </c>
      <c r="IZ24" s="25" t="s">
        <v>25</v>
      </c>
    </row>
    <row r="25" spans="1:260" s="2" customFormat="1" ht="12.75" customHeight="1" x14ac:dyDescent="0.2">
      <c r="A25" s="28">
        <v>43123</v>
      </c>
      <c r="B25" s="32" t="s">
        <v>248</v>
      </c>
      <c r="C25" s="23"/>
      <c r="D25" s="23"/>
      <c r="E25" s="24"/>
      <c r="F25" s="24"/>
      <c r="G25" s="24"/>
      <c r="H25" s="24"/>
      <c r="I25" s="24"/>
      <c r="J25" s="24"/>
      <c r="K25" s="24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>
        <v>22.5</v>
      </c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11">
        <f t="shared" si="0"/>
        <v>22.5</v>
      </c>
      <c r="IZ25" s="25" t="s">
        <v>57</v>
      </c>
    </row>
    <row r="26" spans="1:260" s="2" customFormat="1" ht="12.75" customHeight="1" x14ac:dyDescent="0.2">
      <c r="A26" s="28">
        <v>43123</v>
      </c>
      <c r="B26" s="32" t="s">
        <v>234</v>
      </c>
      <c r="C26" s="23"/>
      <c r="D26" s="23"/>
      <c r="E26" s="24"/>
      <c r="F26" s="24"/>
      <c r="G26" s="24"/>
      <c r="H26" s="24"/>
      <c r="I26" s="24"/>
      <c r="J26" s="24"/>
      <c r="K26" s="24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>
        <v>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>
        <v>1</v>
      </c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>
        <v>1.1000000000000001</v>
      </c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>
        <v>1</v>
      </c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11">
        <f t="shared" si="0"/>
        <v>4.0999999999999996</v>
      </c>
      <c r="IZ26" s="25" t="s">
        <v>25</v>
      </c>
    </row>
    <row r="27" spans="1:260" s="2" customFormat="1" ht="12.75" customHeight="1" x14ac:dyDescent="0.2">
      <c r="A27" s="28">
        <v>43123</v>
      </c>
      <c r="B27" s="32" t="s">
        <v>69</v>
      </c>
      <c r="C27" s="23"/>
      <c r="D27" s="23"/>
      <c r="E27" s="24"/>
      <c r="F27" s="24"/>
      <c r="G27" s="24"/>
      <c r="H27" s="24"/>
      <c r="I27" s="24"/>
      <c r="J27" s="24"/>
      <c r="K27" s="24"/>
      <c r="L27" s="7"/>
      <c r="M27" s="7"/>
      <c r="N27" s="7"/>
      <c r="O27" s="7"/>
      <c r="P27" s="7"/>
      <c r="Q27" s="7">
        <v>8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>
        <v>2</v>
      </c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>
        <v>9</v>
      </c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>
        <v>10</v>
      </c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>
        <v>4.5</v>
      </c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11">
        <f t="shared" si="0"/>
        <v>33.5</v>
      </c>
      <c r="IZ27" s="25" t="s">
        <v>25</v>
      </c>
    </row>
    <row r="28" spans="1:260" s="2" customFormat="1" ht="12.75" customHeight="1" x14ac:dyDescent="0.2">
      <c r="A28" s="28">
        <v>43124</v>
      </c>
      <c r="B28" s="33" t="s">
        <v>123</v>
      </c>
      <c r="C28" s="23"/>
      <c r="D28" s="23"/>
      <c r="E28" s="24"/>
      <c r="F28" s="24"/>
      <c r="G28" s="24"/>
      <c r="H28" s="24"/>
      <c r="I28" s="24"/>
      <c r="J28" s="24"/>
      <c r="K28" s="24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>
        <v>30</v>
      </c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11">
        <f t="shared" si="0"/>
        <v>30</v>
      </c>
      <c r="IZ28" s="25" t="s">
        <v>25</v>
      </c>
    </row>
    <row r="29" spans="1:260" s="2" customFormat="1" ht="12.75" customHeight="1" x14ac:dyDescent="0.2">
      <c r="A29" s="28">
        <v>43124</v>
      </c>
      <c r="B29" s="32" t="s">
        <v>143</v>
      </c>
      <c r="C29" s="23"/>
      <c r="D29" s="23"/>
      <c r="E29" s="24">
        <v>20</v>
      </c>
      <c r="F29" s="24"/>
      <c r="G29" s="24"/>
      <c r="H29" s="24"/>
      <c r="I29" s="24"/>
      <c r="J29" s="24"/>
      <c r="K29" s="24"/>
      <c r="L29" s="7"/>
      <c r="M29" s="7">
        <v>27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>
        <v>30</v>
      </c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11">
        <f t="shared" si="0"/>
        <v>77</v>
      </c>
      <c r="IZ29" s="25" t="s">
        <v>25</v>
      </c>
    </row>
    <row r="30" spans="1:260" s="2" customFormat="1" ht="12.75" customHeight="1" x14ac:dyDescent="0.2">
      <c r="A30" s="28">
        <v>43124</v>
      </c>
      <c r="B30" s="32" t="s">
        <v>190</v>
      </c>
      <c r="C30" s="23"/>
      <c r="D30" s="23"/>
      <c r="E30" s="24"/>
      <c r="F30" s="24"/>
      <c r="G30" s="24"/>
      <c r="H30" s="24"/>
      <c r="I30" s="24"/>
      <c r="J30" s="24"/>
      <c r="K30" s="24"/>
      <c r="L30" s="7"/>
      <c r="M30" s="7"/>
      <c r="N30" s="7"/>
      <c r="O30" s="7"/>
      <c r="P30" s="7"/>
      <c r="Q30" s="7"/>
      <c r="R30" s="7">
        <v>20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>
        <v>10</v>
      </c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>
        <v>10</v>
      </c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11">
        <f t="shared" si="0"/>
        <v>40</v>
      </c>
      <c r="IZ30" s="25" t="s">
        <v>25</v>
      </c>
    </row>
    <row r="31" spans="1:260" s="2" customFormat="1" ht="12.75" customHeight="1" x14ac:dyDescent="0.2">
      <c r="A31" s="28">
        <v>43129</v>
      </c>
      <c r="B31" s="27" t="s">
        <v>245</v>
      </c>
      <c r="C31" s="23"/>
      <c r="D31" s="23"/>
      <c r="E31" s="24"/>
      <c r="F31" s="24"/>
      <c r="G31" s="24"/>
      <c r="H31" s="24"/>
      <c r="I31" s="24"/>
      <c r="J31" s="24"/>
      <c r="K31" s="24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>
        <v>11</v>
      </c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11">
        <f t="shared" si="0"/>
        <v>11</v>
      </c>
      <c r="IZ31" s="25" t="s">
        <v>25</v>
      </c>
    </row>
    <row r="32" spans="1:260" s="2" customFormat="1" ht="12.75" customHeight="1" x14ac:dyDescent="0.2">
      <c r="A32" s="28">
        <v>43130</v>
      </c>
      <c r="B32" s="31" t="s">
        <v>244</v>
      </c>
      <c r="C32" s="23"/>
      <c r="D32" s="23"/>
      <c r="E32" s="24"/>
      <c r="F32" s="24"/>
      <c r="G32" s="24"/>
      <c r="H32" s="24"/>
      <c r="I32" s="24"/>
      <c r="J32" s="24"/>
      <c r="K32" s="24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>
        <v>1</v>
      </c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11">
        <f t="shared" si="0"/>
        <v>1</v>
      </c>
      <c r="IZ32" s="25" t="s">
        <v>25</v>
      </c>
    </row>
    <row r="33" spans="1:260" s="2" customFormat="1" ht="12.75" customHeight="1" x14ac:dyDescent="0.2">
      <c r="A33" s="28">
        <v>43136</v>
      </c>
      <c r="B33" s="33" t="s">
        <v>29</v>
      </c>
      <c r="C33" s="23"/>
      <c r="D33" s="23"/>
      <c r="E33" s="24"/>
      <c r="F33" s="24"/>
      <c r="G33" s="24"/>
      <c r="H33" s="24"/>
      <c r="I33" s="24"/>
      <c r="J33" s="24"/>
      <c r="K33" s="24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>
        <v>15</v>
      </c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11">
        <f t="shared" si="0"/>
        <v>15</v>
      </c>
      <c r="IZ33" s="25" t="s">
        <v>25</v>
      </c>
    </row>
    <row r="34" spans="1:260" s="2" customFormat="1" ht="12.75" customHeight="1" x14ac:dyDescent="0.2">
      <c r="A34" s="28">
        <v>43136</v>
      </c>
      <c r="B34" s="32" t="s">
        <v>64</v>
      </c>
      <c r="C34" s="23"/>
      <c r="D34" s="23"/>
      <c r="E34" s="24"/>
      <c r="F34" s="24"/>
      <c r="G34" s="24"/>
      <c r="H34" s="24"/>
      <c r="I34" s="24"/>
      <c r="J34" s="24"/>
      <c r="K34" s="24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>
        <v>10</v>
      </c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11">
        <f t="shared" si="0"/>
        <v>10</v>
      </c>
      <c r="IZ34" s="25" t="s">
        <v>25</v>
      </c>
    </row>
    <row r="35" spans="1:260" s="2" customFormat="1" ht="12.75" customHeight="1" x14ac:dyDescent="0.2">
      <c r="A35" s="28">
        <v>43136</v>
      </c>
      <c r="B35" s="33" t="s">
        <v>51</v>
      </c>
      <c r="C35" s="23"/>
      <c r="D35" s="23"/>
      <c r="E35" s="24"/>
      <c r="F35" s="24"/>
      <c r="G35" s="24"/>
      <c r="H35" s="24"/>
      <c r="I35" s="24"/>
      <c r="J35" s="24"/>
      <c r="K35" s="24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>
        <v>100</v>
      </c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>
        <v>22</v>
      </c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>
        <v>40</v>
      </c>
      <c r="IT35" s="7"/>
      <c r="IU35" s="7"/>
      <c r="IV35" s="7"/>
      <c r="IW35" s="7"/>
      <c r="IX35" s="7"/>
      <c r="IY35" s="11">
        <f t="shared" si="0"/>
        <v>162</v>
      </c>
      <c r="IZ35" s="25" t="s">
        <v>25</v>
      </c>
    </row>
    <row r="36" spans="1:260" s="2" customFormat="1" ht="12.75" customHeight="1" x14ac:dyDescent="0.2">
      <c r="A36" s="28">
        <v>43136</v>
      </c>
      <c r="B36" s="31" t="s">
        <v>43</v>
      </c>
      <c r="C36" s="23"/>
      <c r="D36" s="23"/>
      <c r="E36" s="24"/>
      <c r="F36" s="24"/>
      <c r="G36" s="24"/>
      <c r="H36" s="24"/>
      <c r="I36" s="24"/>
      <c r="J36" s="24"/>
      <c r="K36" s="24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>
        <v>20</v>
      </c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>
        <v>20</v>
      </c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>
        <v>10</v>
      </c>
      <c r="BV36" s="7"/>
      <c r="BW36" s="7"/>
      <c r="BX36" s="7"/>
      <c r="BY36" s="7">
        <v>10</v>
      </c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>
        <v>30</v>
      </c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11">
        <f t="shared" si="0"/>
        <v>90</v>
      </c>
      <c r="IZ36" s="25" t="s">
        <v>25</v>
      </c>
    </row>
    <row r="37" spans="1:260" s="2" customFormat="1" ht="12.75" customHeight="1" x14ac:dyDescent="0.2">
      <c r="A37" s="28">
        <v>43136</v>
      </c>
      <c r="B37" s="32" t="s">
        <v>248</v>
      </c>
      <c r="C37" s="23"/>
      <c r="D37" s="23"/>
      <c r="E37" s="24"/>
      <c r="F37" s="24"/>
      <c r="G37" s="24"/>
      <c r="H37" s="24"/>
      <c r="I37" s="24"/>
      <c r="J37" s="24"/>
      <c r="K37" s="24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>
        <v>4.5</v>
      </c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11">
        <f t="shared" si="0"/>
        <v>4.5</v>
      </c>
      <c r="IZ37" s="25" t="s">
        <v>57</v>
      </c>
    </row>
    <row r="38" spans="1:260" s="2" customFormat="1" ht="12.75" customHeight="1" x14ac:dyDescent="0.2">
      <c r="A38" s="28">
        <v>43136</v>
      </c>
      <c r="B38" s="31" t="s">
        <v>249</v>
      </c>
      <c r="C38" s="23"/>
      <c r="D38" s="23"/>
      <c r="E38" s="24"/>
      <c r="F38" s="24"/>
      <c r="G38" s="24"/>
      <c r="H38" s="24"/>
      <c r="I38" s="24"/>
      <c r="J38" s="24"/>
      <c r="K38" s="24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10</v>
      </c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>
        <v>10</v>
      </c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11">
        <f t="shared" si="0"/>
        <v>20</v>
      </c>
      <c r="IZ38" s="25" t="s">
        <v>25</v>
      </c>
    </row>
    <row r="39" spans="1:260" s="2" customFormat="1" ht="12.75" customHeight="1" x14ac:dyDescent="0.2">
      <c r="A39" s="28">
        <v>43137</v>
      </c>
      <c r="B39" s="32" t="s">
        <v>194</v>
      </c>
      <c r="C39" s="23"/>
      <c r="D39" s="23"/>
      <c r="E39" s="24"/>
      <c r="F39" s="24"/>
      <c r="G39" s="24"/>
      <c r="H39" s="24"/>
      <c r="I39" s="24"/>
      <c r="J39" s="24"/>
      <c r="K39" s="24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>
        <v>1</v>
      </c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>
        <v>1</v>
      </c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11">
        <f t="shared" si="0"/>
        <v>2</v>
      </c>
      <c r="IZ39" s="25" t="s">
        <v>57</v>
      </c>
    </row>
    <row r="40" spans="1:260" s="2" customFormat="1" ht="12.75" customHeight="1" x14ac:dyDescent="0.2">
      <c r="A40" s="28">
        <v>43137</v>
      </c>
      <c r="B40" s="31" t="s">
        <v>163</v>
      </c>
      <c r="C40" s="23"/>
      <c r="D40" s="23"/>
      <c r="E40" s="24"/>
      <c r="F40" s="24"/>
      <c r="G40" s="24"/>
      <c r="H40" s="24"/>
      <c r="I40" s="24"/>
      <c r="J40" s="24"/>
      <c r="K40" s="24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>
        <v>100</v>
      </c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11">
        <f t="shared" si="0"/>
        <v>100</v>
      </c>
      <c r="IZ40" s="25" t="s">
        <v>25</v>
      </c>
    </row>
    <row r="41" spans="1:260" s="2" customFormat="1" ht="12.75" customHeight="1" x14ac:dyDescent="0.2">
      <c r="A41" s="28">
        <v>43137</v>
      </c>
      <c r="B41" s="32" t="s">
        <v>69</v>
      </c>
      <c r="C41" s="23"/>
      <c r="D41" s="23"/>
      <c r="E41" s="24"/>
      <c r="F41" s="24"/>
      <c r="G41" s="24"/>
      <c r="H41" s="24"/>
      <c r="I41" s="24"/>
      <c r="J41" s="24"/>
      <c r="K41" s="24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>
        <v>8</v>
      </c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>
        <v>10</v>
      </c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>
        <v>5</v>
      </c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11">
        <f t="shared" si="0"/>
        <v>23</v>
      </c>
      <c r="IZ41" s="25" t="s">
        <v>25</v>
      </c>
    </row>
    <row r="42" spans="1:260" s="2" customFormat="1" ht="12.75" customHeight="1" x14ac:dyDescent="0.2">
      <c r="A42" s="28">
        <v>43138</v>
      </c>
      <c r="B42" s="32" t="s">
        <v>44</v>
      </c>
      <c r="C42" s="23"/>
      <c r="D42" s="23"/>
      <c r="E42" s="24"/>
      <c r="F42" s="24">
        <v>1</v>
      </c>
      <c r="G42" s="24"/>
      <c r="H42" s="24"/>
      <c r="I42" s="24"/>
      <c r="J42" s="24"/>
      <c r="K42" s="24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>
        <v>1</v>
      </c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>
        <v>1</v>
      </c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11">
        <f t="shared" si="0"/>
        <v>3</v>
      </c>
      <c r="IZ42" s="25" t="s">
        <v>25</v>
      </c>
    </row>
    <row r="43" spans="1:260" s="2" customFormat="1" ht="12.75" customHeight="1" x14ac:dyDescent="0.2">
      <c r="A43" s="28">
        <v>43138</v>
      </c>
      <c r="B43" s="31" t="s">
        <v>173</v>
      </c>
      <c r="C43" s="23"/>
      <c r="D43" s="23"/>
      <c r="E43" s="24"/>
      <c r="F43" s="24"/>
      <c r="G43" s="24"/>
      <c r="H43" s="24"/>
      <c r="I43" s="24"/>
      <c r="J43" s="24"/>
      <c r="K43" s="24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>
        <v>20</v>
      </c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11">
        <f t="shared" si="0"/>
        <v>20</v>
      </c>
      <c r="IZ43" s="25" t="s">
        <v>25</v>
      </c>
    </row>
    <row r="44" spans="1:260" s="2" customFormat="1" ht="12.75" customHeight="1" x14ac:dyDescent="0.2">
      <c r="A44" s="28">
        <v>43138</v>
      </c>
      <c r="B44" s="32" t="s">
        <v>146</v>
      </c>
      <c r="C44" s="23"/>
      <c r="D44" s="23"/>
      <c r="E44" s="24"/>
      <c r="F44" s="24"/>
      <c r="G44" s="24"/>
      <c r="H44" s="24"/>
      <c r="I44" s="24"/>
      <c r="J44" s="24"/>
      <c r="K44" s="24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>
        <v>9</v>
      </c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11">
        <f t="shared" si="0"/>
        <v>9</v>
      </c>
      <c r="IZ44" s="25" t="s">
        <v>25</v>
      </c>
    </row>
    <row r="45" spans="1:260" s="2" customFormat="1" ht="12.75" customHeight="1" x14ac:dyDescent="0.2">
      <c r="A45" s="28">
        <v>43138</v>
      </c>
      <c r="B45" s="33" t="s">
        <v>22</v>
      </c>
      <c r="C45" s="23"/>
      <c r="D45" s="23"/>
      <c r="E45" s="24"/>
      <c r="F45" s="24"/>
      <c r="G45" s="24"/>
      <c r="H45" s="24"/>
      <c r="I45" s="24"/>
      <c r="J45" s="24"/>
      <c r="K45" s="24">
        <v>60</v>
      </c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100</v>
      </c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>
        <v>20</v>
      </c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11">
        <f t="shared" si="0"/>
        <v>180</v>
      </c>
      <c r="IZ45" s="25" t="s">
        <v>25</v>
      </c>
    </row>
    <row r="46" spans="1:260" s="2" customFormat="1" ht="12.75" customHeight="1" x14ac:dyDescent="0.2">
      <c r="A46" s="28">
        <v>43138</v>
      </c>
      <c r="B46" s="32" t="s">
        <v>268</v>
      </c>
      <c r="C46" s="23"/>
      <c r="D46" s="23"/>
      <c r="E46" s="24"/>
      <c r="F46" s="24"/>
      <c r="G46" s="24"/>
      <c r="H46" s="24"/>
      <c r="I46" s="24"/>
      <c r="J46" s="24"/>
      <c r="K46" s="24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>
        <v>25</v>
      </c>
      <c r="IS46" s="7"/>
      <c r="IT46" s="7"/>
      <c r="IU46" s="7"/>
      <c r="IV46" s="7"/>
      <c r="IW46" s="7"/>
      <c r="IX46" s="7"/>
      <c r="IY46" s="11">
        <f t="shared" si="0"/>
        <v>25</v>
      </c>
      <c r="IZ46" s="25" t="s">
        <v>83</v>
      </c>
    </row>
    <row r="47" spans="1:260" s="2" customFormat="1" ht="12.75" customHeight="1" x14ac:dyDescent="0.2">
      <c r="A47" s="28">
        <v>43138</v>
      </c>
      <c r="B47" s="31" t="s">
        <v>216</v>
      </c>
      <c r="C47" s="23"/>
      <c r="D47" s="23"/>
      <c r="E47" s="24"/>
      <c r="F47" s="24"/>
      <c r="G47" s="24"/>
      <c r="H47" s="24"/>
      <c r="I47" s="24"/>
      <c r="J47" s="24"/>
      <c r="K47" s="24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>
        <v>150</v>
      </c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11">
        <f t="shared" si="0"/>
        <v>150</v>
      </c>
      <c r="IZ47" s="25" t="s">
        <v>25</v>
      </c>
    </row>
    <row r="48" spans="1:260" s="2" customFormat="1" ht="12.75" customHeight="1" x14ac:dyDescent="0.2">
      <c r="A48" s="28">
        <v>43139</v>
      </c>
      <c r="B48" s="32" t="s">
        <v>250</v>
      </c>
      <c r="C48" s="23"/>
      <c r="D48" s="23"/>
      <c r="E48" s="24"/>
      <c r="F48" s="24"/>
      <c r="G48" s="24"/>
      <c r="H48" s="24"/>
      <c r="I48" s="24"/>
      <c r="J48" s="24"/>
      <c r="K48" s="24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>
        <v>100</v>
      </c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11">
        <f t="shared" si="0"/>
        <v>100</v>
      </c>
      <c r="IZ48" s="25" t="s">
        <v>25</v>
      </c>
    </row>
    <row r="49" spans="1:260" s="2" customFormat="1" ht="12.75" customHeight="1" x14ac:dyDescent="0.2">
      <c r="A49" s="28">
        <v>43144</v>
      </c>
      <c r="B49" s="32" t="s">
        <v>122</v>
      </c>
      <c r="C49" s="23"/>
      <c r="D49" s="23"/>
      <c r="E49" s="24"/>
      <c r="F49" s="24"/>
      <c r="G49" s="24"/>
      <c r="H49" s="24"/>
      <c r="I49" s="24"/>
      <c r="J49" s="24"/>
      <c r="K49" s="24"/>
      <c r="L49" s="7"/>
      <c r="M49" s="7"/>
      <c r="N49" s="7"/>
      <c r="O49" s="7"/>
      <c r="P49" s="7">
        <v>0.8</v>
      </c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>
        <v>1</v>
      </c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11">
        <f t="shared" si="0"/>
        <v>1.8</v>
      </c>
      <c r="IZ49" s="25" t="s">
        <v>25</v>
      </c>
    </row>
    <row r="50" spans="1:260" s="2" customFormat="1" ht="12.75" customHeight="1" x14ac:dyDescent="0.2">
      <c r="A50" s="28">
        <v>43143</v>
      </c>
      <c r="B50" s="32" t="s">
        <v>190</v>
      </c>
      <c r="C50" s="23"/>
      <c r="D50" s="23"/>
      <c r="E50" s="24"/>
      <c r="F50" s="24"/>
      <c r="G50" s="24"/>
      <c r="H50" s="24"/>
      <c r="I50" s="24"/>
      <c r="J50" s="24"/>
      <c r="K50" s="24"/>
      <c r="L50" s="7"/>
      <c r="M50" s="7"/>
      <c r="N50" s="7"/>
      <c r="O50" s="7"/>
      <c r="P50" s="7"/>
      <c r="Q50" s="7"/>
      <c r="R50" s="7">
        <v>20</v>
      </c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11">
        <f t="shared" si="0"/>
        <v>20</v>
      </c>
      <c r="IZ50" s="25" t="s">
        <v>25</v>
      </c>
    </row>
    <row r="51" spans="1:260" s="2" customFormat="1" ht="12.75" customHeight="1" x14ac:dyDescent="0.2">
      <c r="A51" s="28">
        <v>43140</v>
      </c>
      <c r="B51" s="32" t="s">
        <v>246</v>
      </c>
      <c r="C51" s="23"/>
      <c r="D51" s="23"/>
      <c r="E51" s="24"/>
      <c r="F51" s="24"/>
      <c r="G51" s="24"/>
      <c r="H51" s="24"/>
      <c r="I51" s="24"/>
      <c r="J51" s="24"/>
      <c r="K51" s="24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>
        <v>40</v>
      </c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11">
        <f t="shared" si="0"/>
        <v>40</v>
      </c>
      <c r="IZ51" s="25" t="s">
        <v>25</v>
      </c>
    </row>
    <row r="52" spans="1:260" s="2" customFormat="1" ht="12.75" customHeight="1" x14ac:dyDescent="0.2">
      <c r="A52" s="28">
        <v>43145</v>
      </c>
      <c r="B52" s="33" t="s">
        <v>22</v>
      </c>
      <c r="C52" s="23"/>
      <c r="D52" s="23"/>
      <c r="E52" s="24"/>
      <c r="F52" s="24"/>
      <c r="G52" s="24"/>
      <c r="H52" s="24"/>
      <c r="I52" s="24"/>
      <c r="J52" s="24"/>
      <c r="K52" s="24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>
        <v>50</v>
      </c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50</v>
      </c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>
        <v>20</v>
      </c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11">
        <f t="shared" si="0"/>
        <v>120</v>
      </c>
      <c r="IZ52" s="25" t="s">
        <v>25</v>
      </c>
    </row>
    <row r="53" spans="1:260" s="2" customFormat="1" ht="12.75" customHeight="1" x14ac:dyDescent="0.2">
      <c r="A53" s="28">
        <v>43147</v>
      </c>
      <c r="B53" s="32" t="s">
        <v>136</v>
      </c>
      <c r="C53" s="23"/>
      <c r="D53" s="23"/>
      <c r="E53" s="24"/>
      <c r="F53" s="24"/>
      <c r="G53" s="24"/>
      <c r="H53" s="24"/>
      <c r="I53" s="24"/>
      <c r="J53" s="24"/>
      <c r="K53" s="24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>
        <v>20</v>
      </c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>
        <v>2</v>
      </c>
      <c r="BG53" s="7"/>
      <c r="BH53" s="7">
        <v>2</v>
      </c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>
        <v>1</v>
      </c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11">
        <f t="shared" si="0"/>
        <v>25</v>
      </c>
      <c r="IZ53" s="25" t="s">
        <v>25</v>
      </c>
    </row>
    <row r="54" spans="1:260" s="2" customFormat="1" ht="12.75" customHeight="1" x14ac:dyDescent="0.2">
      <c r="A54" s="28">
        <v>43150</v>
      </c>
      <c r="B54" s="33" t="s">
        <v>51</v>
      </c>
      <c r="C54" s="23"/>
      <c r="D54" s="23"/>
      <c r="E54" s="24"/>
      <c r="F54" s="24"/>
      <c r="G54" s="24"/>
      <c r="H54" s="24"/>
      <c r="I54" s="24"/>
      <c r="J54" s="24"/>
      <c r="K54" s="24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>
        <v>180</v>
      </c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>
        <v>22</v>
      </c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11">
        <f t="shared" si="0"/>
        <v>202</v>
      </c>
      <c r="IZ54" s="25" t="s">
        <v>25</v>
      </c>
    </row>
    <row r="55" spans="1:260" s="2" customFormat="1" ht="12.75" customHeight="1" x14ac:dyDescent="0.2">
      <c r="A55" s="28">
        <v>43150</v>
      </c>
      <c r="B55" s="32" t="s">
        <v>64</v>
      </c>
      <c r="C55" s="23"/>
      <c r="D55" s="23"/>
      <c r="E55" s="24"/>
      <c r="F55" s="24"/>
      <c r="G55" s="24"/>
      <c r="H55" s="24"/>
      <c r="I55" s="24"/>
      <c r="J55" s="24"/>
      <c r="K55" s="24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>
        <v>20</v>
      </c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11">
        <f t="shared" si="0"/>
        <v>20</v>
      </c>
      <c r="IZ55" s="25" t="s">
        <v>25</v>
      </c>
    </row>
    <row r="56" spans="1:260" s="2" customFormat="1" ht="12.75" customHeight="1" x14ac:dyDescent="0.2">
      <c r="A56" s="28">
        <v>43150</v>
      </c>
      <c r="B56" s="31" t="s">
        <v>181</v>
      </c>
      <c r="C56" s="23"/>
      <c r="D56" s="23"/>
      <c r="E56" s="24"/>
      <c r="F56" s="24"/>
      <c r="G56" s="24"/>
      <c r="H56" s="24"/>
      <c r="I56" s="24"/>
      <c r="J56" s="24"/>
      <c r="K56" s="24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>
        <v>8</v>
      </c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11">
        <f t="shared" si="0"/>
        <v>8</v>
      </c>
      <c r="IZ56" s="25" t="s">
        <v>25</v>
      </c>
    </row>
    <row r="57" spans="1:260" s="2" customFormat="1" ht="12.75" customHeight="1" x14ac:dyDescent="0.2">
      <c r="A57" s="28">
        <v>43150</v>
      </c>
      <c r="B57" s="32" t="s">
        <v>175</v>
      </c>
      <c r="C57" s="23"/>
      <c r="D57" s="23"/>
      <c r="E57" s="24"/>
      <c r="F57" s="24"/>
      <c r="G57" s="24"/>
      <c r="H57" s="24"/>
      <c r="I57" s="24"/>
      <c r="J57" s="24"/>
      <c r="K57" s="24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>
        <v>1</v>
      </c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11">
        <f t="shared" si="0"/>
        <v>1</v>
      </c>
      <c r="IZ57" s="25" t="s">
        <v>25</v>
      </c>
    </row>
    <row r="58" spans="1:260" s="2" customFormat="1" ht="12.75" customHeight="1" x14ac:dyDescent="0.2">
      <c r="A58" s="28">
        <v>43150</v>
      </c>
      <c r="B58" s="31" t="s">
        <v>43</v>
      </c>
      <c r="C58" s="23"/>
      <c r="D58" s="23"/>
      <c r="E58" s="24"/>
      <c r="F58" s="24"/>
      <c r="G58" s="24"/>
      <c r="H58" s="24"/>
      <c r="I58" s="24"/>
      <c r="J58" s="24"/>
      <c r="K58" s="24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>
        <v>20</v>
      </c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>
        <v>10</v>
      </c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>
        <v>10</v>
      </c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>
        <v>50</v>
      </c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>
        <v>10</v>
      </c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11">
        <f t="shared" si="0"/>
        <v>100</v>
      </c>
      <c r="IZ58" s="25" t="s">
        <v>25</v>
      </c>
    </row>
    <row r="59" spans="1:260" s="2" customFormat="1" ht="12.75" customHeight="1" x14ac:dyDescent="0.2">
      <c r="A59" s="28">
        <v>43150</v>
      </c>
      <c r="B59" s="31" t="s">
        <v>257</v>
      </c>
      <c r="C59" s="23"/>
      <c r="D59" s="23"/>
      <c r="E59" s="24"/>
      <c r="F59" s="24"/>
      <c r="G59" s="24"/>
      <c r="H59" s="24"/>
      <c r="I59" s="24"/>
      <c r="J59" s="24"/>
      <c r="K59" s="24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>
        <v>10</v>
      </c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11">
        <f t="shared" si="0"/>
        <v>10</v>
      </c>
      <c r="IZ59" s="25" t="s">
        <v>25</v>
      </c>
    </row>
    <row r="60" spans="1:260" s="2" customFormat="1" ht="12.75" customHeight="1" x14ac:dyDescent="0.2">
      <c r="A60" s="28">
        <v>43150</v>
      </c>
      <c r="B60" s="33" t="s">
        <v>48</v>
      </c>
      <c r="C60" s="23"/>
      <c r="D60" s="23"/>
      <c r="E60" s="24"/>
      <c r="F60" s="24"/>
      <c r="G60" s="24"/>
      <c r="H60" s="24"/>
      <c r="I60" s="24"/>
      <c r="J60" s="24"/>
      <c r="K60" s="24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>
        <v>18</v>
      </c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>
        <v>451</v>
      </c>
      <c r="CN60" s="7"/>
      <c r="CO60" s="7"/>
      <c r="CP60" s="7">
        <v>20</v>
      </c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11">
        <f t="shared" si="0"/>
        <v>489</v>
      </c>
      <c r="IZ60" s="25" t="s">
        <v>25</v>
      </c>
    </row>
    <row r="61" spans="1:260" s="2" customFormat="1" ht="12.75" customHeight="1" x14ac:dyDescent="0.2">
      <c r="A61" s="28">
        <v>43150</v>
      </c>
      <c r="B61" s="32" t="s">
        <v>122</v>
      </c>
      <c r="C61" s="23"/>
      <c r="D61" s="23"/>
      <c r="E61" s="24"/>
      <c r="F61" s="24"/>
      <c r="G61" s="24"/>
      <c r="H61" s="24"/>
      <c r="I61" s="24"/>
      <c r="J61" s="24"/>
      <c r="K61" s="24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>
        <v>3</v>
      </c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11">
        <f t="shared" si="0"/>
        <v>3</v>
      </c>
      <c r="IZ61" s="25" t="s">
        <v>25</v>
      </c>
    </row>
    <row r="62" spans="1:260" s="2" customFormat="1" ht="12.75" customHeight="1" x14ac:dyDescent="0.2">
      <c r="A62" s="28">
        <v>43150</v>
      </c>
      <c r="B62" s="33" t="s">
        <v>29</v>
      </c>
      <c r="C62" s="23"/>
      <c r="D62" s="23"/>
      <c r="E62" s="24"/>
      <c r="F62" s="24"/>
      <c r="G62" s="24"/>
      <c r="H62" s="24"/>
      <c r="I62" s="24"/>
      <c r="J62" s="24"/>
      <c r="K62" s="24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>
        <v>25</v>
      </c>
      <c r="DU62" s="7"/>
      <c r="DV62" s="7">
        <v>20</v>
      </c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>
        <v>30</v>
      </c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11">
        <f t="shared" si="0"/>
        <v>75</v>
      </c>
      <c r="IZ62" s="25" t="s">
        <v>25</v>
      </c>
    </row>
    <row r="63" spans="1:260" s="2" customFormat="1" ht="12.75" customHeight="1" x14ac:dyDescent="0.2">
      <c r="A63" s="28">
        <v>43151</v>
      </c>
      <c r="B63" s="31" t="s">
        <v>79</v>
      </c>
      <c r="C63" s="23"/>
      <c r="D63" s="23"/>
      <c r="E63" s="24"/>
      <c r="F63" s="24"/>
      <c r="G63" s="24"/>
      <c r="H63" s="24"/>
      <c r="I63" s="24"/>
      <c r="J63" s="24"/>
      <c r="K63" s="24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>
        <v>2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>
        <v>2</v>
      </c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11">
        <f t="shared" si="0"/>
        <v>4</v>
      </c>
      <c r="IZ63" s="25" t="s">
        <v>25</v>
      </c>
    </row>
    <row r="64" spans="1:260" s="2" customFormat="1" ht="12.75" customHeight="1" x14ac:dyDescent="0.2">
      <c r="A64" s="28">
        <v>43151</v>
      </c>
      <c r="B64" s="31" t="s">
        <v>211</v>
      </c>
      <c r="C64" s="23"/>
      <c r="D64" s="23"/>
      <c r="E64" s="24"/>
      <c r="F64" s="24"/>
      <c r="G64" s="24"/>
      <c r="H64" s="24"/>
      <c r="I64" s="24">
        <v>10</v>
      </c>
      <c r="J64" s="24"/>
      <c r="K64" s="24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11">
        <f t="shared" si="0"/>
        <v>10</v>
      </c>
      <c r="IZ64" s="25" t="s">
        <v>25</v>
      </c>
    </row>
    <row r="65" spans="1:260" s="2" customFormat="1" ht="12.75" customHeight="1" x14ac:dyDescent="0.2">
      <c r="A65" s="28">
        <v>43151</v>
      </c>
      <c r="B65" s="32" t="s">
        <v>255</v>
      </c>
      <c r="C65" s="23"/>
      <c r="D65" s="23"/>
      <c r="E65" s="24"/>
      <c r="F65" s="24"/>
      <c r="G65" s="24"/>
      <c r="H65" s="24"/>
      <c r="I65" s="24"/>
      <c r="J65" s="24"/>
      <c r="K65" s="24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>
        <v>10</v>
      </c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11">
        <f t="shared" ref="IY65:IY128" si="1">SUBTOTAL(9,C65:IX65)</f>
        <v>10</v>
      </c>
      <c r="IZ65" s="25" t="s">
        <v>25</v>
      </c>
    </row>
    <row r="66" spans="1:260" s="2" customFormat="1" ht="12.75" customHeight="1" x14ac:dyDescent="0.2">
      <c r="A66" s="28">
        <v>43152</v>
      </c>
      <c r="B66" s="32" t="s">
        <v>250</v>
      </c>
      <c r="C66" s="23"/>
      <c r="D66" s="23"/>
      <c r="E66" s="24"/>
      <c r="F66" s="24"/>
      <c r="G66" s="24"/>
      <c r="H66" s="24"/>
      <c r="I66" s="24"/>
      <c r="J66" s="24"/>
      <c r="K66" s="24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>
        <v>90</v>
      </c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>
        <v>3</v>
      </c>
      <c r="EC66" s="7">
        <v>3</v>
      </c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11">
        <f t="shared" si="1"/>
        <v>96</v>
      </c>
      <c r="IZ66" s="25" t="s">
        <v>25</v>
      </c>
    </row>
    <row r="67" spans="1:260" s="2" customFormat="1" ht="12.75" customHeight="1" x14ac:dyDescent="0.2">
      <c r="A67" s="28">
        <v>43153</v>
      </c>
      <c r="B67" s="33" t="s">
        <v>123</v>
      </c>
      <c r="C67" s="23"/>
      <c r="D67" s="23"/>
      <c r="E67" s="24"/>
      <c r="F67" s="24"/>
      <c r="G67" s="24"/>
      <c r="H67" s="24"/>
      <c r="I67" s="24"/>
      <c r="J67" s="24"/>
      <c r="K67" s="24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>
        <v>24</v>
      </c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>
        <v>10</v>
      </c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11">
        <f t="shared" si="1"/>
        <v>34</v>
      </c>
      <c r="IZ67" s="25" t="s">
        <v>25</v>
      </c>
    </row>
    <row r="68" spans="1:260" s="2" customFormat="1" ht="12.75" customHeight="1" x14ac:dyDescent="0.2">
      <c r="A68" s="28">
        <v>43154</v>
      </c>
      <c r="B68" s="32" t="s">
        <v>190</v>
      </c>
      <c r="C68" s="23"/>
      <c r="D68" s="23"/>
      <c r="E68" s="24"/>
      <c r="F68" s="24"/>
      <c r="G68" s="24"/>
      <c r="H68" s="24"/>
      <c r="I68" s="24"/>
      <c r="J68" s="24"/>
      <c r="K68" s="24"/>
      <c r="L68" s="7"/>
      <c r="M68" s="7">
        <v>9</v>
      </c>
      <c r="N68" s="7"/>
      <c r="O68" s="7"/>
      <c r="P68" s="7"/>
      <c r="Q68" s="7"/>
      <c r="R68" s="7">
        <v>20</v>
      </c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>
        <v>10</v>
      </c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>
        <v>10</v>
      </c>
      <c r="AY68" s="7"/>
      <c r="AZ68" s="7"/>
      <c r="BA68" s="7"/>
      <c r="BB68" s="7">
        <v>10</v>
      </c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>
        <v>10</v>
      </c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11">
        <f t="shared" si="1"/>
        <v>69</v>
      </c>
      <c r="IZ68" s="25" t="s">
        <v>25</v>
      </c>
    </row>
    <row r="69" spans="1:260" s="2" customFormat="1" ht="12.75" customHeight="1" x14ac:dyDescent="0.2">
      <c r="A69" s="28">
        <v>43157</v>
      </c>
      <c r="B69" s="31" t="s">
        <v>256</v>
      </c>
      <c r="C69" s="23"/>
      <c r="D69" s="23"/>
      <c r="E69" s="24"/>
      <c r="F69" s="24"/>
      <c r="G69" s="24"/>
      <c r="H69" s="24"/>
      <c r="I69" s="24"/>
      <c r="J69" s="24"/>
      <c r="K69" s="24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>
        <v>18</v>
      </c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>
        <v>20</v>
      </c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11">
        <f t="shared" si="1"/>
        <v>38</v>
      </c>
      <c r="IZ69" s="25" t="s">
        <v>25</v>
      </c>
    </row>
    <row r="70" spans="1:260" s="2" customFormat="1" ht="12.75" customHeight="1" x14ac:dyDescent="0.2">
      <c r="A70" s="28">
        <v>43158</v>
      </c>
      <c r="B70" s="32" t="s">
        <v>246</v>
      </c>
      <c r="C70" s="23"/>
      <c r="D70" s="23"/>
      <c r="E70" s="24"/>
      <c r="F70" s="24"/>
      <c r="G70" s="24"/>
      <c r="H70" s="24"/>
      <c r="I70" s="24"/>
      <c r="J70" s="24"/>
      <c r="K70" s="24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>
        <v>30</v>
      </c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11">
        <f t="shared" si="1"/>
        <v>30</v>
      </c>
      <c r="IZ70" s="25" t="s">
        <v>25</v>
      </c>
    </row>
    <row r="71" spans="1:260" s="2" customFormat="1" ht="12.75" customHeight="1" x14ac:dyDescent="0.2">
      <c r="A71" s="28">
        <v>43161</v>
      </c>
      <c r="B71" s="31" t="s">
        <v>58</v>
      </c>
      <c r="C71" s="23"/>
      <c r="D71" s="23"/>
      <c r="E71" s="24"/>
      <c r="F71" s="24"/>
      <c r="G71" s="24"/>
      <c r="H71" s="24"/>
      <c r="I71" s="24"/>
      <c r="J71" s="24"/>
      <c r="K71" s="24"/>
      <c r="L71" s="7"/>
      <c r="M71" s="7"/>
      <c r="N71" s="7"/>
      <c r="O71" s="7"/>
      <c r="P71" s="7"/>
      <c r="Q71" s="7"/>
      <c r="R71" s="7"/>
      <c r="S71" s="7"/>
      <c r="T71" s="7"/>
      <c r="U71" s="7">
        <v>1.8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>
        <v>1</v>
      </c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11">
        <f t="shared" si="1"/>
        <v>2.8</v>
      </c>
      <c r="IZ71" s="25" t="s">
        <v>25</v>
      </c>
    </row>
    <row r="72" spans="1:260" s="2" customFormat="1" ht="12.75" customHeight="1" x14ac:dyDescent="0.2">
      <c r="A72" s="28">
        <v>43161</v>
      </c>
      <c r="B72" s="33" t="s">
        <v>22</v>
      </c>
      <c r="C72" s="23"/>
      <c r="D72" s="23"/>
      <c r="E72" s="24"/>
      <c r="F72" s="24"/>
      <c r="G72" s="24"/>
      <c r="H72" s="24"/>
      <c r="I72" s="24"/>
      <c r="J72" s="24"/>
      <c r="K72" s="24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>
        <v>1</v>
      </c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120</v>
      </c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>
        <v>30</v>
      </c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11">
        <f t="shared" si="1"/>
        <v>151</v>
      </c>
      <c r="IZ72" s="25" t="s">
        <v>25</v>
      </c>
    </row>
    <row r="73" spans="1:260" s="2" customFormat="1" ht="12.75" customHeight="1" x14ac:dyDescent="0.2">
      <c r="A73" s="28">
        <v>43164</v>
      </c>
      <c r="B73" s="33" t="s">
        <v>22</v>
      </c>
      <c r="C73" s="23"/>
      <c r="D73" s="23"/>
      <c r="E73" s="24"/>
      <c r="F73" s="24"/>
      <c r="G73" s="24"/>
      <c r="H73" s="24"/>
      <c r="I73" s="24"/>
      <c r="J73" s="24"/>
      <c r="K73" s="24">
        <v>60</v>
      </c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>
        <v>10</v>
      </c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30</v>
      </c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>
        <v>10</v>
      </c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>
        <v>5</v>
      </c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11">
        <f t="shared" si="1"/>
        <v>115</v>
      </c>
      <c r="IZ73" s="25" t="s">
        <v>25</v>
      </c>
    </row>
    <row r="74" spans="1:260" s="2" customFormat="1" ht="12.75" customHeight="1" x14ac:dyDescent="0.2">
      <c r="A74" s="28">
        <v>43166</v>
      </c>
      <c r="B74" s="31" t="s">
        <v>216</v>
      </c>
      <c r="C74" s="23"/>
      <c r="D74" s="23"/>
      <c r="E74" s="24"/>
      <c r="F74" s="24"/>
      <c r="G74" s="24"/>
      <c r="H74" s="24"/>
      <c r="I74" s="24"/>
      <c r="J74" s="24"/>
      <c r="K74" s="24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>
        <v>100</v>
      </c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11">
        <f t="shared" si="1"/>
        <v>100</v>
      </c>
      <c r="IZ74" s="25" t="s">
        <v>25</v>
      </c>
    </row>
    <row r="75" spans="1:260" s="2" customFormat="1" ht="12.75" customHeight="1" x14ac:dyDescent="0.2">
      <c r="A75" s="28">
        <v>43171</v>
      </c>
      <c r="B75" s="31" t="s">
        <v>43</v>
      </c>
      <c r="C75" s="23"/>
      <c r="D75" s="23"/>
      <c r="E75" s="24"/>
      <c r="F75" s="24"/>
      <c r="G75" s="24">
        <v>11</v>
      </c>
      <c r="H75" s="24"/>
      <c r="I75" s="24"/>
      <c r="J75" s="24"/>
      <c r="K75" s="24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>
        <v>20</v>
      </c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11">
        <f t="shared" si="1"/>
        <v>31</v>
      </c>
      <c r="IZ75" s="25" t="s">
        <v>25</v>
      </c>
    </row>
    <row r="76" spans="1:260" s="2" customFormat="1" ht="12.75" customHeight="1" x14ac:dyDescent="0.2">
      <c r="A76" s="28">
        <v>43171</v>
      </c>
      <c r="B76" s="33" t="s">
        <v>51</v>
      </c>
      <c r="C76" s="23"/>
      <c r="D76" s="23"/>
      <c r="E76" s="24"/>
      <c r="F76" s="24"/>
      <c r="G76" s="24"/>
      <c r="H76" s="24"/>
      <c r="I76" s="24"/>
      <c r="J76" s="24"/>
      <c r="K76" s="24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>
        <v>56</v>
      </c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>
        <v>11</v>
      </c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11">
        <f t="shared" si="1"/>
        <v>67</v>
      </c>
      <c r="IZ76" s="25" t="s">
        <v>25</v>
      </c>
    </row>
    <row r="77" spans="1:260" s="2" customFormat="1" ht="12.75" customHeight="1" x14ac:dyDescent="0.2">
      <c r="A77" s="28">
        <v>43171</v>
      </c>
      <c r="B77" s="32" t="s">
        <v>64</v>
      </c>
      <c r="C77" s="23"/>
      <c r="D77" s="23"/>
      <c r="E77" s="24"/>
      <c r="F77" s="24"/>
      <c r="G77" s="24"/>
      <c r="H77" s="24"/>
      <c r="I77" s="24"/>
      <c r="J77" s="24"/>
      <c r="K77" s="24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>
        <v>20</v>
      </c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11">
        <f t="shared" si="1"/>
        <v>20</v>
      </c>
      <c r="IZ77" s="25" t="s">
        <v>25</v>
      </c>
    </row>
    <row r="78" spans="1:260" s="2" customFormat="1" ht="12.75" customHeight="1" x14ac:dyDescent="0.2">
      <c r="A78" s="28">
        <v>43171</v>
      </c>
      <c r="B78" s="32" t="s">
        <v>44</v>
      </c>
      <c r="C78" s="23"/>
      <c r="D78" s="23"/>
      <c r="E78" s="24"/>
      <c r="F78" s="24"/>
      <c r="G78" s="24"/>
      <c r="H78" s="24"/>
      <c r="I78" s="24"/>
      <c r="J78" s="24"/>
      <c r="K78" s="24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>
        <v>2</v>
      </c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>
        <v>5</v>
      </c>
      <c r="HT78" s="7"/>
      <c r="HU78" s="7"/>
      <c r="HV78" s="7"/>
      <c r="HW78" s="7"/>
      <c r="HX78" s="7"/>
      <c r="HY78" s="7">
        <v>1</v>
      </c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11">
        <f t="shared" si="1"/>
        <v>8</v>
      </c>
      <c r="IZ78" s="25" t="s">
        <v>57</v>
      </c>
    </row>
    <row r="79" spans="1:260" s="2" customFormat="1" ht="12.75" customHeight="1" x14ac:dyDescent="0.2">
      <c r="A79" s="28">
        <v>43171</v>
      </c>
      <c r="B79" s="31" t="s">
        <v>173</v>
      </c>
      <c r="C79" s="23"/>
      <c r="D79" s="23"/>
      <c r="E79" s="24"/>
      <c r="F79" s="24"/>
      <c r="G79" s="24"/>
      <c r="H79" s="24"/>
      <c r="I79" s="24"/>
      <c r="J79" s="24"/>
      <c r="K79" s="24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>
        <v>20</v>
      </c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11">
        <f t="shared" si="1"/>
        <v>20</v>
      </c>
      <c r="IZ79" s="25" t="s">
        <v>25</v>
      </c>
    </row>
    <row r="80" spans="1:260" s="2" customFormat="1" ht="12.75" customHeight="1" x14ac:dyDescent="0.2">
      <c r="A80" s="28">
        <v>43171</v>
      </c>
      <c r="B80" s="32" t="s">
        <v>69</v>
      </c>
      <c r="C80" s="23"/>
      <c r="D80" s="23"/>
      <c r="E80" s="24"/>
      <c r="F80" s="24"/>
      <c r="G80" s="24"/>
      <c r="H80" s="24"/>
      <c r="I80" s="24"/>
      <c r="J80" s="24"/>
      <c r="K80" s="24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>
        <v>9</v>
      </c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>
        <v>4</v>
      </c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11">
        <f t="shared" si="1"/>
        <v>13</v>
      </c>
      <c r="IZ80" s="25" t="s">
        <v>25</v>
      </c>
    </row>
    <row r="81" spans="1:260" s="2" customFormat="1" ht="12.75" customHeight="1" x14ac:dyDescent="0.2">
      <c r="A81" s="28">
        <v>43171</v>
      </c>
      <c r="B81" s="33" t="s">
        <v>29</v>
      </c>
      <c r="C81" s="23"/>
      <c r="D81" s="23"/>
      <c r="E81" s="24"/>
      <c r="F81" s="24"/>
      <c r="G81" s="24"/>
      <c r="H81" s="24"/>
      <c r="I81" s="24"/>
      <c r="J81" s="24"/>
      <c r="K81" s="24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>
        <v>20</v>
      </c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>
        <v>9</v>
      </c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11">
        <f t="shared" si="1"/>
        <v>29</v>
      </c>
      <c r="IZ81" s="25" t="s">
        <v>25</v>
      </c>
    </row>
    <row r="82" spans="1:260" s="2" customFormat="1" ht="12.75" customHeight="1" x14ac:dyDescent="0.2">
      <c r="A82" s="28">
        <v>43172</v>
      </c>
      <c r="B82" s="31" t="s">
        <v>244</v>
      </c>
      <c r="C82" s="23"/>
      <c r="D82" s="23"/>
      <c r="E82" s="24"/>
      <c r="F82" s="24"/>
      <c r="G82" s="24"/>
      <c r="H82" s="24"/>
      <c r="I82" s="24"/>
      <c r="J82" s="24"/>
      <c r="K82" s="24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>
        <v>2</v>
      </c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>
        <v>1.8</v>
      </c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11">
        <f t="shared" si="1"/>
        <v>3.8</v>
      </c>
      <c r="IZ82" s="25" t="s">
        <v>25</v>
      </c>
    </row>
    <row r="83" spans="1:260" s="2" customFormat="1" ht="12.75" customHeight="1" x14ac:dyDescent="0.2">
      <c r="A83" s="28">
        <v>43172</v>
      </c>
      <c r="B83" s="32" t="s">
        <v>260</v>
      </c>
      <c r="C83" s="23"/>
      <c r="D83" s="23"/>
      <c r="E83" s="24"/>
      <c r="F83" s="24"/>
      <c r="G83" s="24"/>
      <c r="H83" s="24"/>
      <c r="I83" s="24"/>
      <c r="J83" s="24"/>
      <c r="K83" s="24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>
        <v>25</v>
      </c>
      <c r="IV83" s="7"/>
      <c r="IW83" s="7"/>
      <c r="IX83" s="7"/>
      <c r="IY83" s="11">
        <f t="shared" si="1"/>
        <v>25</v>
      </c>
      <c r="IZ83" s="25" t="s">
        <v>83</v>
      </c>
    </row>
    <row r="84" spans="1:260" s="2" customFormat="1" ht="12.75" customHeight="1" x14ac:dyDescent="0.2">
      <c r="A84" s="28">
        <v>43172</v>
      </c>
      <c r="B84" s="31" t="s">
        <v>211</v>
      </c>
      <c r="C84" s="23"/>
      <c r="D84" s="23"/>
      <c r="E84" s="24"/>
      <c r="F84" s="24"/>
      <c r="G84" s="24"/>
      <c r="H84" s="24"/>
      <c r="I84" s="24">
        <v>20</v>
      </c>
      <c r="J84" s="24"/>
      <c r="K84" s="24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11">
        <f t="shared" si="1"/>
        <v>20</v>
      </c>
      <c r="IZ84" s="25" t="s">
        <v>25</v>
      </c>
    </row>
    <row r="85" spans="1:260" s="2" customFormat="1" ht="12.75" customHeight="1" x14ac:dyDescent="0.2">
      <c r="A85" s="28">
        <v>43172</v>
      </c>
      <c r="B85" s="31" t="s">
        <v>163</v>
      </c>
      <c r="C85" s="23"/>
      <c r="D85" s="23"/>
      <c r="E85" s="24"/>
      <c r="F85" s="24"/>
      <c r="G85" s="24"/>
      <c r="H85" s="24"/>
      <c r="I85" s="24"/>
      <c r="J85" s="24"/>
      <c r="K85" s="24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>
        <v>100</v>
      </c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11">
        <f t="shared" si="1"/>
        <v>100</v>
      </c>
      <c r="IZ85" s="25" t="s">
        <v>25</v>
      </c>
    </row>
    <row r="86" spans="1:260" s="2" customFormat="1" ht="12.75" customHeight="1" x14ac:dyDescent="0.2">
      <c r="A86" s="28">
        <v>43172</v>
      </c>
      <c r="B86" s="31" t="s">
        <v>257</v>
      </c>
      <c r="C86" s="23"/>
      <c r="D86" s="23"/>
      <c r="E86" s="24"/>
      <c r="F86" s="24"/>
      <c r="G86" s="24"/>
      <c r="H86" s="24"/>
      <c r="I86" s="24"/>
      <c r="J86" s="24"/>
      <c r="K86" s="24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>
        <v>4</v>
      </c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11">
        <f t="shared" si="1"/>
        <v>4</v>
      </c>
      <c r="IZ86" s="25" t="s">
        <v>25</v>
      </c>
    </row>
    <row r="87" spans="1:260" s="2" customFormat="1" ht="12.75" customHeight="1" x14ac:dyDescent="0.2">
      <c r="A87" s="28">
        <v>43173</v>
      </c>
      <c r="B87" s="32" t="s">
        <v>62</v>
      </c>
      <c r="C87" s="23"/>
      <c r="D87" s="23"/>
      <c r="E87" s="24"/>
      <c r="F87" s="24"/>
      <c r="G87" s="24"/>
      <c r="H87" s="24"/>
      <c r="I87" s="24"/>
      <c r="J87" s="24"/>
      <c r="K87" s="24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>
        <v>1.8</v>
      </c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11">
        <f t="shared" si="1"/>
        <v>1.8</v>
      </c>
      <c r="IZ87" s="25" t="s">
        <v>25</v>
      </c>
    </row>
    <row r="88" spans="1:260" s="2" customFormat="1" ht="12.75" customHeight="1" x14ac:dyDescent="0.2">
      <c r="A88" s="28">
        <v>43173</v>
      </c>
      <c r="B88" s="32" t="s">
        <v>167</v>
      </c>
      <c r="C88" s="23"/>
      <c r="D88" s="23"/>
      <c r="E88" s="24"/>
      <c r="F88" s="24"/>
      <c r="G88" s="24"/>
      <c r="H88" s="24"/>
      <c r="I88" s="24"/>
      <c r="J88" s="24"/>
      <c r="K88" s="24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20</v>
      </c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>
        <v>30</v>
      </c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>
        <v>30</v>
      </c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11">
        <f t="shared" si="1"/>
        <v>80</v>
      </c>
      <c r="IZ88" s="25" t="s">
        <v>25</v>
      </c>
    </row>
    <row r="89" spans="1:260" s="2" customFormat="1" ht="12.75" customHeight="1" x14ac:dyDescent="0.2">
      <c r="A89" s="28">
        <v>43173</v>
      </c>
      <c r="B89" s="31" t="s">
        <v>65</v>
      </c>
      <c r="C89" s="23"/>
      <c r="D89" s="23"/>
      <c r="E89" s="24"/>
      <c r="F89" s="24"/>
      <c r="G89" s="24"/>
      <c r="H89" s="24"/>
      <c r="I89" s="24"/>
      <c r="J89" s="24"/>
      <c r="K89" s="24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10</v>
      </c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>
        <v>10</v>
      </c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>
        <v>50</v>
      </c>
      <c r="IW89" s="7"/>
      <c r="IX89" s="7"/>
      <c r="IY89" s="11">
        <f t="shared" si="1"/>
        <v>70</v>
      </c>
      <c r="IZ89" s="25" t="s">
        <v>198</v>
      </c>
    </row>
    <row r="90" spans="1:260" s="2" customFormat="1" ht="12.75" customHeight="1" x14ac:dyDescent="0.2">
      <c r="A90" s="28">
        <v>43173</v>
      </c>
      <c r="B90" s="31" t="s">
        <v>181</v>
      </c>
      <c r="C90" s="23"/>
      <c r="D90" s="23"/>
      <c r="E90" s="24"/>
      <c r="F90" s="24"/>
      <c r="G90" s="24"/>
      <c r="H90" s="24"/>
      <c r="I90" s="24"/>
      <c r="J90" s="24"/>
      <c r="K90" s="24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10</v>
      </c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>
        <v>9</v>
      </c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>
        <v>1</v>
      </c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11">
        <f t="shared" si="1"/>
        <v>20</v>
      </c>
      <c r="IZ90" s="25" t="s">
        <v>25</v>
      </c>
    </row>
    <row r="91" spans="1:260" s="2" customFormat="1" ht="12.75" customHeight="1" x14ac:dyDescent="0.2">
      <c r="A91" s="28">
        <v>43173</v>
      </c>
      <c r="B91" s="33" t="s">
        <v>30</v>
      </c>
      <c r="C91" s="23"/>
      <c r="D91" s="23"/>
      <c r="E91" s="24"/>
      <c r="F91" s="24"/>
      <c r="G91" s="24"/>
      <c r="H91" s="24"/>
      <c r="I91" s="24"/>
      <c r="J91" s="24"/>
      <c r="K91" s="24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>
        <v>9</v>
      </c>
      <c r="AS91" s="7">
        <v>9</v>
      </c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10</v>
      </c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>
        <v>10</v>
      </c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11">
        <f t="shared" si="1"/>
        <v>38</v>
      </c>
      <c r="IZ91" s="25" t="s">
        <v>25</v>
      </c>
    </row>
    <row r="92" spans="1:260" s="2" customFormat="1" ht="12.75" customHeight="1" x14ac:dyDescent="0.2">
      <c r="A92" s="28">
        <v>43171</v>
      </c>
      <c r="B92" s="32" t="s">
        <v>255</v>
      </c>
      <c r="C92" s="23"/>
      <c r="D92" s="23"/>
      <c r="E92" s="24"/>
      <c r="F92" s="24"/>
      <c r="G92" s="24"/>
      <c r="H92" s="24"/>
      <c r="I92" s="24"/>
      <c r="J92" s="24"/>
      <c r="K92" s="24"/>
      <c r="L92" s="7"/>
      <c r="M92" s="7"/>
      <c r="N92" s="7"/>
      <c r="O92" s="7"/>
      <c r="P92" s="7"/>
      <c r="Q92" s="7">
        <v>4.8</v>
      </c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>
        <v>25</v>
      </c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11">
        <f t="shared" si="1"/>
        <v>29.8</v>
      </c>
      <c r="IZ92" s="25" t="s">
        <v>25</v>
      </c>
    </row>
    <row r="93" spans="1:260" s="2" customFormat="1" ht="12.75" customHeight="1" x14ac:dyDescent="0.2">
      <c r="A93" s="28">
        <v>43174</v>
      </c>
      <c r="B93" s="32" t="s">
        <v>77</v>
      </c>
      <c r="C93" s="23"/>
      <c r="D93" s="23"/>
      <c r="E93" s="24"/>
      <c r="F93" s="24"/>
      <c r="G93" s="24"/>
      <c r="H93" s="24"/>
      <c r="I93" s="24"/>
      <c r="J93" s="24"/>
      <c r="K93" s="24"/>
      <c r="L93" s="7">
        <v>1.6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>
        <v>1</v>
      </c>
      <c r="AY93" s="7"/>
      <c r="AZ93" s="7"/>
      <c r="BA93" s="7"/>
      <c r="BB93" s="7"/>
      <c r="BC93" s="7"/>
      <c r="BD93" s="7"/>
      <c r="BE93" s="7"/>
      <c r="BF93" s="7">
        <v>1</v>
      </c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>
        <v>1</v>
      </c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11">
        <f t="shared" si="1"/>
        <v>4.5999999999999996</v>
      </c>
      <c r="IZ93" s="25" t="s">
        <v>25</v>
      </c>
    </row>
    <row r="94" spans="1:260" s="2" customFormat="1" ht="12.75" customHeight="1" x14ac:dyDescent="0.2">
      <c r="A94" s="28">
        <v>43174</v>
      </c>
      <c r="B94" s="33" t="s">
        <v>22</v>
      </c>
      <c r="C94" s="23"/>
      <c r="D94" s="23"/>
      <c r="E94" s="24"/>
      <c r="F94" s="24"/>
      <c r="G94" s="24"/>
      <c r="H94" s="24"/>
      <c r="I94" s="24"/>
      <c r="J94" s="24"/>
      <c r="K94" s="24">
        <v>60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40</v>
      </c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>
        <v>5</v>
      </c>
      <c r="IM94" s="7"/>
      <c r="IN94" s="7"/>
      <c r="IO94" s="7"/>
      <c r="IP94" s="7"/>
      <c r="IQ94" s="7"/>
      <c r="IR94" s="7"/>
      <c r="IS94" s="7"/>
      <c r="IT94" s="7">
        <v>50</v>
      </c>
      <c r="IU94" s="7"/>
      <c r="IV94" s="7"/>
      <c r="IW94" s="7"/>
      <c r="IX94" s="7"/>
      <c r="IY94" s="11">
        <f t="shared" si="1"/>
        <v>155</v>
      </c>
      <c r="IZ94" s="25" t="s">
        <v>25</v>
      </c>
    </row>
    <row r="95" spans="1:260" s="2" customFormat="1" ht="12.75" customHeight="1" x14ac:dyDescent="0.2">
      <c r="A95" s="28">
        <v>43174</v>
      </c>
      <c r="B95" s="32" t="s">
        <v>250</v>
      </c>
      <c r="C95" s="23"/>
      <c r="D95" s="23"/>
      <c r="E95" s="24"/>
      <c r="F95" s="24"/>
      <c r="G95" s="24"/>
      <c r="H95" s="24"/>
      <c r="I95" s="24"/>
      <c r="J95" s="24"/>
      <c r="K95" s="24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>
        <v>50</v>
      </c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11">
        <f t="shared" si="1"/>
        <v>50</v>
      </c>
      <c r="IZ95" s="25" t="s">
        <v>25</v>
      </c>
    </row>
    <row r="96" spans="1:260" s="2" customFormat="1" ht="12.75" customHeight="1" x14ac:dyDescent="0.2">
      <c r="A96" s="28">
        <v>43175</v>
      </c>
      <c r="B96" s="31" t="s">
        <v>238</v>
      </c>
      <c r="C96" s="23"/>
      <c r="D96" s="23"/>
      <c r="E96" s="24"/>
      <c r="F96" s="24"/>
      <c r="G96" s="24"/>
      <c r="H96" s="24"/>
      <c r="I96" s="24"/>
      <c r="J96" s="24"/>
      <c r="K96" s="24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>
        <v>0.8</v>
      </c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11">
        <f t="shared" si="1"/>
        <v>0.8</v>
      </c>
      <c r="IZ96" s="25" t="s">
        <v>25</v>
      </c>
    </row>
    <row r="97" spans="1:260" s="2" customFormat="1" ht="12.75" customHeight="1" x14ac:dyDescent="0.2">
      <c r="A97" s="28">
        <v>43175</v>
      </c>
      <c r="B97" s="31" t="s">
        <v>269</v>
      </c>
      <c r="C97" s="23"/>
      <c r="D97" s="23"/>
      <c r="E97" s="24"/>
      <c r="F97" s="24"/>
      <c r="G97" s="24"/>
      <c r="H97" s="24"/>
      <c r="I97" s="24"/>
      <c r="J97" s="24"/>
      <c r="K97" s="24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>
        <v>10</v>
      </c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11">
        <f t="shared" si="1"/>
        <v>10</v>
      </c>
      <c r="IZ97" s="25" t="s">
        <v>25</v>
      </c>
    </row>
    <row r="98" spans="1:260" s="2" customFormat="1" ht="12.75" customHeight="1" x14ac:dyDescent="0.2">
      <c r="A98" s="28">
        <v>43178</v>
      </c>
      <c r="B98" s="32" t="s">
        <v>122</v>
      </c>
      <c r="C98" s="23"/>
      <c r="D98" s="23"/>
      <c r="E98" s="24"/>
      <c r="F98" s="24"/>
      <c r="G98" s="24"/>
      <c r="H98" s="24"/>
      <c r="I98" s="24"/>
      <c r="J98" s="24"/>
      <c r="K98" s="24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>
        <v>2</v>
      </c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11">
        <f t="shared" si="1"/>
        <v>2</v>
      </c>
      <c r="IZ98" s="25" t="s">
        <v>57</v>
      </c>
    </row>
    <row r="99" spans="1:260" s="2" customFormat="1" ht="12.75" customHeight="1" x14ac:dyDescent="0.2">
      <c r="A99" s="28">
        <v>43179</v>
      </c>
      <c r="B99" s="31" t="s">
        <v>249</v>
      </c>
      <c r="C99" s="23"/>
      <c r="D99" s="23"/>
      <c r="E99" s="24"/>
      <c r="F99" s="24"/>
      <c r="G99" s="24"/>
      <c r="H99" s="24"/>
      <c r="I99" s="24"/>
      <c r="J99" s="24"/>
      <c r="K99" s="24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>
        <v>40</v>
      </c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11">
        <f t="shared" si="1"/>
        <v>40</v>
      </c>
      <c r="IZ99" s="25" t="s">
        <v>25</v>
      </c>
    </row>
    <row r="100" spans="1:260" s="2" customFormat="1" ht="12.75" customHeight="1" x14ac:dyDescent="0.2">
      <c r="A100" s="28">
        <v>43180</v>
      </c>
      <c r="B100" s="32" t="s">
        <v>250</v>
      </c>
      <c r="C100" s="23"/>
      <c r="D100" s="23"/>
      <c r="E100" s="24"/>
      <c r="F100" s="24"/>
      <c r="G100" s="24"/>
      <c r="H100" s="24"/>
      <c r="I100" s="24"/>
      <c r="J100" s="24"/>
      <c r="K100" s="24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>
        <v>70</v>
      </c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11">
        <f t="shared" si="1"/>
        <v>70</v>
      </c>
      <c r="IZ100" s="25" t="s">
        <v>25</v>
      </c>
    </row>
    <row r="101" spans="1:260" s="2" customFormat="1" ht="12.75" customHeight="1" x14ac:dyDescent="0.2">
      <c r="A101" s="28">
        <v>43180</v>
      </c>
      <c r="B101" s="31" t="s">
        <v>216</v>
      </c>
      <c r="C101" s="23"/>
      <c r="D101" s="23"/>
      <c r="E101" s="24"/>
      <c r="F101" s="24"/>
      <c r="G101" s="24"/>
      <c r="H101" s="24"/>
      <c r="I101" s="24"/>
      <c r="J101" s="24"/>
      <c r="K101" s="24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>
        <v>110</v>
      </c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11">
        <f t="shared" si="1"/>
        <v>110</v>
      </c>
      <c r="IZ101" s="25" t="s">
        <v>25</v>
      </c>
    </row>
    <row r="102" spans="1:260" s="2" customFormat="1" ht="12.75" customHeight="1" x14ac:dyDescent="0.2">
      <c r="A102" s="28">
        <v>43181</v>
      </c>
      <c r="B102" s="33" t="s">
        <v>22</v>
      </c>
      <c r="C102" s="23"/>
      <c r="D102" s="23"/>
      <c r="E102" s="24"/>
      <c r="F102" s="24"/>
      <c r="G102" s="24"/>
      <c r="H102" s="24"/>
      <c r="I102" s="24"/>
      <c r="J102" s="24"/>
      <c r="K102" s="24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>
        <v>20</v>
      </c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40</v>
      </c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>
        <v>20</v>
      </c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>
        <v>10</v>
      </c>
      <c r="IM102" s="7"/>
      <c r="IN102" s="7"/>
      <c r="IO102" s="7"/>
      <c r="IP102" s="7"/>
      <c r="IQ102" s="7"/>
      <c r="IR102" s="7"/>
      <c r="IS102" s="7"/>
      <c r="IT102" s="7">
        <v>50</v>
      </c>
      <c r="IU102" s="7"/>
      <c r="IV102" s="7"/>
      <c r="IW102" s="7"/>
      <c r="IX102" s="7"/>
      <c r="IY102" s="11">
        <f t="shared" si="1"/>
        <v>140</v>
      </c>
      <c r="IZ102" s="25" t="s">
        <v>25</v>
      </c>
    </row>
    <row r="103" spans="1:260" s="2" customFormat="1" ht="12.75" customHeight="1" x14ac:dyDescent="0.2">
      <c r="A103" s="28">
        <v>43185</v>
      </c>
      <c r="B103" s="31" t="s">
        <v>263</v>
      </c>
      <c r="C103" s="23"/>
      <c r="D103" s="23"/>
      <c r="E103" s="24"/>
      <c r="F103" s="24"/>
      <c r="G103" s="24"/>
      <c r="H103" s="24"/>
      <c r="I103" s="24"/>
      <c r="J103" s="24"/>
      <c r="K103" s="24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>
        <v>15</v>
      </c>
      <c r="IV103" s="7"/>
      <c r="IW103" s="7"/>
      <c r="IX103" s="7"/>
      <c r="IY103" s="11">
        <f t="shared" si="1"/>
        <v>15</v>
      </c>
      <c r="IZ103" s="25" t="s">
        <v>83</v>
      </c>
    </row>
    <row r="104" spans="1:260" s="2" customFormat="1" ht="12.75" customHeight="1" x14ac:dyDescent="0.2">
      <c r="A104" s="28">
        <v>43185</v>
      </c>
      <c r="B104" s="33" t="s">
        <v>180</v>
      </c>
      <c r="C104" s="23"/>
      <c r="D104" s="23"/>
      <c r="E104" s="24"/>
      <c r="F104" s="24"/>
      <c r="G104" s="24"/>
      <c r="H104" s="24"/>
      <c r="I104" s="24"/>
      <c r="J104" s="24"/>
      <c r="K104" s="24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>
        <v>10</v>
      </c>
      <c r="IV104" s="7"/>
      <c r="IW104" s="7"/>
      <c r="IX104" s="7"/>
      <c r="IY104" s="11">
        <f t="shared" si="1"/>
        <v>10</v>
      </c>
      <c r="IZ104" s="25" t="s">
        <v>83</v>
      </c>
    </row>
    <row r="105" spans="1:260" s="2" customFormat="1" ht="12.75" customHeight="1" x14ac:dyDescent="0.2">
      <c r="A105" s="28">
        <v>43185</v>
      </c>
      <c r="B105" s="32" t="s">
        <v>208</v>
      </c>
      <c r="C105" s="23"/>
      <c r="D105" s="23"/>
      <c r="E105" s="24"/>
      <c r="F105" s="24"/>
      <c r="G105" s="24"/>
      <c r="H105" s="24"/>
      <c r="I105" s="24"/>
      <c r="J105" s="24"/>
      <c r="K105" s="24"/>
      <c r="L105" s="7"/>
      <c r="M105" s="7"/>
      <c r="N105" s="7"/>
      <c r="O105" s="7"/>
      <c r="P105" s="7"/>
      <c r="Q105" s="7"/>
      <c r="R105" s="7">
        <v>10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>
        <v>4.5</v>
      </c>
      <c r="IN105" s="7"/>
      <c r="IO105" s="7"/>
      <c r="IP105" s="7">
        <v>1</v>
      </c>
      <c r="IQ105" s="7"/>
      <c r="IR105" s="7"/>
      <c r="IS105" s="7"/>
      <c r="IT105" s="7"/>
      <c r="IU105" s="7"/>
      <c r="IV105" s="7"/>
      <c r="IW105" s="7"/>
      <c r="IX105" s="7"/>
      <c r="IY105" s="11">
        <f t="shared" si="1"/>
        <v>15.5</v>
      </c>
      <c r="IZ105" s="25" t="s">
        <v>25</v>
      </c>
    </row>
    <row r="106" spans="1:260" s="2" customFormat="1" ht="12.75" customHeight="1" x14ac:dyDescent="0.2">
      <c r="A106" s="28">
        <v>43185</v>
      </c>
      <c r="B106" s="31" t="s">
        <v>78</v>
      </c>
      <c r="C106" s="23"/>
      <c r="D106" s="23"/>
      <c r="E106" s="24"/>
      <c r="F106" s="24"/>
      <c r="G106" s="24"/>
      <c r="H106" s="24"/>
      <c r="I106" s="24"/>
      <c r="J106" s="24"/>
      <c r="K106" s="24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>
        <v>0.9</v>
      </c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11">
        <f t="shared" si="1"/>
        <v>0.9</v>
      </c>
      <c r="IZ106" s="25" t="s">
        <v>25</v>
      </c>
    </row>
    <row r="107" spans="1:260" s="2" customFormat="1" ht="12.75" customHeight="1" x14ac:dyDescent="0.2">
      <c r="A107" s="28">
        <v>43185</v>
      </c>
      <c r="B107" s="32" t="s">
        <v>248</v>
      </c>
      <c r="C107" s="23"/>
      <c r="D107" s="23"/>
      <c r="E107" s="24"/>
      <c r="F107" s="24"/>
      <c r="G107" s="24"/>
      <c r="H107" s="24"/>
      <c r="I107" s="24"/>
      <c r="J107" s="24"/>
      <c r="K107" s="24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>
        <v>13.5</v>
      </c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11">
        <f t="shared" si="1"/>
        <v>13.5</v>
      </c>
      <c r="IZ107" s="25" t="s">
        <v>57</v>
      </c>
    </row>
    <row r="108" spans="1:260" s="2" customFormat="1" ht="12.75" customHeight="1" x14ac:dyDescent="0.2">
      <c r="A108" s="28">
        <v>43186</v>
      </c>
      <c r="B108" s="33" t="s">
        <v>29</v>
      </c>
      <c r="C108" s="23"/>
      <c r="D108" s="23"/>
      <c r="E108" s="24"/>
      <c r="F108" s="24"/>
      <c r="G108" s="24"/>
      <c r="H108" s="24"/>
      <c r="I108" s="24"/>
      <c r="J108" s="24"/>
      <c r="K108" s="24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>
        <v>15</v>
      </c>
      <c r="DU108" s="7"/>
      <c r="DV108" s="7">
        <v>10</v>
      </c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>
        <v>11</v>
      </c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>
        <v>50</v>
      </c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11">
        <f t="shared" si="1"/>
        <v>86</v>
      </c>
      <c r="IZ108" s="25" t="s">
        <v>25</v>
      </c>
    </row>
    <row r="109" spans="1:260" s="2" customFormat="1" ht="12.75" customHeight="1" x14ac:dyDescent="0.2">
      <c r="A109" s="28">
        <v>43186</v>
      </c>
      <c r="B109" s="32" t="s">
        <v>265</v>
      </c>
      <c r="C109" s="23"/>
      <c r="D109" s="23"/>
      <c r="E109" s="24"/>
      <c r="F109" s="24"/>
      <c r="G109" s="24"/>
      <c r="H109" s="24"/>
      <c r="I109" s="24"/>
      <c r="J109" s="24"/>
      <c r="K109" s="24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>
        <v>1</v>
      </c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11">
        <f t="shared" si="1"/>
        <v>1</v>
      </c>
      <c r="IZ109" s="25" t="s">
        <v>57</v>
      </c>
    </row>
    <row r="110" spans="1:260" s="2" customFormat="1" ht="12.75" customHeight="1" x14ac:dyDescent="0.2">
      <c r="A110" s="28">
        <v>43186</v>
      </c>
      <c r="B110" s="32" t="s">
        <v>77</v>
      </c>
      <c r="C110" s="23"/>
      <c r="D110" s="23"/>
      <c r="E110" s="24"/>
      <c r="F110" s="24"/>
      <c r="G110" s="24"/>
      <c r="H110" s="24"/>
      <c r="I110" s="24"/>
      <c r="J110" s="24"/>
      <c r="K110" s="24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>
        <v>1</v>
      </c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11">
        <f t="shared" si="1"/>
        <v>1</v>
      </c>
      <c r="IZ110" s="25" t="s">
        <v>25</v>
      </c>
    </row>
    <row r="111" spans="1:260" s="2" customFormat="1" ht="12.75" customHeight="1" x14ac:dyDescent="0.2">
      <c r="A111" s="28">
        <v>43186</v>
      </c>
      <c r="B111" s="32" t="s">
        <v>261</v>
      </c>
      <c r="C111" s="23"/>
      <c r="D111" s="23"/>
      <c r="E111" s="24"/>
      <c r="F111" s="24"/>
      <c r="G111" s="24"/>
      <c r="H111" s="24"/>
      <c r="I111" s="24"/>
      <c r="J111" s="24"/>
      <c r="K111" s="24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>
        <v>24</v>
      </c>
      <c r="IX111" s="7"/>
      <c r="IY111" s="11">
        <f t="shared" si="1"/>
        <v>24</v>
      </c>
      <c r="IZ111" s="25" t="s">
        <v>266</v>
      </c>
    </row>
    <row r="112" spans="1:260" s="2" customFormat="1" ht="12.75" customHeight="1" x14ac:dyDescent="0.2">
      <c r="A112" s="28">
        <v>43185</v>
      </c>
      <c r="B112" s="32" t="s">
        <v>175</v>
      </c>
      <c r="C112" s="23"/>
      <c r="D112" s="23"/>
      <c r="E112" s="24"/>
      <c r="F112" s="24"/>
      <c r="G112" s="24"/>
      <c r="H112" s="24"/>
      <c r="I112" s="24"/>
      <c r="J112" s="24"/>
      <c r="K112" s="24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>
        <v>6</v>
      </c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11">
        <f t="shared" si="1"/>
        <v>6</v>
      </c>
      <c r="IZ112" s="25" t="s">
        <v>25</v>
      </c>
    </row>
    <row r="113" spans="1:260" s="2" customFormat="1" ht="12.75" customHeight="1" x14ac:dyDescent="0.2">
      <c r="A113" s="28">
        <v>43185</v>
      </c>
      <c r="B113" s="33" t="s">
        <v>51</v>
      </c>
      <c r="C113" s="23"/>
      <c r="D113" s="23"/>
      <c r="E113" s="24"/>
      <c r="F113" s="24"/>
      <c r="G113" s="24"/>
      <c r="H113" s="24"/>
      <c r="I113" s="24"/>
      <c r="J113" s="24"/>
      <c r="K113" s="24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>
        <v>100</v>
      </c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>
        <v>11</v>
      </c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11">
        <f t="shared" si="1"/>
        <v>111</v>
      </c>
      <c r="IZ113" s="25" t="s">
        <v>25</v>
      </c>
    </row>
    <row r="114" spans="1:260" s="2" customFormat="1" ht="12.75" customHeight="1" x14ac:dyDescent="0.2">
      <c r="A114" s="28">
        <v>43186</v>
      </c>
      <c r="B114" s="32" t="s">
        <v>234</v>
      </c>
      <c r="C114" s="23"/>
      <c r="D114" s="23"/>
      <c r="E114" s="24"/>
      <c r="F114" s="24"/>
      <c r="G114" s="24"/>
      <c r="H114" s="24"/>
      <c r="I114" s="24"/>
      <c r="J114" s="24"/>
      <c r="K114" s="24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>
        <v>2</v>
      </c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>
        <v>1</v>
      </c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11">
        <f t="shared" si="1"/>
        <v>3</v>
      </c>
      <c r="IZ114" s="25" t="s">
        <v>25</v>
      </c>
    </row>
    <row r="115" spans="1:260" s="2" customFormat="1" ht="12.75" customHeight="1" x14ac:dyDescent="0.2">
      <c r="A115" s="28">
        <v>43186</v>
      </c>
      <c r="B115" s="32" t="s">
        <v>267</v>
      </c>
      <c r="C115" s="23"/>
      <c r="D115" s="23"/>
      <c r="E115" s="24"/>
      <c r="F115" s="24"/>
      <c r="G115" s="24"/>
      <c r="H115" s="24"/>
      <c r="I115" s="24"/>
      <c r="J115" s="24"/>
      <c r="K115" s="24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>
        <v>1</v>
      </c>
      <c r="HI115" s="7"/>
      <c r="HJ115" s="7"/>
      <c r="HK115" s="7"/>
      <c r="HL115" s="7"/>
      <c r="HM115" s="7"/>
      <c r="HN115" s="7">
        <v>1</v>
      </c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11">
        <f t="shared" si="1"/>
        <v>2</v>
      </c>
      <c r="IZ115" s="25" t="s">
        <v>25</v>
      </c>
    </row>
    <row r="116" spans="1:260" s="2" customFormat="1" ht="12.75" customHeight="1" x14ac:dyDescent="0.2">
      <c r="A116" s="28">
        <v>43185</v>
      </c>
      <c r="B116" s="32" t="s">
        <v>69</v>
      </c>
      <c r="C116" s="23"/>
      <c r="D116" s="23"/>
      <c r="E116" s="24"/>
      <c r="F116" s="24"/>
      <c r="G116" s="24"/>
      <c r="H116" s="24"/>
      <c r="I116" s="24"/>
      <c r="J116" s="24"/>
      <c r="K116" s="24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>
        <v>6</v>
      </c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11">
        <f t="shared" si="1"/>
        <v>6</v>
      </c>
      <c r="IZ116" s="25" t="s">
        <v>25</v>
      </c>
    </row>
    <row r="117" spans="1:260" s="2" customFormat="1" ht="12.75" customHeight="1" x14ac:dyDescent="0.2">
      <c r="A117" s="28">
        <v>43186</v>
      </c>
      <c r="B117" s="31" t="s">
        <v>269</v>
      </c>
      <c r="C117" s="23"/>
      <c r="D117" s="23"/>
      <c r="E117" s="24"/>
      <c r="F117" s="24"/>
      <c r="G117" s="24"/>
      <c r="H117" s="24"/>
      <c r="I117" s="24"/>
      <c r="J117" s="24"/>
      <c r="K117" s="24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>
        <v>10</v>
      </c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11">
        <f t="shared" si="1"/>
        <v>10</v>
      </c>
      <c r="IZ117" s="25" t="s">
        <v>25</v>
      </c>
    </row>
    <row r="118" spans="1:260" s="2" customFormat="1" ht="12.75" customHeight="1" x14ac:dyDescent="0.2">
      <c r="A118" s="28">
        <v>43185</v>
      </c>
      <c r="B118" s="32" t="s">
        <v>44</v>
      </c>
      <c r="C118" s="23"/>
      <c r="D118" s="23"/>
      <c r="E118" s="24"/>
      <c r="F118" s="24"/>
      <c r="G118" s="24"/>
      <c r="H118" s="24"/>
      <c r="I118" s="24"/>
      <c r="J118" s="24"/>
      <c r="K118" s="24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>
        <v>10</v>
      </c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>
        <v>1</v>
      </c>
      <c r="BP118" s="7"/>
      <c r="BQ118" s="7"/>
      <c r="BR118" s="7"/>
      <c r="BS118" s="7"/>
      <c r="BT118" s="7">
        <v>10</v>
      </c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>
        <v>9</v>
      </c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>
        <v>1</v>
      </c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11">
        <f t="shared" si="1"/>
        <v>31</v>
      </c>
      <c r="IZ118" s="25" t="s">
        <v>25</v>
      </c>
    </row>
    <row r="119" spans="1:260" s="2" customFormat="1" ht="12.75" customHeight="1" x14ac:dyDescent="0.2">
      <c r="A119" s="28">
        <v>43187</v>
      </c>
      <c r="B119" s="32" t="s">
        <v>268</v>
      </c>
      <c r="C119" s="23"/>
      <c r="D119" s="23"/>
      <c r="E119" s="24"/>
      <c r="F119" s="24"/>
      <c r="G119" s="24"/>
      <c r="H119" s="24"/>
      <c r="I119" s="24"/>
      <c r="J119" s="24"/>
      <c r="K119" s="24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>
        <v>25</v>
      </c>
      <c r="IS119" s="7"/>
      <c r="IT119" s="7"/>
      <c r="IU119" s="7"/>
      <c r="IV119" s="7"/>
      <c r="IW119" s="7"/>
      <c r="IX119" s="7"/>
      <c r="IY119" s="11">
        <f t="shared" si="1"/>
        <v>25</v>
      </c>
      <c r="IZ119" s="25" t="s">
        <v>83</v>
      </c>
    </row>
    <row r="120" spans="1:260" s="2" customFormat="1" ht="12.75" customHeight="1" x14ac:dyDescent="0.2">
      <c r="A120" s="28">
        <v>43187</v>
      </c>
      <c r="B120" s="31" t="s">
        <v>173</v>
      </c>
      <c r="C120" s="23"/>
      <c r="D120" s="23"/>
      <c r="E120" s="24"/>
      <c r="F120" s="24"/>
      <c r="G120" s="24"/>
      <c r="H120" s="24"/>
      <c r="I120" s="24"/>
      <c r="J120" s="24"/>
      <c r="K120" s="24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>
        <v>40</v>
      </c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11">
        <f t="shared" si="1"/>
        <v>40</v>
      </c>
      <c r="IZ120" s="25" t="s">
        <v>25</v>
      </c>
    </row>
    <row r="121" spans="1:260" s="2" customFormat="1" ht="12.75" customHeight="1" x14ac:dyDescent="0.2">
      <c r="A121" s="28">
        <v>43188</v>
      </c>
      <c r="B121" s="33" t="s">
        <v>22</v>
      </c>
      <c r="C121" s="23"/>
      <c r="D121" s="23"/>
      <c r="E121" s="24"/>
      <c r="F121" s="24"/>
      <c r="G121" s="24"/>
      <c r="H121" s="24"/>
      <c r="I121" s="24"/>
      <c r="J121" s="24"/>
      <c r="K121" s="24">
        <v>60</v>
      </c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>
        <v>50</v>
      </c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150</v>
      </c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>
        <v>20</v>
      </c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  <c r="HZ121" s="7"/>
      <c r="IA121" s="7"/>
      <c r="IB121" s="7"/>
      <c r="IC121" s="7"/>
      <c r="ID121" s="7"/>
      <c r="IE121" s="7"/>
      <c r="IF121" s="7">
        <v>20</v>
      </c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>
        <v>50</v>
      </c>
      <c r="IU121" s="7"/>
      <c r="IV121" s="7"/>
      <c r="IW121" s="7"/>
      <c r="IX121" s="7"/>
      <c r="IY121" s="11">
        <f t="shared" si="1"/>
        <v>350</v>
      </c>
      <c r="IZ121" s="25" t="s">
        <v>25</v>
      </c>
    </row>
    <row r="122" spans="1:260" s="2" customFormat="1" ht="12.75" customHeight="1" x14ac:dyDescent="0.2">
      <c r="A122" s="28">
        <v>43189</v>
      </c>
      <c r="B122" s="33" t="s">
        <v>51</v>
      </c>
      <c r="C122" s="23"/>
      <c r="D122" s="23"/>
      <c r="E122" s="24"/>
      <c r="F122" s="24"/>
      <c r="G122" s="24"/>
      <c r="H122" s="24"/>
      <c r="I122" s="24"/>
      <c r="J122" s="24"/>
      <c r="K122" s="24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>
        <v>60</v>
      </c>
      <c r="IT122" s="7"/>
      <c r="IU122" s="7"/>
      <c r="IV122" s="7"/>
      <c r="IW122" s="7"/>
      <c r="IX122" s="7"/>
      <c r="IY122" s="11">
        <f t="shared" si="1"/>
        <v>60</v>
      </c>
      <c r="IZ122" s="25" t="s">
        <v>83</v>
      </c>
    </row>
    <row r="123" spans="1:260" s="2" customFormat="1" ht="12.75" customHeight="1" x14ac:dyDescent="0.2">
      <c r="A123" s="28">
        <v>43193</v>
      </c>
      <c r="B123" s="32" t="s">
        <v>136</v>
      </c>
      <c r="C123" s="23"/>
      <c r="D123" s="23"/>
      <c r="E123" s="24"/>
      <c r="F123" s="24"/>
      <c r="G123" s="24"/>
      <c r="H123" s="24"/>
      <c r="I123" s="24"/>
      <c r="J123" s="24"/>
      <c r="K123" s="24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>
        <v>20</v>
      </c>
      <c r="Y123" s="7"/>
      <c r="Z123" s="7">
        <v>10</v>
      </c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11">
        <f t="shared" si="1"/>
        <v>30</v>
      </c>
      <c r="IZ123" s="25" t="s">
        <v>25</v>
      </c>
    </row>
    <row r="124" spans="1:260" s="2" customFormat="1" ht="12.75" customHeight="1" x14ac:dyDescent="0.2">
      <c r="A124" s="28">
        <v>43194</v>
      </c>
      <c r="B124" s="31" t="s">
        <v>256</v>
      </c>
      <c r="C124" s="23"/>
      <c r="D124" s="23"/>
      <c r="E124" s="24"/>
      <c r="F124" s="24"/>
      <c r="G124" s="24"/>
      <c r="H124" s="24"/>
      <c r="I124" s="24"/>
      <c r="J124" s="24"/>
      <c r="K124" s="24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>
        <v>100</v>
      </c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11">
        <f t="shared" si="1"/>
        <v>100</v>
      </c>
      <c r="IZ124" s="25" t="s">
        <v>25</v>
      </c>
    </row>
    <row r="125" spans="1:260" s="2" customFormat="1" ht="12.75" customHeight="1" x14ac:dyDescent="0.2">
      <c r="A125" s="28">
        <v>43194</v>
      </c>
      <c r="B125" s="31" t="s">
        <v>43</v>
      </c>
      <c r="C125" s="23"/>
      <c r="D125" s="23"/>
      <c r="E125" s="24">
        <v>50</v>
      </c>
      <c r="F125" s="24"/>
      <c r="G125" s="24"/>
      <c r="H125" s="24"/>
      <c r="I125" s="24"/>
      <c r="J125" s="24"/>
      <c r="K125" s="24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11">
        <f t="shared" si="1"/>
        <v>50</v>
      </c>
      <c r="IZ125" s="25" t="s">
        <v>25</v>
      </c>
    </row>
    <row r="126" spans="1:260" s="2" customFormat="1" ht="12.75" customHeight="1" x14ac:dyDescent="0.2">
      <c r="A126" s="28">
        <v>43194</v>
      </c>
      <c r="B126" s="32" t="s">
        <v>143</v>
      </c>
      <c r="C126" s="23"/>
      <c r="D126" s="23"/>
      <c r="E126" s="24"/>
      <c r="F126" s="24"/>
      <c r="G126" s="24"/>
      <c r="H126" s="24"/>
      <c r="I126" s="24"/>
      <c r="J126" s="24"/>
      <c r="K126" s="24"/>
      <c r="L126" s="7"/>
      <c r="M126" s="7">
        <v>18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>
        <v>10</v>
      </c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>
        <v>5</v>
      </c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>
        <v>0.9</v>
      </c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>
        <v>1</v>
      </c>
      <c r="DO126" s="7"/>
      <c r="DP126" s="7"/>
      <c r="DQ126" s="7">
        <v>20</v>
      </c>
      <c r="DR126" s="7"/>
      <c r="DS126" s="7"/>
      <c r="DT126" s="7"/>
      <c r="DU126" s="7"/>
      <c r="DV126" s="7"/>
      <c r="DW126" s="7"/>
      <c r="DX126" s="7"/>
      <c r="DY126" s="7"/>
      <c r="DZ126" s="7">
        <v>1</v>
      </c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>
        <v>2</v>
      </c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11">
        <f t="shared" si="1"/>
        <v>57.9</v>
      </c>
      <c r="IZ126" s="25" t="s">
        <v>25</v>
      </c>
    </row>
    <row r="127" spans="1:260" s="2" customFormat="1" ht="12.75" customHeight="1" x14ac:dyDescent="0.2">
      <c r="A127" s="28">
        <v>43195</v>
      </c>
      <c r="B127" s="31" t="s">
        <v>216</v>
      </c>
      <c r="C127" s="23"/>
      <c r="D127" s="23"/>
      <c r="E127" s="24"/>
      <c r="F127" s="24"/>
      <c r="G127" s="24"/>
      <c r="H127" s="24"/>
      <c r="I127" s="24"/>
      <c r="J127" s="24"/>
      <c r="K127" s="24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>
        <v>210</v>
      </c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11">
        <f t="shared" si="1"/>
        <v>210</v>
      </c>
      <c r="IZ127" s="25" t="s">
        <v>25</v>
      </c>
    </row>
    <row r="128" spans="1:260" s="2" customFormat="1" ht="12.75" customHeight="1" x14ac:dyDescent="0.2">
      <c r="A128" s="28">
        <v>43195</v>
      </c>
      <c r="B128" s="32" t="s">
        <v>250</v>
      </c>
      <c r="C128" s="23"/>
      <c r="D128" s="23"/>
      <c r="E128" s="24"/>
      <c r="F128" s="24"/>
      <c r="G128" s="24"/>
      <c r="H128" s="24"/>
      <c r="I128" s="24"/>
      <c r="J128" s="24"/>
      <c r="K128" s="24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>
        <v>50</v>
      </c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11">
        <f t="shared" si="1"/>
        <v>50</v>
      </c>
      <c r="IZ128" s="25" t="s">
        <v>25</v>
      </c>
    </row>
    <row r="129" spans="1:260" s="2" customFormat="1" ht="12.75" customHeight="1" x14ac:dyDescent="0.2">
      <c r="A129" s="28">
        <v>43192</v>
      </c>
      <c r="B129" s="32" t="s">
        <v>122</v>
      </c>
      <c r="C129" s="23"/>
      <c r="D129" s="23"/>
      <c r="E129" s="24"/>
      <c r="F129" s="24"/>
      <c r="G129" s="24"/>
      <c r="H129" s="24"/>
      <c r="I129" s="24"/>
      <c r="J129" s="24"/>
      <c r="K129" s="24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>
        <v>2</v>
      </c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>
        <v>1</v>
      </c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11">
        <f t="shared" ref="IY129:IY192" si="2">SUBTOTAL(9,C129:IX129)</f>
        <v>3</v>
      </c>
      <c r="IZ129" s="25" t="s">
        <v>57</v>
      </c>
    </row>
    <row r="130" spans="1:260" s="2" customFormat="1" ht="12.75" customHeight="1" x14ac:dyDescent="0.2">
      <c r="A130" s="28">
        <v>43195</v>
      </c>
      <c r="B130" s="31" t="s">
        <v>58</v>
      </c>
      <c r="C130" s="23"/>
      <c r="D130" s="23"/>
      <c r="E130" s="24"/>
      <c r="F130" s="24"/>
      <c r="G130" s="24"/>
      <c r="H130" s="24"/>
      <c r="I130" s="24"/>
      <c r="J130" s="24"/>
      <c r="K130" s="24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>
        <v>10</v>
      </c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>
        <v>5</v>
      </c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11">
        <f t="shared" si="2"/>
        <v>15</v>
      </c>
      <c r="IZ130" s="25" t="s">
        <v>25</v>
      </c>
    </row>
    <row r="131" spans="1:260" s="2" customFormat="1" ht="12.75" customHeight="1" x14ac:dyDescent="0.2">
      <c r="A131" s="28">
        <v>43195</v>
      </c>
      <c r="B131" s="31" t="s">
        <v>43</v>
      </c>
      <c r="C131" s="23"/>
      <c r="D131" s="23"/>
      <c r="E131" s="24">
        <v>250</v>
      </c>
      <c r="F131" s="24"/>
      <c r="G131" s="24"/>
      <c r="H131" s="24"/>
      <c r="I131" s="24"/>
      <c r="J131" s="24"/>
      <c r="K131" s="24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>
        <v>10</v>
      </c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>
        <v>10</v>
      </c>
      <c r="BV131" s="7"/>
      <c r="BW131" s="7"/>
      <c r="BX131" s="7"/>
      <c r="BY131" s="7">
        <v>10</v>
      </c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>
        <v>40</v>
      </c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>
        <v>20</v>
      </c>
      <c r="FU131" s="7"/>
      <c r="FV131" s="7"/>
      <c r="FW131" s="7"/>
      <c r="FX131" s="7"/>
      <c r="FY131" s="7">
        <v>30</v>
      </c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11">
        <f t="shared" si="2"/>
        <v>370</v>
      </c>
      <c r="IZ131" s="25" t="s">
        <v>25</v>
      </c>
    </row>
    <row r="132" spans="1:260" s="2" customFormat="1" ht="12.75" customHeight="1" x14ac:dyDescent="0.2">
      <c r="A132" s="28">
        <v>43196</v>
      </c>
      <c r="B132" s="31" t="s">
        <v>65</v>
      </c>
      <c r="C132" s="23"/>
      <c r="D132" s="23"/>
      <c r="E132" s="24"/>
      <c r="F132" s="24"/>
      <c r="G132" s="24"/>
      <c r="H132" s="24"/>
      <c r="I132" s="24"/>
      <c r="J132" s="24"/>
      <c r="K132" s="24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10</v>
      </c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>
        <v>50</v>
      </c>
      <c r="IW132" s="7"/>
      <c r="IX132" s="7"/>
      <c r="IY132" s="11">
        <f t="shared" si="2"/>
        <v>60</v>
      </c>
      <c r="IZ132" s="25" t="s">
        <v>198</v>
      </c>
    </row>
    <row r="133" spans="1:260" s="2" customFormat="1" ht="12.75" customHeight="1" x14ac:dyDescent="0.2">
      <c r="A133" s="28">
        <v>43196</v>
      </c>
      <c r="B133" s="31" t="s">
        <v>211</v>
      </c>
      <c r="C133" s="23"/>
      <c r="D133" s="23"/>
      <c r="E133" s="24"/>
      <c r="F133" s="24"/>
      <c r="G133" s="24"/>
      <c r="H133" s="24"/>
      <c r="I133" s="24">
        <v>20</v>
      </c>
      <c r="J133" s="24"/>
      <c r="K133" s="24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11">
        <f t="shared" si="2"/>
        <v>20</v>
      </c>
      <c r="IZ133" s="25" t="s">
        <v>25</v>
      </c>
    </row>
    <row r="134" spans="1:260" s="2" customFormat="1" ht="12.75" customHeight="1" x14ac:dyDescent="0.2">
      <c r="A134" s="28">
        <v>43196</v>
      </c>
      <c r="B134" s="31" t="s">
        <v>163</v>
      </c>
      <c r="C134" s="23"/>
      <c r="D134" s="23"/>
      <c r="E134" s="24"/>
      <c r="F134" s="24"/>
      <c r="G134" s="24"/>
      <c r="H134" s="24"/>
      <c r="I134" s="24"/>
      <c r="J134" s="24"/>
      <c r="K134" s="24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>
        <v>190</v>
      </c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11">
        <f t="shared" si="2"/>
        <v>190</v>
      </c>
      <c r="IZ134" s="25" t="s">
        <v>25</v>
      </c>
    </row>
    <row r="135" spans="1:260" s="2" customFormat="1" ht="12.75" customHeight="1" x14ac:dyDescent="0.2">
      <c r="A135" s="28">
        <v>43196</v>
      </c>
      <c r="B135" s="31" t="s">
        <v>256</v>
      </c>
      <c r="C135" s="23"/>
      <c r="D135" s="23"/>
      <c r="E135" s="24"/>
      <c r="F135" s="24"/>
      <c r="G135" s="24"/>
      <c r="H135" s="24"/>
      <c r="I135" s="24"/>
      <c r="J135" s="24"/>
      <c r="K135" s="24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>
        <v>40</v>
      </c>
      <c r="CX135" s="7">
        <v>99</v>
      </c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>
        <v>30</v>
      </c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11">
        <f t="shared" si="2"/>
        <v>169</v>
      </c>
      <c r="IZ135" s="25" t="s">
        <v>25</v>
      </c>
    </row>
    <row r="136" spans="1:260" s="2" customFormat="1" ht="12.75" customHeight="1" x14ac:dyDescent="0.2">
      <c r="A136" s="28">
        <v>43196</v>
      </c>
      <c r="B136" s="33" t="s">
        <v>29</v>
      </c>
      <c r="C136" s="23"/>
      <c r="D136" s="23"/>
      <c r="E136" s="24"/>
      <c r="F136" s="24"/>
      <c r="G136" s="24"/>
      <c r="H136" s="24"/>
      <c r="I136" s="24"/>
      <c r="J136" s="24"/>
      <c r="K136" s="24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>
        <v>15</v>
      </c>
      <c r="DU136" s="7"/>
      <c r="DV136" s="7">
        <v>10</v>
      </c>
      <c r="DW136" s="7"/>
      <c r="DX136" s="7"/>
      <c r="DY136" s="7"/>
      <c r="DZ136" s="7">
        <v>10</v>
      </c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>
        <v>22</v>
      </c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11">
        <f t="shared" si="2"/>
        <v>57</v>
      </c>
      <c r="IZ136" s="25" t="s">
        <v>25</v>
      </c>
    </row>
    <row r="137" spans="1:260" s="2" customFormat="1" ht="12.75" customHeight="1" x14ac:dyDescent="0.2">
      <c r="A137" s="28">
        <v>43196</v>
      </c>
      <c r="B137" s="32" t="s">
        <v>143</v>
      </c>
      <c r="C137" s="23"/>
      <c r="D137" s="23"/>
      <c r="E137" s="24">
        <v>50</v>
      </c>
      <c r="F137" s="24"/>
      <c r="G137" s="24"/>
      <c r="H137" s="24"/>
      <c r="I137" s="24"/>
      <c r="J137" s="24"/>
      <c r="K137" s="24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11">
        <f t="shared" si="2"/>
        <v>50</v>
      </c>
      <c r="IZ137" s="25" t="s">
        <v>25</v>
      </c>
    </row>
    <row r="138" spans="1:260" s="2" customFormat="1" ht="12.75" customHeight="1" x14ac:dyDescent="0.2">
      <c r="A138" s="28">
        <v>43196</v>
      </c>
      <c r="B138" s="32" t="s">
        <v>64</v>
      </c>
      <c r="C138" s="23"/>
      <c r="D138" s="23"/>
      <c r="E138" s="24"/>
      <c r="F138" s="24"/>
      <c r="G138" s="24"/>
      <c r="H138" s="24"/>
      <c r="I138" s="24"/>
      <c r="J138" s="24"/>
      <c r="K138" s="24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>
        <v>1</v>
      </c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11">
        <f t="shared" si="2"/>
        <v>1</v>
      </c>
      <c r="IZ138" s="25" t="s">
        <v>25</v>
      </c>
    </row>
    <row r="139" spans="1:260" s="2" customFormat="1" ht="12.75" customHeight="1" x14ac:dyDescent="0.2">
      <c r="A139" s="28">
        <v>43196</v>
      </c>
      <c r="B139" s="33" t="s">
        <v>22</v>
      </c>
      <c r="C139" s="23"/>
      <c r="D139" s="23"/>
      <c r="E139" s="24"/>
      <c r="F139" s="24"/>
      <c r="G139" s="24"/>
      <c r="H139" s="24"/>
      <c r="I139" s="24"/>
      <c r="J139" s="24"/>
      <c r="K139" s="24">
        <v>60</v>
      </c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/>
      <c r="IQ139" s="7"/>
      <c r="IR139" s="7"/>
      <c r="IS139" s="7"/>
      <c r="IT139" s="7">
        <v>25</v>
      </c>
      <c r="IU139" s="7"/>
      <c r="IV139" s="7"/>
      <c r="IW139" s="7"/>
      <c r="IX139" s="7"/>
      <c r="IY139" s="11">
        <f t="shared" si="2"/>
        <v>85</v>
      </c>
      <c r="IZ139" s="25" t="s">
        <v>83</v>
      </c>
    </row>
    <row r="140" spans="1:260" s="2" customFormat="1" ht="12.75" customHeight="1" x14ac:dyDescent="0.2">
      <c r="A140" s="28">
        <v>43199</v>
      </c>
      <c r="B140" s="32" t="s">
        <v>182</v>
      </c>
      <c r="C140" s="23"/>
      <c r="D140" s="23"/>
      <c r="E140" s="24"/>
      <c r="F140" s="24"/>
      <c r="G140" s="24"/>
      <c r="H140" s="24"/>
      <c r="I140" s="24"/>
      <c r="J140" s="24"/>
      <c r="K140" s="24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>
        <v>5</v>
      </c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>
        <v>3.3</v>
      </c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>
        <v>11</v>
      </c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11">
        <f t="shared" si="2"/>
        <v>19.3</v>
      </c>
      <c r="IZ140" s="25" t="s">
        <v>25</v>
      </c>
    </row>
    <row r="141" spans="1:260" s="2" customFormat="1" ht="12.75" customHeight="1" x14ac:dyDescent="0.2">
      <c r="A141" s="28">
        <v>43199</v>
      </c>
      <c r="B141" s="31" t="s">
        <v>251</v>
      </c>
      <c r="C141" s="23"/>
      <c r="D141" s="23"/>
      <c r="E141" s="24"/>
      <c r="F141" s="24"/>
      <c r="G141" s="24"/>
      <c r="H141" s="24"/>
      <c r="I141" s="24"/>
      <c r="J141" s="24"/>
      <c r="K141" s="24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>
        <v>2</v>
      </c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11">
        <f t="shared" si="2"/>
        <v>2</v>
      </c>
      <c r="IZ141" s="25" t="s">
        <v>57</v>
      </c>
    </row>
    <row r="142" spans="1:260" s="2" customFormat="1" ht="12.75" customHeight="1" x14ac:dyDescent="0.2">
      <c r="A142" s="28">
        <v>43199</v>
      </c>
      <c r="B142" s="32" t="s">
        <v>69</v>
      </c>
      <c r="C142" s="23"/>
      <c r="D142" s="23"/>
      <c r="E142" s="24"/>
      <c r="F142" s="24"/>
      <c r="G142" s="24"/>
      <c r="H142" s="24"/>
      <c r="I142" s="24"/>
      <c r="J142" s="24"/>
      <c r="K142" s="24"/>
      <c r="L142" s="7"/>
      <c r="M142" s="7"/>
      <c r="N142" s="7"/>
      <c r="O142" s="7"/>
      <c r="P142" s="7"/>
      <c r="Q142" s="7">
        <v>8</v>
      </c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>
        <v>4</v>
      </c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>
        <v>10</v>
      </c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11">
        <f t="shared" si="2"/>
        <v>22</v>
      </c>
      <c r="IZ142" s="25" t="s">
        <v>25</v>
      </c>
    </row>
    <row r="143" spans="1:260" s="2" customFormat="1" ht="12.75" customHeight="1" x14ac:dyDescent="0.2">
      <c r="A143" s="28">
        <v>43200</v>
      </c>
      <c r="B143" s="31" t="s">
        <v>244</v>
      </c>
      <c r="C143" s="23"/>
      <c r="D143" s="23"/>
      <c r="E143" s="24"/>
      <c r="F143" s="24"/>
      <c r="G143" s="24"/>
      <c r="H143" s="24"/>
      <c r="I143" s="24"/>
      <c r="J143" s="24"/>
      <c r="K143" s="24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>
        <v>0.9</v>
      </c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11">
        <f t="shared" si="2"/>
        <v>0.9</v>
      </c>
      <c r="IZ143" s="25" t="s">
        <v>25</v>
      </c>
    </row>
    <row r="144" spans="1:260" s="2" customFormat="1" ht="12.75" customHeight="1" x14ac:dyDescent="0.2">
      <c r="A144" s="28">
        <v>43200</v>
      </c>
      <c r="B144" s="31" t="s">
        <v>215</v>
      </c>
      <c r="C144" s="23"/>
      <c r="D144" s="23"/>
      <c r="E144" s="24"/>
      <c r="F144" s="24"/>
      <c r="G144" s="24"/>
      <c r="H144" s="24"/>
      <c r="I144" s="24"/>
      <c r="J144" s="24"/>
      <c r="K144" s="24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>
        <v>20</v>
      </c>
      <c r="DQ144" s="7"/>
      <c r="DR144" s="7"/>
      <c r="DS144" s="7"/>
      <c r="DT144" s="7"/>
      <c r="DU144" s="7"/>
      <c r="DV144" s="7"/>
      <c r="DW144" s="7">
        <v>10</v>
      </c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11">
        <f t="shared" si="2"/>
        <v>30</v>
      </c>
      <c r="IZ144" s="25" t="s">
        <v>25</v>
      </c>
    </row>
    <row r="145" spans="1:260" s="2" customFormat="1" ht="12.75" customHeight="1" x14ac:dyDescent="0.2">
      <c r="A145" s="28">
        <v>43200</v>
      </c>
      <c r="B145" s="33" t="s">
        <v>123</v>
      </c>
      <c r="C145" s="23"/>
      <c r="D145" s="23"/>
      <c r="E145" s="24"/>
      <c r="F145" s="24"/>
      <c r="G145" s="24"/>
      <c r="H145" s="24"/>
      <c r="I145" s="24"/>
      <c r="J145" s="24"/>
      <c r="K145" s="24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>
        <v>27</v>
      </c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11">
        <f t="shared" si="2"/>
        <v>27</v>
      </c>
      <c r="IZ145" s="25" t="s">
        <v>25</v>
      </c>
    </row>
    <row r="146" spans="1:260" s="2" customFormat="1" ht="12.75" customHeight="1" x14ac:dyDescent="0.2">
      <c r="A146" s="28">
        <v>43201</v>
      </c>
      <c r="B146" s="32" t="s">
        <v>62</v>
      </c>
      <c r="C146" s="23"/>
      <c r="D146" s="23"/>
      <c r="E146" s="24"/>
      <c r="F146" s="24"/>
      <c r="G146" s="24"/>
      <c r="H146" s="24"/>
      <c r="I146" s="24"/>
      <c r="J146" s="24"/>
      <c r="K146" s="24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>
        <v>0.9</v>
      </c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11">
        <f t="shared" si="2"/>
        <v>0.9</v>
      </c>
      <c r="IZ146" s="25" t="s">
        <v>25</v>
      </c>
    </row>
    <row r="147" spans="1:260" s="2" customFormat="1" ht="12.75" customHeight="1" x14ac:dyDescent="0.2">
      <c r="A147" s="28">
        <v>43201</v>
      </c>
      <c r="B147" s="32" t="s">
        <v>302</v>
      </c>
      <c r="C147" s="23"/>
      <c r="D147" s="23"/>
      <c r="E147" s="24"/>
      <c r="F147" s="24"/>
      <c r="G147" s="24"/>
      <c r="H147" s="24"/>
      <c r="I147" s="24"/>
      <c r="J147" s="24"/>
      <c r="K147" s="24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>
        <v>25</v>
      </c>
      <c r="IV147" s="7"/>
      <c r="IW147" s="7"/>
      <c r="IX147" s="7"/>
      <c r="IY147" s="11">
        <f t="shared" si="2"/>
        <v>25</v>
      </c>
      <c r="IZ147" s="25" t="s">
        <v>83</v>
      </c>
    </row>
    <row r="148" spans="1:260" s="2" customFormat="1" ht="12.75" customHeight="1" x14ac:dyDescent="0.2">
      <c r="A148" s="28">
        <v>43201</v>
      </c>
      <c r="B148" s="31" t="s">
        <v>78</v>
      </c>
      <c r="C148" s="23"/>
      <c r="D148" s="23"/>
      <c r="E148" s="24"/>
      <c r="F148" s="24"/>
      <c r="G148" s="24"/>
      <c r="H148" s="24"/>
      <c r="I148" s="24"/>
      <c r="J148" s="24"/>
      <c r="K148" s="24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>
        <v>1</v>
      </c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>
        <v>0.9</v>
      </c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11">
        <f t="shared" si="2"/>
        <v>1.9</v>
      </c>
      <c r="IZ148" s="25" t="s">
        <v>25</v>
      </c>
    </row>
    <row r="149" spans="1:260" s="2" customFormat="1" ht="12.75" customHeight="1" x14ac:dyDescent="0.2">
      <c r="A149" s="28">
        <v>43201</v>
      </c>
      <c r="B149" s="32" t="s">
        <v>64</v>
      </c>
      <c r="C149" s="23"/>
      <c r="D149" s="23"/>
      <c r="E149" s="24"/>
      <c r="F149" s="24"/>
      <c r="G149" s="24"/>
      <c r="H149" s="24"/>
      <c r="I149" s="24"/>
      <c r="J149" s="24"/>
      <c r="K149" s="24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>
        <v>50</v>
      </c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11">
        <f t="shared" si="2"/>
        <v>50</v>
      </c>
      <c r="IZ149" s="25" t="s">
        <v>25</v>
      </c>
    </row>
    <row r="150" spans="1:260" s="2" customFormat="1" ht="12.75" customHeight="1" x14ac:dyDescent="0.2">
      <c r="A150" s="28">
        <v>43201</v>
      </c>
      <c r="B150" s="32" t="s">
        <v>190</v>
      </c>
      <c r="C150" s="23"/>
      <c r="D150" s="23"/>
      <c r="E150" s="24"/>
      <c r="F150" s="24"/>
      <c r="G150" s="24"/>
      <c r="H150" s="24"/>
      <c r="I150" s="24"/>
      <c r="J150" s="24"/>
      <c r="K150" s="24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>
        <v>10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  <c r="IW150" s="7"/>
      <c r="IX150" s="7"/>
      <c r="IY150" s="11">
        <f t="shared" si="2"/>
        <v>10</v>
      </c>
      <c r="IZ150" s="25" t="s">
        <v>25</v>
      </c>
    </row>
    <row r="151" spans="1:260" s="2" customFormat="1" ht="12.75" customHeight="1" x14ac:dyDescent="0.2">
      <c r="A151" s="28">
        <v>43202</v>
      </c>
      <c r="B151" s="32" t="s">
        <v>272</v>
      </c>
      <c r="C151" s="23"/>
      <c r="D151" s="23"/>
      <c r="E151" s="24"/>
      <c r="F151" s="24"/>
      <c r="G151" s="24"/>
      <c r="H151" s="24"/>
      <c r="I151" s="24"/>
      <c r="J151" s="24"/>
      <c r="K151" s="24"/>
      <c r="L151" s="7">
        <v>120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11">
        <f t="shared" si="2"/>
        <v>120</v>
      </c>
      <c r="IZ151" s="25" t="s">
        <v>25</v>
      </c>
    </row>
    <row r="152" spans="1:260" s="2" customFormat="1" ht="12.75" customHeight="1" x14ac:dyDescent="0.2">
      <c r="A152" s="28">
        <v>43202</v>
      </c>
      <c r="B152" s="31" t="s">
        <v>273</v>
      </c>
      <c r="C152" s="23"/>
      <c r="D152" s="23"/>
      <c r="E152" s="24"/>
      <c r="F152" s="24"/>
      <c r="G152" s="24"/>
      <c r="H152" s="24"/>
      <c r="I152" s="24"/>
      <c r="J152" s="24"/>
      <c r="K152" s="24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>
        <v>5</v>
      </c>
      <c r="IR152" s="7"/>
      <c r="IS152" s="7"/>
      <c r="IT152" s="7"/>
      <c r="IU152" s="7"/>
      <c r="IV152" s="7"/>
      <c r="IW152" s="7"/>
      <c r="IX152" s="7"/>
      <c r="IY152" s="11">
        <f t="shared" si="2"/>
        <v>5</v>
      </c>
      <c r="IZ152" s="25" t="s">
        <v>57</v>
      </c>
    </row>
    <row r="153" spans="1:260" s="2" customFormat="1" ht="12.75" customHeight="1" x14ac:dyDescent="0.2">
      <c r="A153" s="28">
        <v>43202</v>
      </c>
      <c r="B153" s="31" t="s">
        <v>249</v>
      </c>
      <c r="C153" s="23"/>
      <c r="D153" s="23"/>
      <c r="E153" s="24"/>
      <c r="F153" s="24"/>
      <c r="G153" s="24"/>
      <c r="H153" s="24"/>
      <c r="I153" s="24"/>
      <c r="J153" s="24"/>
      <c r="K153" s="24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>
        <v>20</v>
      </c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>
        <v>10</v>
      </c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>
        <v>0.9</v>
      </c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11">
        <f t="shared" si="2"/>
        <v>30.9</v>
      </c>
      <c r="IZ153" s="25" t="s">
        <v>25</v>
      </c>
    </row>
    <row r="154" spans="1:260" s="2" customFormat="1" ht="12.75" customHeight="1" x14ac:dyDescent="0.2">
      <c r="A154" s="28">
        <v>43203</v>
      </c>
      <c r="B154" s="33" t="s">
        <v>22</v>
      </c>
      <c r="C154" s="23"/>
      <c r="D154" s="23"/>
      <c r="E154" s="24"/>
      <c r="F154" s="24"/>
      <c r="G154" s="24"/>
      <c r="H154" s="24"/>
      <c r="I154" s="24"/>
      <c r="J154" s="24"/>
      <c r="K154" s="24">
        <v>60</v>
      </c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>
        <v>30</v>
      </c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90</v>
      </c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>
        <v>50</v>
      </c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>
        <v>50</v>
      </c>
      <c r="IU154" s="7"/>
      <c r="IV154" s="7"/>
      <c r="IW154" s="7"/>
      <c r="IX154" s="7"/>
      <c r="IY154" s="11">
        <f t="shared" si="2"/>
        <v>280</v>
      </c>
      <c r="IZ154" s="25" t="s">
        <v>25</v>
      </c>
    </row>
    <row r="155" spans="1:260" s="2" customFormat="1" ht="12.75" customHeight="1" x14ac:dyDescent="0.2">
      <c r="A155" s="28">
        <v>43208</v>
      </c>
      <c r="B155" s="32" t="s">
        <v>136</v>
      </c>
      <c r="C155" s="23"/>
      <c r="D155" s="23"/>
      <c r="E155" s="24"/>
      <c r="F155" s="24"/>
      <c r="G155" s="24"/>
      <c r="H155" s="24"/>
      <c r="I155" s="24"/>
      <c r="J155" s="24"/>
      <c r="K155" s="24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>
        <v>20</v>
      </c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11">
        <f t="shared" si="2"/>
        <v>20</v>
      </c>
      <c r="IZ155" s="25" t="s">
        <v>25</v>
      </c>
    </row>
    <row r="156" spans="1:260" s="2" customFormat="1" ht="12.75" customHeight="1" x14ac:dyDescent="0.2">
      <c r="A156" s="28">
        <v>43208</v>
      </c>
      <c r="B156" s="32" t="s">
        <v>234</v>
      </c>
      <c r="C156" s="23"/>
      <c r="D156" s="23"/>
      <c r="E156" s="24"/>
      <c r="F156" s="24"/>
      <c r="G156" s="24"/>
      <c r="H156" s="24"/>
      <c r="I156" s="24"/>
      <c r="J156" s="24"/>
      <c r="K156" s="24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>
        <v>2.2000000000000002</v>
      </c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11">
        <f t="shared" si="2"/>
        <v>2.2000000000000002</v>
      </c>
      <c r="IZ156" s="25" t="s">
        <v>25</v>
      </c>
    </row>
    <row r="157" spans="1:260" s="2" customFormat="1" ht="12.75" customHeight="1" x14ac:dyDescent="0.2">
      <c r="A157" s="28">
        <v>43209</v>
      </c>
      <c r="B157" s="32" t="s">
        <v>146</v>
      </c>
      <c r="C157" s="23"/>
      <c r="D157" s="23"/>
      <c r="E157" s="24"/>
      <c r="F157" s="24"/>
      <c r="G157" s="24"/>
      <c r="H157" s="24"/>
      <c r="I157" s="24"/>
      <c r="J157" s="24"/>
      <c r="K157" s="24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>
        <v>16.2</v>
      </c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/>
      <c r="IW157" s="7"/>
      <c r="IX157" s="7"/>
      <c r="IY157" s="11">
        <f t="shared" si="2"/>
        <v>16.2</v>
      </c>
      <c r="IZ157" s="25" t="s">
        <v>25</v>
      </c>
    </row>
    <row r="158" spans="1:260" s="2" customFormat="1" ht="12.75" customHeight="1" x14ac:dyDescent="0.2">
      <c r="A158" s="28">
        <v>43209</v>
      </c>
      <c r="B158" s="27" t="s">
        <v>274</v>
      </c>
      <c r="C158" s="23"/>
      <c r="D158" s="23"/>
      <c r="E158" s="24"/>
      <c r="F158" s="24"/>
      <c r="G158" s="24"/>
      <c r="H158" s="24"/>
      <c r="I158" s="24"/>
      <c r="J158" s="24"/>
      <c r="K158" s="24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>
        <v>1</v>
      </c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/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11">
        <f t="shared" si="2"/>
        <v>1</v>
      </c>
      <c r="IZ158" s="25" t="s">
        <v>25</v>
      </c>
    </row>
    <row r="159" spans="1:260" s="2" customFormat="1" ht="12.75" customHeight="1" x14ac:dyDescent="0.2">
      <c r="A159" s="28">
        <v>43210</v>
      </c>
      <c r="B159" s="33" t="s">
        <v>30</v>
      </c>
      <c r="C159" s="23"/>
      <c r="D159" s="23"/>
      <c r="E159" s="24"/>
      <c r="F159" s="24"/>
      <c r="G159" s="24"/>
      <c r="H159" s="24"/>
      <c r="I159" s="24"/>
      <c r="J159" s="24"/>
      <c r="K159" s="24"/>
      <c r="L159" s="7"/>
      <c r="M159" s="7"/>
      <c r="N159" s="7"/>
      <c r="O159" s="7"/>
      <c r="P159" s="7"/>
      <c r="Q159" s="7"/>
      <c r="R159" s="7"/>
      <c r="S159" s="7">
        <v>9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>
        <v>10</v>
      </c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11">
        <f t="shared" si="2"/>
        <v>19</v>
      </c>
      <c r="IZ159" s="25" t="s">
        <v>25</v>
      </c>
    </row>
    <row r="160" spans="1:260" s="2" customFormat="1" ht="12.75" customHeight="1" x14ac:dyDescent="0.2">
      <c r="A160" s="28">
        <v>43210</v>
      </c>
      <c r="B160" s="33" t="s">
        <v>22</v>
      </c>
      <c r="C160" s="23"/>
      <c r="D160" s="23"/>
      <c r="E160" s="24"/>
      <c r="F160" s="24"/>
      <c r="G160" s="24"/>
      <c r="H160" s="24"/>
      <c r="I160" s="24"/>
      <c r="J160" s="24"/>
      <c r="K160" s="24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120</v>
      </c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11">
        <f t="shared" si="2"/>
        <v>120</v>
      </c>
      <c r="IZ160" s="25" t="s">
        <v>25</v>
      </c>
    </row>
    <row r="161" spans="1:260" s="2" customFormat="1" ht="12.75" customHeight="1" x14ac:dyDescent="0.2">
      <c r="A161" s="28">
        <v>43213</v>
      </c>
      <c r="B161" s="33" t="s">
        <v>48</v>
      </c>
      <c r="C161" s="23"/>
      <c r="D161" s="23"/>
      <c r="E161" s="24"/>
      <c r="F161" s="24"/>
      <c r="G161" s="24"/>
      <c r="H161" s="24"/>
      <c r="I161" s="24"/>
      <c r="J161" s="24"/>
      <c r="K161" s="24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>
        <v>27</v>
      </c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>
        <v>363</v>
      </c>
      <c r="CN161" s="7"/>
      <c r="CO161" s="7"/>
      <c r="CP161" s="7">
        <v>80</v>
      </c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11">
        <f t="shared" si="2"/>
        <v>470</v>
      </c>
      <c r="IZ161" s="25" t="s">
        <v>25</v>
      </c>
    </row>
    <row r="162" spans="1:260" s="2" customFormat="1" ht="12.75" customHeight="1" x14ac:dyDescent="0.2">
      <c r="A162" s="28">
        <v>43213</v>
      </c>
      <c r="B162" s="33" t="s">
        <v>22</v>
      </c>
      <c r="C162" s="23"/>
      <c r="D162" s="23"/>
      <c r="E162" s="24"/>
      <c r="F162" s="24"/>
      <c r="G162" s="24"/>
      <c r="H162" s="24"/>
      <c r="I162" s="24"/>
      <c r="J162" s="24"/>
      <c r="K162" s="24">
        <v>120</v>
      </c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>
        <v>30</v>
      </c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60</v>
      </c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>
        <v>30</v>
      </c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/>
      <c r="IB162" s="7"/>
      <c r="IC162" s="7"/>
      <c r="ID162" s="7"/>
      <c r="IE162" s="7"/>
      <c r="IF162" s="7">
        <v>20</v>
      </c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>
        <v>100</v>
      </c>
      <c r="IU162" s="7"/>
      <c r="IV162" s="7"/>
      <c r="IW162" s="7"/>
      <c r="IX162" s="7"/>
      <c r="IY162" s="11">
        <f t="shared" si="2"/>
        <v>360</v>
      </c>
      <c r="IZ162" s="25" t="s">
        <v>25</v>
      </c>
    </row>
    <row r="163" spans="1:260" s="2" customFormat="1" ht="12.75" customHeight="1" x14ac:dyDescent="0.2">
      <c r="A163" s="28">
        <v>43213</v>
      </c>
      <c r="B163" s="32" t="s">
        <v>64</v>
      </c>
      <c r="C163" s="23"/>
      <c r="D163" s="23">
        <v>40</v>
      </c>
      <c r="E163" s="24"/>
      <c r="F163" s="24"/>
      <c r="G163" s="24"/>
      <c r="H163" s="24"/>
      <c r="I163" s="24"/>
      <c r="J163" s="24"/>
      <c r="K163" s="24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>
        <v>20</v>
      </c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11">
        <f t="shared" si="2"/>
        <v>60</v>
      </c>
      <c r="IZ163" s="25" t="s">
        <v>25</v>
      </c>
    </row>
    <row r="164" spans="1:260" s="2" customFormat="1" ht="12.75" customHeight="1" x14ac:dyDescent="0.2">
      <c r="A164" s="28">
        <v>43213</v>
      </c>
      <c r="B164" s="31" t="s">
        <v>43</v>
      </c>
      <c r="C164" s="23"/>
      <c r="D164" s="23"/>
      <c r="E164" s="24">
        <v>10</v>
      </c>
      <c r="F164" s="24"/>
      <c r="G164" s="24"/>
      <c r="H164" s="24"/>
      <c r="I164" s="24"/>
      <c r="J164" s="24"/>
      <c r="K164" s="24"/>
      <c r="L164" s="7"/>
      <c r="M164" s="7"/>
      <c r="N164" s="7"/>
      <c r="O164" s="7"/>
      <c r="P164" s="7"/>
      <c r="Q164" s="7"/>
      <c r="R164" s="7">
        <v>14</v>
      </c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>
        <v>20</v>
      </c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>
        <v>9</v>
      </c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11">
        <f t="shared" si="2"/>
        <v>53</v>
      </c>
      <c r="IZ164" s="25" t="s">
        <v>25</v>
      </c>
    </row>
    <row r="165" spans="1:260" s="2" customFormat="1" ht="12.75" customHeight="1" x14ac:dyDescent="0.2">
      <c r="A165" s="28">
        <v>43213</v>
      </c>
      <c r="B165" s="33" t="s">
        <v>29</v>
      </c>
      <c r="C165" s="23"/>
      <c r="D165" s="23"/>
      <c r="E165" s="24"/>
      <c r="F165" s="24"/>
      <c r="G165" s="24"/>
      <c r="H165" s="24"/>
      <c r="I165" s="24"/>
      <c r="J165" s="24"/>
      <c r="K165" s="24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>
        <v>20</v>
      </c>
      <c r="DU165" s="7"/>
      <c r="DV165" s="7">
        <v>10</v>
      </c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>
        <v>40</v>
      </c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11">
        <f t="shared" si="2"/>
        <v>70</v>
      </c>
      <c r="IZ165" s="25" t="s">
        <v>25</v>
      </c>
    </row>
    <row r="166" spans="1:260" s="2" customFormat="1" ht="12.75" customHeight="1" x14ac:dyDescent="0.2">
      <c r="A166" s="28">
        <v>43213</v>
      </c>
      <c r="B166" s="32" t="s">
        <v>190</v>
      </c>
      <c r="C166" s="23"/>
      <c r="D166" s="23"/>
      <c r="E166" s="24"/>
      <c r="F166" s="24"/>
      <c r="G166" s="24"/>
      <c r="H166" s="24"/>
      <c r="I166" s="24"/>
      <c r="J166" s="24"/>
      <c r="K166" s="24"/>
      <c r="L166" s="7"/>
      <c r="M166" s="7"/>
      <c r="N166" s="7"/>
      <c r="O166" s="7"/>
      <c r="P166" s="7"/>
      <c r="Q166" s="7"/>
      <c r="R166" s="7">
        <v>30</v>
      </c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11">
        <f t="shared" si="2"/>
        <v>30</v>
      </c>
      <c r="IZ166" s="25" t="s">
        <v>25</v>
      </c>
    </row>
    <row r="167" spans="1:260" s="2" customFormat="1" ht="12.75" customHeight="1" x14ac:dyDescent="0.2">
      <c r="A167" s="28">
        <v>43213</v>
      </c>
      <c r="B167" s="31" t="s">
        <v>215</v>
      </c>
      <c r="C167" s="23"/>
      <c r="D167" s="23"/>
      <c r="E167" s="24"/>
      <c r="F167" s="24"/>
      <c r="G167" s="24"/>
      <c r="H167" s="24"/>
      <c r="I167" s="24"/>
      <c r="J167" s="24"/>
      <c r="K167" s="24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>
        <v>10</v>
      </c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>
        <v>20</v>
      </c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>
        <v>40</v>
      </c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11">
        <f t="shared" si="2"/>
        <v>70</v>
      </c>
      <c r="IZ167" s="25" t="s">
        <v>25</v>
      </c>
    </row>
    <row r="168" spans="1:260" s="2" customFormat="1" ht="12.75" customHeight="1" x14ac:dyDescent="0.2">
      <c r="A168" s="28">
        <v>43213</v>
      </c>
      <c r="B168" s="32" t="s">
        <v>248</v>
      </c>
      <c r="C168" s="23"/>
      <c r="D168" s="23"/>
      <c r="E168" s="24"/>
      <c r="F168" s="24"/>
      <c r="G168" s="24"/>
      <c r="H168" s="24"/>
      <c r="I168" s="24"/>
      <c r="J168" s="24"/>
      <c r="K168" s="24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>
        <v>5.5</v>
      </c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>
        <v>14</v>
      </c>
      <c r="IJ168" s="7"/>
      <c r="IK168" s="7"/>
      <c r="IL168" s="7"/>
      <c r="IM168" s="7">
        <v>9</v>
      </c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11">
        <f t="shared" si="2"/>
        <v>28.5</v>
      </c>
      <c r="IZ168" s="25" t="s">
        <v>57</v>
      </c>
    </row>
    <row r="169" spans="1:260" s="2" customFormat="1" ht="12.75" customHeight="1" x14ac:dyDescent="0.2">
      <c r="A169" s="28">
        <v>43213</v>
      </c>
      <c r="B169" s="31" t="s">
        <v>78</v>
      </c>
      <c r="C169" s="23"/>
      <c r="D169" s="23"/>
      <c r="E169" s="24"/>
      <c r="F169" s="24"/>
      <c r="G169" s="24"/>
      <c r="H169" s="24"/>
      <c r="I169" s="24"/>
      <c r="J169" s="24"/>
      <c r="K169" s="24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>
        <v>1</v>
      </c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>
        <v>0.9</v>
      </c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11">
        <f t="shared" si="2"/>
        <v>1.9</v>
      </c>
      <c r="IZ169" s="25" t="s">
        <v>25</v>
      </c>
    </row>
    <row r="170" spans="1:260" s="2" customFormat="1" ht="12.75" customHeight="1" x14ac:dyDescent="0.2">
      <c r="A170" s="28">
        <v>43213</v>
      </c>
      <c r="B170" s="32" t="s">
        <v>69</v>
      </c>
      <c r="C170" s="23"/>
      <c r="D170" s="23"/>
      <c r="E170" s="24"/>
      <c r="F170" s="24"/>
      <c r="G170" s="24"/>
      <c r="H170" s="24"/>
      <c r="I170" s="24"/>
      <c r="J170" s="24"/>
      <c r="K170" s="24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>
        <v>20</v>
      </c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>
        <v>10</v>
      </c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>
        <v>5.5</v>
      </c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11">
        <f t="shared" si="2"/>
        <v>35.5</v>
      </c>
      <c r="IZ170" s="25" t="s">
        <v>25</v>
      </c>
    </row>
    <row r="171" spans="1:260" s="2" customFormat="1" ht="12.75" customHeight="1" x14ac:dyDescent="0.2">
      <c r="A171" s="28">
        <v>43214</v>
      </c>
      <c r="B171" s="32" t="s">
        <v>122</v>
      </c>
      <c r="C171" s="23"/>
      <c r="D171" s="23"/>
      <c r="E171" s="24"/>
      <c r="F171" s="24"/>
      <c r="G171" s="24"/>
      <c r="H171" s="24"/>
      <c r="I171" s="24"/>
      <c r="J171" s="24"/>
      <c r="K171" s="24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>
        <v>5</v>
      </c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11">
        <f t="shared" si="2"/>
        <v>5</v>
      </c>
      <c r="IZ171" s="25" t="s">
        <v>57</v>
      </c>
    </row>
    <row r="172" spans="1:260" s="2" customFormat="1" ht="12.75" customHeight="1" x14ac:dyDescent="0.2">
      <c r="A172" s="28">
        <v>43214</v>
      </c>
      <c r="B172" s="32" t="s">
        <v>136</v>
      </c>
      <c r="C172" s="23"/>
      <c r="D172" s="23"/>
      <c r="E172" s="24"/>
      <c r="F172" s="24"/>
      <c r="G172" s="24"/>
      <c r="H172" s="24"/>
      <c r="I172" s="24"/>
      <c r="J172" s="24"/>
      <c r="K172" s="24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>
        <v>39</v>
      </c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>
        <v>20</v>
      </c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11">
        <f t="shared" si="2"/>
        <v>59</v>
      </c>
      <c r="IZ172" s="25" t="s">
        <v>25</v>
      </c>
    </row>
    <row r="173" spans="1:260" s="2" customFormat="1" ht="12.75" customHeight="1" x14ac:dyDescent="0.2">
      <c r="A173" s="28">
        <v>43214</v>
      </c>
      <c r="B173" s="31" t="s">
        <v>243</v>
      </c>
      <c r="C173" s="23"/>
      <c r="D173" s="23"/>
      <c r="E173" s="24"/>
      <c r="F173" s="24"/>
      <c r="G173" s="24"/>
      <c r="H173" s="24"/>
      <c r="I173" s="24"/>
      <c r="J173" s="24"/>
      <c r="K173" s="24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>
        <v>10</v>
      </c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11">
        <f t="shared" si="2"/>
        <v>10</v>
      </c>
      <c r="IZ173" s="25" t="s">
        <v>25</v>
      </c>
    </row>
    <row r="174" spans="1:260" s="2" customFormat="1" ht="12.75" customHeight="1" x14ac:dyDescent="0.2">
      <c r="A174" s="28">
        <v>43214</v>
      </c>
      <c r="B174" s="31" t="s">
        <v>256</v>
      </c>
      <c r="C174" s="23"/>
      <c r="D174" s="23"/>
      <c r="E174" s="24"/>
      <c r="F174" s="24"/>
      <c r="G174" s="24"/>
      <c r="H174" s="24"/>
      <c r="I174" s="24"/>
      <c r="J174" s="24"/>
      <c r="K174" s="24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>
        <v>100</v>
      </c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11">
        <f t="shared" si="2"/>
        <v>100</v>
      </c>
      <c r="IZ174" s="25" t="s">
        <v>25</v>
      </c>
    </row>
    <row r="175" spans="1:260" s="2" customFormat="1" ht="12.75" customHeight="1" x14ac:dyDescent="0.2">
      <c r="A175" s="28">
        <v>43215</v>
      </c>
      <c r="B175" s="32" t="s">
        <v>62</v>
      </c>
      <c r="C175" s="23"/>
      <c r="D175" s="23"/>
      <c r="E175" s="24"/>
      <c r="F175" s="24"/>
      <c r="G175" s="24"/>
      <c r="H175" s="24"/>
      <c r="I175" s="24"/>
      <c r="J175" s="24"/>
      <c r="K175" s="24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>
        <v>1.8</v>
      </c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11">
        <f t="shared" si="2"/>
        <v>1.8</v>
      </c>
      <c r="IZ175" s="25" t="s">
        <v>25</v>
      </c>
    </row>
    <row r="176" spans="1:260" s="2" customFormat="1" ht="12.75" customHeight="1" x14ac:dyDescent="0.2">
      <c r="A176" s="28">
        <v>43215</v>
      </c>
      <c r="B176" s="33" t="s">
        <v>51</v>
      </c>
      <c r="C176" s="23"/>
      <c r="D176" s="23"/>
      <c r="E176" s="24"/>
      <c r="F176" s="24"/>
      <c r="G176" s="24"/>
      <c r="H176" s="24"/>
      <c r="I176" s="24"/>
      <c r="J176" s="24"/>
      <c r="K176" s="24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>
        <v>11</v>
      </c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11">
        <f t="shared" si="2"/>
        <v>11</v>
      </c>
      <c r="IZ176" s="25" t="s">
        <v>25</v>
      </c>
    </row>
    <row r="177" spans="1:260" s="2" customFormat="1" ht="12.75" customHeight="1" x14ac:dyDescent="0.2">
      <c r="A177" s="28">
        <v>43215</v>
      </c>
      <c r="B177" s="32" t="s">
        <v>278</v>
      </c>
      <c r="C177" s="23"/>
      <c r="D177" s="23"/>
      <c r="E177" s="24"/>
      <c r="F177" s="24"/>
      <c r="G177" s="24"/>
      <c r="H177" s="24"/>
      <c r="I177" s="24"/>
      <c r="J177" s="24"/>
      <c r="K177" s="24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>
        <v>25</v>
      </c>
      <c r="IV177" s="7"/>
      <c r="IW177" s="7"/>
      <c r="IX177" s="7"/>
      <c r="IY177" s="11">
        <f t="shared" si="2"/>
        <v>25</v>
      </c>
      <c r="IZ177" s="25" t="s">
        <v>83</v>
      </c>
    </row>
    <row r="178" spans="1:260" s="2" customFormat="1" ht="12.75" customHeight="1" x14ac:dyDescent="0.2">
      <c r="A178" s="28">
        <v>43215</v>
      </c>
      <c r="B178" s="31" t="s">
        <v>58</v>
      </c>
      <c r="C178" s="23"/>
      <c r="D178" s="23"/>
      <c r="E178" s="24"/>
      <c r="F178" s="24"/>
      <c r="G178" s="24"/>
      <c r="H178" s="24"/>
      <c r="I178" s="24"/>
      <c r="J178" s="24"/>
      <c r="K178" s="24"/>
      <c r="L178" s="7"/>
      <c r="M178" s="7"/>
      <c r="N178" s="7"/>
      <c r="O178" s="7"/>
      <c r="P178" s="7"/>
      <c r="Q178" s="7">
        <v>8</v>
      </c>
      <c r="R178" s="7"/>
      <c r="S178" s="7"/>
      <c r="T178" s="7"/>
      <c r="U178" s="7"/>
      <c r="V178" s="7"/>
      <c r="W178" s="7">
        <v>10</v>
      </c>
      <c r="X178" s="7"/>
      <c r="Y178" s="7"/>
      <c r="Z178" s="7"/>
      <c r="AA178" s="7"/>
      <c r="AB178" s="7"/>
      <c r="AC178" s="7"/>
      <c r="AD178" s="7"/>
      <c r="AE178" s="7"/>
      <c r="AF178" s="7"/>
      <c r="AG178" s="7">
        <v>10</v>
      </c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>
        <v>10</v>
      </c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11">
        <f t="shared" si="2"/>
        <v>38</v>
      </c>
      <c r="IZ178" s="25" t="s">
        <v>25</v>
      </c>
    </row>
    <row r="179" spans="1:260" s="2" customFormat="1" ht="12.75" customHeight="1" x14ac:dyDescent="0.2">
      <c r="A179" s="28">
        <v>43215</v>
      </c>
      <c r="B179" s="32" t="s">
        <v>77</v>
      </c>
      <c r="C179" s="23"/>
      <c r="D179" s="23"/>
      <c r="E179" s="24"/>
      <c r="F179" s="24"/>
      <c r="G179" s="24"/>
      <c r="H179" s="24"/>
      <c r="I179" s="24"/>
      <c r="J179" s="24"/>
      <c r="K179" s="24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>
        <v>2</v>
      </c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11">
        <f t="shared" si="2"/>
        <v>2</v>
      </c>
      <c r="IZ179" s="25" t="s">
        <v>25</v>
      </c>
    </row>
    <row r="180" spans="1:260" s="2" customFormat="1" ht="12.75" customHeight="1" x14ac:dyDescent="0.2">
      <c r="A180" s="28">
        <v>43215</v>
      </c>
      <c r="B180" s="33" t="s">
        <v>30</v>
      </c>
      <c r="C180" s="23"/>
      <c r="D180" s="23"/>
      <c r="E180" s="24"/>
      <c r="F180" s="24"/>
      <c r="G180" s="24"/>
      <c r="H180" s="24"/>
      <c r="I180" s="24"/>
      <c r="J180" s="24"/>
      <c r="K180" s="24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20</v>
      </c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11">
        <f t="shared" si="2"/>
        <v>20</v>
      </c>
      <c r="IZ180" s="25" t="s">
        <v>25</v>
      </c>
    </row>
    <row r="181" spans="1:260" s="2" customFormat="1" ht="12.75" customHeight="1" x14ac:dyDescent="0.2">
      <c r="A181" s="28">
        <v>43216</v>
      </c>
      <c r="B181" s="32" t="s">
        <v>250</v>
      </c>
      <c r="C181" s="23"/>
      <c r="D181" s="23"/>
      <c r="E181" s="24"/>
      <c r="F181" s="24"/>
      <c r="G181" s="24"/>
      <c r="H181" s="24"/>
      <c r="I181" s="24"/>
      <c r="J181" s="24"/>
      <c r="K181" s="24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>
        <v>40</v>
      </c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11">
        <f t="shared" si="2"/>
        <v>40</v>
      </c>
      <c r="IZ181" s="25" t="s">
        <v>25</v>
      </c>
    </row>
    <row r="182" spans="1:260" s="2" customFormat="1" ht="12.75" customHeight="1" x14ac:dyDescent="0.2">
      <c r="A182" s="28">
        <v>43216</v>
      </c>
      <c r="B182" s="32" t="s">
        <v>44</v>
      </c>
      <c r="C182" s="23"/>
      <c r="D182" s="23"/>
      <c r="E182" s="24"/>
      <c r="F182" s="24"/>
      <c r="G182" s="24"/>
      <c r="H182" s="24"/>
      <c r="I182" s="24"/>
      <c r="J182" s="24"/>
      <c r="K182" s="24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>
        <v>20</v>
      </c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11">
        <f t="shared" si="2"/>
        <v>20</v>
      </c>
      <c r="IZ182" s="25" t="s">
        <v>25</v>
      </c>
    </row>
    <row r="183" spans="1:260" s="2" customFormat="1" ht="12.75" customHeight="1" x14ac:dyDescent="0.2">
      <c r="A183" s="28">
        <v>43216</v>
      </c>
      <c r="B183" s="32" t="s">
        <v>136</v>
      </c>
      <c r="C183" s="23"/>
      <c r="D183" s="23"/>
      <c r="E183" s="24"/>
      <c r="F183" s="24"/>
      <c r="G183" s="24"/>
      <c r="H183" s="24"/>
      <c r="I183" s="24"/>
      <c r="J183" s="24"/>
      <c r="K183" s="24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>
        <v>2</v>
      </c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11">
        <f t="shared" si="2"/>
        <v>2</v>
      </c>
      <c r="IZ183" s="25" t="s">
        <v>25</v>
      </c>
    </row>
    <row r="184" spans="1:260" s="2" customFormat="1" ht="12.75" customHeight="1" x14ac:dyDescent="0.2">
      <c r="A184" s="28">
        <v>43216</v>
      </c>
      <c r="B184" s="32" t="s">
        <v>175</v>
      </c>
      <c r="C184" s="23"/>
      <c r="D184" s="23"/>
      <c r="E184" s="24"/>
      <c r="F184" s="24"/>
      <c r="G184" s="24"/>
      <c r="H184" s="24"/>
      <c r="I184" s="24"/>
      <c r="J184" s="24"/>
      <c r="K184" s="24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>
        <v>1</v>
      </c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11">
        <f t="shared" si="2"/>
        <v>1</v>
      </c>
      <c r="IZ184" s="25" t="s">
        <v>25</v>
      </c>
    </row>
    <row r="185" spans="1:260" s="2" customFormat="1" ht="12.75" customHeight="1" x14ac:dyDescent="0.2">
      <c r="A185" s="28">
        <v>43216</v>
      </c>
      <c r="B185" s="31" t="s">
        <v>277</v>
      </c>
      <c r="C185" s="23"/>
      <c r="D185" s="23"/>
      <c r="E185" s="24"/>
      <c r="F185" s="24"/>
      <c r="G185" s="24"/>
      <c r="H185" s="24"/>
      <c r="I185" s="24"/>
      <c r="J185" s="24"/>
      <c r="K185" s="24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>
        <v>11</v>
      </c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11">
        <f t="shared" si="2"/>
        <v>11</v>
      </c>
      <c r="IZ185" s="25" t="s">
        <v>25</v>
      </c>
    </row>
    <row r="186" spans="1:260" s="2" customFormat="1" ht="12.75" customHeight="1" x14ac:dyDescent="0.2">
      <c r="A186" s="28">
        <v>43216</v>
      </c>
      <c r="B186" s="32" t="s">
        <v>265</v>
      </c>
      <c r="C186" s="23"/>
      <c r="D186" s="23"/>
      <c r="E186" s="24"/>
      <c r="F186" s="24"/>
      <c r="G186" s="24"/>
      <c r="H186" s="24"/>
      <c r="I186" s="24"/>
      <c r="J186" s="24"/>
      <c r="K186" s="24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>
        <v>0.8</v>
      </c>
      <c r="FQ186" s="7"/>
      <c r="FR186" s="7"/>
      <c r="FS186" s="7"/>
      <c r="FT186" s="7"/>
      <c r="FU186" s="7"/>
      <c r="FV186" s="7">
        <v>5.5</v>
      </c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>
        <v>2</v>
      </c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11">
        <f t="shared" si="2"/>
        <v>8.3000000000000007</v>
      </c>
      <c r="IZ186" s="25" t="s">
        <v>25</v>
      </c>
    </row>
    <row r="187" spans="1:260" s="2" customFormat="1" ht="12.75" customHeight="1" x14ac:dyDescent="0.2">
      <c r="A187" s="28">
        <v>43216</v>
      </c>
      <c r="B187" s="32" t="s">
        <v>268</v>
      </c>
      <c r="C187" s="23"/>
      <c r="D187" s="23"/>
      <c r="E187" s="24"/>
      <c r="F187" s="24"/>
      <c r="G187" s="24"/>
      <c r="H187" s="24"/>
      <c r="I187" s="24"/>
      <c r="J187" s="24"/>
      <c r="K187" s="24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>
        <v>25</v>
      </c>
      <c r="IS187" s="7"/>
      <c r="IT187" s="7"/>
      <c r="IU187" s="7"/>
      <c r="IV187" s="7"/>
      <c r="IW187" s="7"/>
      <c r="IX187" s="7"/>
      <c r="IY187" s="11">
        <f t="shared" si="2"/>
        <v>25</v>
      </c>
      <c r="IZ187" s="25" t="s">
        <v>83</v>
      </c>
    </row>
    <row r="188" spans="1:260" s="2" customFormat="1" ht="12.75" customHeight="1" x14ac:dyDescent="0.2">
      <c r="A188" s="28">
        <v>43217</v>
      </c>
      <c r="B188" s="32" t="s">
        <v>64</v>
      </c>
      <c r="C188" s="23"/>
      <c r="D188" s="23"/>
      <c r="E188" s="24"/>
      <c r="F188" s="24"/>
      <c r="G188" s="24"/>
      <c r="H188" s="24"/>
      <c r="I188" s="24"/>
      <c r="J188" s="24"/>
      <c r="K188" s="24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>
        <v>50</v>
      </c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11">
        <f t="shared" si="2"/>
        <v>50</v>
      </c>
      <c r="IZ188" s="25" t="s">
        <v>25</v>
      </c>
    </row>
    <row r="189" spans="1:260" s="2" customFormat="1" ht="12.75" customHeight="1" x14ac:dyDescent="0.2">
      <c r="A189" s="28">
        <v>43217</v>
      </c>
      <c r="B189" s="32" t="s">
        <v>167</v>
      </c>
      <c r="C189" s="23"/>
      <c r="D189" s="23"/>
      <c r="E189" s="24"/>
      <c r="F189" s="24"/>
      <c r="G189" s="24"/>
      <c r="H189" s="24"/>
      <c r="I189" s="24"/>
      <c r="J189" s="24"/>
      <c r="K189" s="24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>
        <v>20</v>
      </c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>
        <v>30</v>
      </c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11">
        <f t="shared" si="2"/>
        <v>50</v>
      </c>
      <c r="IZ189" s="25" t="s">
        <v>25</v>
      </c>
    </row>
    <row r="190" spans="1:260" s="2" customFormat="1" ht="12.75" customHeight="1" x14ac:dyDescent="0.2">
      <c r="A190" s="28">
        <v>43217</v>
      </c>
      <c r="B190" s="33" t="s">
        <v>48</v>
      </c>
      <c r="C190" s="23"/>
      <c r="D190" s="23"/>
      <c r="E190" s="24"/>
      <c r="F190" s="24"/>
      <c r="G190" s="24"/>
      <c r="H190" s="24"/>
      <c r="I190" s="24"/>
      <c r="J190" s="24"/>
      <c r="K190" s="24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>
        <v>25</v>
      </c>
      <c r="IW190" s="7"/>
      <c r="IX190" s="7"/>
      <c r="IY190" s="11">
        <f t="shared" si="2"/>
        <v>25</v>
      </c>
      <c r="IZ190" s="25" t="s">
        <v>198</v>
      </c>
    </row>
    <row r="191" spans="1:260" s="2" customFormat="1" ht="12.75" customHeight="1" x14ac:dyDescent="0.2">
      <c r="A191" s="28">
        <v>43218</v>
      </c>
      <c r="B191" s="32" t="s">
        <v>208</v>
      </c>
      <c r="C191" s="23"/>
      <c r="D191" s="23"/>
      <c r="E191" s="24"/>
      <c r="F191" s="24"/>
      <c r="G191" s="24"/>
      <c r="H191" s="24"/>
      <c r="I191" s="24"/>
      <c r="J191" s="24"/>
      <c r="K191" s="24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>
        <v>9.6</v>
      </c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>
        <v>11</v>
      </c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>
        <v>2.4</v>
      </c>
      <c r="IQ191" s="7"/>
      <c r="IR191" s="7"/>
      <c r="IS191" s="7"/>
      <c r="IT191" s="7"/>
      <c r="IU191" s="7"/>
      <c r="IV191" s="7"/>
      <c r="IW191" s="7"/>
      <c r="IX191" s="7"/>
      <c r="IY191" s="11">
        <f t="shared" si="2"/>
        <v>23</v>
      </c>
      <c r="IZ191" s="25" t="s">
        <v>25</v>
      </c>
    </row>
    <row r="192" spans="1:260" s="2" customFormat="1" ht="12.75" customHeight="1" x14ac:dyDescent="0.2">
      <c r="A192" s="28">
        <v>43223</v>
      </c>
      <c r="B192" s="32" t="s">
        <v>246</v>
      </c>
      <c r="C192" s="23"/>
      <c r="D192" s="23"/>
      <c r="E192" s="24"/>
      <c r="F192" s="24"/>
      <c r="G192" s="24"/>
      <c r="H192" s="24"/>
      <c r="I192" s="24"/>
      <c r="J192" s="24"/>
      <c r="K192" s="24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>
        <v>60</v>
      </c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11">
        <f t="shared" si="2"/>
        <v>60</v>
      </c>
      <c r="IZ192" s="25" t="s">
        <v>25</v>
      </c>
    </row>
    <row r="193" spans="1:260" s="2" customFormat="1" ht="12.75" customHeight="1" x14ac:dyDescent="0.2">
      <c r="A193" s="28">
        <v>43222</v>
      </c>
      <c r="B193" s="31" t="s">
        <v>216</v>
      </c>
      <c r="C193" s="23"/>
      <c r="D193" s="23"/>
      <c r="E193" s="24"/>
      <c r="F193" s="24"/>
      <c r="G193" s="24"/>
      <c r="H193" s="24"/>
      <c r="I193" s="24"/>
      <c r="J193" s="24"/>
      <c r="K193" s="24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>
        <v>200</v>
      </c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11">
        <f t="shared" ref="IY193:IY256" si="3">SUBTOTAL(9,C193:IX193)</f>
        <v>200</v>
      </c>
      <c r="IZ193" s="25" t="s">
        <v>25</v>
      </c>
    </row>
    <row r="194" spans="1:260" s="2" customFormat="1" ht="12.75" customHeight="1" x14ac:dyDescent="0.2">
      <c r="A194" s="28">
        <v>43223</v>
      </c>
      <c r="B194" s="32" t="s">
        <v>153</v>
      </c>
      <c r="C194" s="23"/>
      <c r="D194" s="23"/>
      <c r="E194" s="24"/>
      <c r="F194" s="24"/>
      <c r="G194" s="24"/>
      <c r="H194" s="24"/>
      <c r="I194" s="24"/>
      <c r="J194" s="24"/>
      <c r="K194" s="24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>
        <v>1.8</v>
      </c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>
        <v>6</v>
      </c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>
        <v>3</v>
      </c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>
        <v>11</v>
      </c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11">
        <f t="shared" si="3"/>
        <v>21.8</v>
      </c>
      <c r="IZ194" s="25" t="s">
        <v>25</v>
      </c>
    </row>
    <row r="195" spans="1:260" s="2" customFormat="1" ht="12.75" customHeight="1" x14ac:dyDescent="0.2">
      <c r="A195" s="28">
        <v>43224</v>
      </c>
      <c r="B195" s="31" t="s">
        <v>173</v>
      </c>
      <c r="C195" s="23"/>
      <c r="D195" s="23"/>
      <c r="E195" s="24"/>
      <c r="F195" s="24"/>
      <c r="G195" s="24"/>
      <c r="H195" s="24"/>
      <c r="I195" s="24"/>
      <c r="J195" s="24"/>
      <c r="K195" s="24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>
        <v>30</v>
      </c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11">
        <f t="shared" si="3"/>
        <v>30</v>
      </c>
      <c r="IZ195" s="25" t="s">
        <v>25</v>
      </c>
    </row>
    <row r="196" spans="1:260" s="2" customFormat="1" ht="12.75" customHeight="1" x14ac:dyDescent="0.2">
      <c r="A196" s="28">
        <v>43224</v>
      </c>
      <c r="B196" s="31" t="s">
        <v>163</v>
      </c>
      <c r="C196" s="23"/>
      <c r="D196" s="23"/>
      <c r="E196" s="24"/>
      <c r="F196" s="24"/>
      <c r="G196" s="24"/>
      <c r="H196" s="24"/>
      <c r="I196" s="24"/>
      <c r="J196" s="24"/>
      <c r="K196" s="24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>
        <v>70</v>
      </c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11">
        <f t="shared" si="3"/>
        <v>70</v>
      </c>
      <c r="IZ196" s="25" t="s">
        <v>25</v>
      </c>
    </row>
    <row r="197" spans="1:260" s="2" customFormat="1" ht="12.75" customHeight="1" x14ac:dyDescent="0.2">
      <c r="A197" s="28">
        <v>43224</v>
      </c>
      <c r="B197" s="33" t="s">
        <v>22</v>
      </c>
      <c r="C197" s="23"/>
      <c r="D197" s="23"/>
      <c r="E197" s="24"/>
      <c r="F197" s="24"/>
      <c r="G197" s="24"/>
      <c r="H197" s="24"/>
      <c r="I197" s="24"/>
      <c r="J197" s="24"/>
      <c r="K197" s="24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170</v>
      </c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>
        <v>60</v>
      </c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11">
        <f t="shared" si="3"/>
        <v>230</v>
      </c>
      <c r="IZ197" s="25" t="s">
        <v>25</v>
      </c>
    </row>
    <row r="198" spans="1:260" s="2" customFormat="1" ht="12.75" customHeight="1" x14ac:dyDescent="0.2">
      <c r="A198" s="28">
        <v>43227</v>
      </c>
      <c r="B198" s="31" t="s">
        <v>181</v>
      </c>
      <c r="C198" s="23"/>
      <c r="D198" s="23"/>
      <c r="E198" s="24"/>
      <c r="F198" s="24"/>
      <c r="G198" s="24"/>
      <c r="H198" s="24"/>
      <c r="I198" s="24"/>
      <c r="J198" s="24"/>
      <c r="K198" s="24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>
        <v>1</v>
      </c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11">
        <f t="shared" si="3"/>
        <v>1</v>
      </c>
      <c r="IZ198" s="25" t="s">
        <v>57</v>
      </c>
    </row>
    <row r="199" spans="1:260" s="2" customFormat="1" ht="12.75" customHeight="1" x14ac:dyDescent="0.2">
      <c r="A199" s="28">
        <v>43227</v>
      </c>
      <c r="B199" s="31" t="s">
        <v>78</v>
      </c>
      <c r="C199" s="23"/>
      <c r="D199" s="23"/>
      <c r="E199" s="24"/>
      <c r="F199" s="24"/>
      <c r="G199" s="24"/>
      <c r="H199" s="24"/>
      <c r="I199" s="24"/>
      <c r="J199" s="24"/>
      <c r="K199" s="24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>
        <v>1</v>
      </c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>
        <v>2.7</v>
      </c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11">
        <f t="shared" si="3"/>
        <v>3.7</v>
      </c>
      <c r="IZ199" s="25" t="s">
        <v>25</v>
      </c>
    </row>
    <row r="200" spans="1:260" s="2" customFormat="1" ht="12.75" customHeight="1" x14ac:dyDescent="0.2">
      <c r="A200" s="28">
        <v>43227</v>
      </c>
      <c r="B200" s="33" t="s">
        <v>29</v>
      </c>
      <c r="C200" s="23"/>
      <c r="D200" s="23"/>
      <c r="E200" s="24"/>
      <c r="F200" s="24"/>
      <c r="G200" s="24"/>
      <c r="H200" s="24"/>
      <c r="I200" s="24"/>
      <c r="J200" s="24"/>
      <c r="K200" s="24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>
        <v>30</v>
      </c>
      <c r="DW200" s="7"/>
      <c r="DX200" s="7"/>
      <c r="DY200" s="7"/>
      <c r="DZ200" s="7">
        <v>20</v>
      </c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>
        <v>22</v>
      </c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>
        <v>30</v>
      </c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11">
        <f t="shared" si="3"/>
        <v>102</v>
      </c>
      <c r="IZ200" s="25" t="s">
        <v>25</v>
      </c>
    </row>
    <row r="201" spans="1:260" s="2" customFormat="1" ht="12.75" customHeight="1" x14ac:dyDescent="0.2">
      <c r="A201" s="28">
        <v>43227</v>
      </c>
      <c r="B201" s="32" t="s">
        <v>64</v>
      </c>
      <c r="C201" s="23"/>
      <c r="D201" s="23"/>
      <c r="E201" s="24"/>
      <c r="F201" s="24"/>
      <c r="G201" s="24"/>
      <c r="H201" s="24"/>
      <c r="I201" s="24"/>
      <c r="J201" s="24"/>
      <c r="K201" s="24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>
        <v>2</v>
      </c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/>
      <c r="IX201" s="7"/>
      <c r="IY201" s="11">
        <f t="shared" si="3"/>
        <v>2</v>
      </c>
      <c r="IZ201" s="25" t="s">
        <v>25</v>
      </c>
    </row>
    <row r="202" spans="1:260" s="2" customFormat="1" ht="12.75" customHeight="1" x14ac:dyDescent="0.2">
      <c r="A202" s="28">
        <v>43228</v>
      </c>
      <c r="B202" s="31" t="s">
        <v>43</v>
      </c>
      <c r="C202" s="23"/>
      <c r="D202" s="23"/>
      <c r="E202" s="24"/>
      <c r="F202" s="24"/>
      <c r="G202" s="24"/>
      <c r="H202" s="24"/>
      <c r="I202" s="24"/>
      <c r="J202" s="24"/>
      <c r="K202" s="24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>
        <v>45.9</v>
      </c>
      <c r="AW202" s="7"/>
      <c r="AX202" s="7"/>
      <c r="AY202" s="7"/>
      <c r="AZ202" s="7"/>
      <c r="BA202" s="7"/>
      <c r="BB202" s="7">
        <v>10</v>
      </c>
      <c r="BC202" s="7"/>
      <c r="BD202" s="7"/>
      <c r="BE202" s="7"/>
      <c r="BF202" s="7">
        <v>20</v>
      </c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>
        <v>10</v>
      </c>
      <c r="FU202" s="7"/>
      <c r="FV202" s="7"/>
      <c r="FW202" s="7"/>
      <c r="FX202" s="7"/>
      <c r="FY202" s="7">
        <v>10</v>
      </c>
      <c r="FZ202" s="7"/>
      <c r="GA202" s="7"/>
      <c r="GB202" s="7"/>
      <c r="GC202" s="7"/>
      <c r="GD202" s="7"/>
      <c r="GE202" s="7"/>
      <c r="GF202" s="7">
        <v>10</v>
      </c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>
        <v>20</v>
      </c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11">
        <f t="shared" si="3"/>
        <v>125.9</v>
      </c>
      <c r="IZ202" s="25" t="s">
        <v>25</v>
      </c>
    </row>
    <row r="203" spans="1:260" s="2" customFormat="1" ht="12.75" customHeight="1" x14ac:dyDescent="0.2">
      <c r="A203" s="28">
        <v>43228</v>
      </c>
      <c r="B203" s="32" t="s">
        <v>278</v>
      </c>
      <c r="C203" s="23"/>
      <c r="D203" s="23"/>
      <c r="E203" s="24"/>
      <c r="F203" s="24"/>
      <c r="G203" s="24"/>
      <c r="H203" s="24"/>
      <c r="I203" s="24"/>
      <c r="J203" s="24"/>
      <c r="K203" s="24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>
        <v>25</v>
      </c>
      <c r="IV203" s="7"/>
      <c r="IW203" s="7"/>
      <c r="IX203" s="7"/>
      <c r="IY203" s="11">
        <f t="shared" si="3"/>
        <v>25</v>
      </c>
      <c r="IZ203" s="25" t="s">
        <v>83</v>
      </c>
    </row>
    <row r="204" spans="1:260" s="2" customFormat="1" ht="12.75" customHeight="1" x14ac:dyDescent="0.2">
      <c r="A204" s="28">
        <v>43218</v>
      </c>
      <c r="B204" s="32" t="s">
        <v>248</v>
      </c>
      <c r="C204" s="23"/>
      <c r="D204" s="23"/>
      <c r="E204" s="24"/>
      <c r="F204" s="24"/>
      <c r="G204" s="24"/>
      <c r="H204" s="24"/>
      <c r="I204" s="24"/>
      <c r="J204" s="24"/>
      <c r="K204" s="24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>
        <v>4.5</v>
      </c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11">
        <f t="shared" si="3"/>
        <v>4.5</v>
      </c>
      <c r="IZ204" s="25" t="s">
        <v>57</v>
      </c>
    </row>
    <row r="205" spans="1:260" s="2" customFormat="1" ht="12.75" customHeight="1" x14ac:dyDescent="0.2">
      <c r="A205" s="28">
        <v>43228</v>
      </c>
      <c r="B205" s="32" t="s">
        <v>167</v>
      </c>
      <c r="C205" s="23"/>
      <c r="D205" s="23"/>
      <c r="E205" s="24"/>
      <c r="F205" s="24"/>
      <c r="G205" s="24"/>
      <c r="H205" s="24"/>
      <c r="I205" s="24"/>
      <c r="J205" s="24"/>
      <c r="K205" s="24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>
        <v>20</v>
      </c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11">
        <f t="shared" si="3"/>
        <v>20</v>
      </c>
      <c r="IZ205" s="25" t="s">
        <v>25</v>
      </c>
    </row>
    <row r="206" spans="1:260" s="2" customFormat="1" ht="12.75" customHeight="1" x14ac:dyDescent="0.2">
      <c r="A206" s="28">
        <v>43218</v>
      </c>
      <c r="B206" s="31" t="s">
        <v>256</v>
      </c>
      <c r="C206" s="23"/>
      <c r="D206" s="23"/>
      <c r="E206" s="24"/>
      <c r="F206" s="24"/>
      <c r="G206" s="24"/>
      <c r="H206" s="24"/>
      <c r="I206" s="24"/>
      <c r="J206" s="24"/>
      <c r="K206" s="24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>
        <v>60</v>
      </c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11">
        <f t="shared" si="3"/>
        <v>60</v>
      </c>
      <c r="IZ206" s="25" t="s">
        <v>25</v>
      </c>
    </row>
    <row r="207" spans="1:260" s="2" customFormat="1" ht="12.75" customHeight="1" x14ac:dyDescent="0.2">
      <c r="A207" s="28">
        <v>43228</v>
      </c>
      <c r="B207" s="33" t="s">
        <v>123</v>
      </c>
      <c r="C207" s="23"/>
      <c r="D207" s="23"/>
      <c r="E207" s="24"/>
      <c r="F207" s="24"/>
      <c r="G207" s="24"/>
      <c r="H207" s="24"/>
      <c r="I207" s="24"/>
      <c r="J207" s="24"/>
      <c r="K207" s="24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>
        <v>32</v>
      </c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11">
        <f t="shared" si="3"/>
        <v>32</v>
      </c>
      <c r="IZ207" s="25" t="s">
        <v>25</v>
      </c>
    </row>
    <row r="208" spans="1:260" s="2" customFormat="1" ht="12.75" customHeight="1" x14ac:dyDescent="0.2">
      <c r="A208" s="28">
        <v>43228</v>
      </c>
      <c r="B208" s="32" t="s">
        <v>171</v>
      </c>
      <c r="C208" s="23"/>
      <c r="D208" s="23"/>
      <c r="E208" s="24"/>
      <c r="F208" s="24"/>
      <c r="G208" s="24"/>
      <c r="H208" s="24"/>
      <c r="I208" s="24"/>
      <c r="J208" s="24"/>
      <c r="K208" s="24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3</v>
      </c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11">
        <f t="shared" si="3"/>
        <v>3</v>
      </c>
      <c r="IZ208" s="25" t="s">
        <v>25</v>
      </c>
    </row>
    <row r="209" spans="1:260" s="2" customFormat="1" ht="12.75" customHeight="1" x14ac:dyDescent="0.2">
      <c r="A209" s="28">
        <v>43231</v>
      </c>
      <c r="B209" s="31" t="s">
        <v>277</v>
      </c>
      <c r="C209" s="23"/>
      <c r="D209" s="23"/>
      <c r="E209" s="24"/>
      <c r="F209" s="24"/>
      <c r="G209" s="24"/>
      <c r="H209" s="24"/>
      <c r="I209" s="24"/>
      <c r="J209" s="24"/>
      <c r="K209" s="24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>
        <v>9</v>
      </c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11">
        <f t="shared" si="3"/>
        <v>9</v>
      </c>
      <c r="IZ209" s="25" t="s">
        <v>25</v>
      </c>
    </row>
    <row r="210" spans="1:260" s="2" customFormat="1" ht="12.75" customHeight="1" x14ac:dyDescent="0.2">
      <c r="A210" s="28">
        <v>43231</v>
      </c>
      <c r="B210" s="31" t="s">
        <v>211</v>
      </c>
      <c r="C210" s="23"/>
      <c r="D210" s="23"/>
      <c r="E210" s="24"/>
      <c r="F210" s="24"/>
      <c r="G210" s="24"/>
      <c r="H210" s="24"/>
      <c r="I210" s="24">
        <v>20</v>
      </c>
      <c r="J210" s="24"/>
      <c r="K210" s="24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11">
        <f t="shared" si="3"/>
        <v>20</v>
      </c>
      <c r="IZ210" s="25" t="s">
        <v>25</v>
      </c>
    </row>
    <row r="211" spans="1:260" s="2" customFormat="1" ht="12.75" customHeight="1" x14ac:dyDescent="0.2">
      <c r="A211" s="28">
        <v>43231</v>
      </c>
      <c r="B211" s="32" t="s">
        <v>136</v>
      </c>
      <c r="C211" s="23"/>
      <c r="D211" s="23"/>
      <c r="E211" s="24"/>
      <c r="F211" s="24"/>
      <c r="G211" s="24"/>
      <c r="H211" s="24"/>
      <c r="I211" s="24"/>
      <c r="J211" s="24"/>
      <c r="K211" s="24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>
        <v>20</v>
      </c>
      <c r="Y211" s="7"/>
      <c r="Z211" s="7">
        <v>10</v>
      </c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>
        <v>2</v>
      </c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>
        <v>40</v>
      </c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11">
        <f t="shared" si="3"/>
        <v>72</v>
      </c>
      <c r="IZ211" s="25" t="s">
        <v>25</v>
      </c>
    </row>
    <row r="212" spans="1:260" s="2" customFormat="1" ht="12.75" customHeight="1" x14ac:dyDescent="0.2">
      <c r="A212" s="28">
        <v>43231</v>
      </c>
      <c r="B212" s="32" t="s">
        <v>248</v>
      </c>
      <c r="C212" s="23"/>
      <c r="D212" s="23"/>
      <c r="E212" s="24"/>
      <c r="F212" s="24"/>
      <c r="G212" s="24"/>
      <c r="H212" s="24"/>
      <c r="I212" s="24"/>
      <c r="J212" s="24"/>
      <c r="K212" s="24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>
        <v>6</v>
      </c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>
        <v>13.5</v>
      </c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11">
        <f t="shared" si="3"/>
        <v>19.5</v>
      </c>
      <c r="IZ212" s="25" t="s">
        <v>57</v>
      </c>
    </row>
    <row r="213" spans="1:260" s="2" customFormat="1" ht="12.75" customHeight="1" x14ac:dyDescent="0.2">
      <c r="A213" s="28">
        <v>43227</v>
      </c>
      <c r="B213" s="32" t="s">
        <v>77</v>
      </c>
      <c r="C213" s="23"/>
      <c r="D213" s="23"/>
      <c r="E213" s="24"/>
      <c r="F213" s="24"/>
      <c r="G213" s="24"/>
      <c r="H213" s="24"/>
      <c r="I213" s="24"/>
      <c r="J213" s="24"/>
      <c r="K213" s="24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>
        <v>3</v>
      </c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>
        <v>0.8</v>
      </c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11">
        <f t="shared" si="3"/>
        <v>3.8</v>
      </c>
      <c r="IZ213" s="25" t="s">
        <v>25</v>
      </c>
    </row>
    <row r="214" spans="1:260" s="2" customFormat="1" ht="12.75" customHeight="1" x14ac:dyDescent="0.2">
      <c r="A214" s="28">
        <v>43234</v>
      </c>
      <c r="B214" s="33" t="s">
        <v>22</v>
      </c>
      <c r="C214" s="23"/>
      <c r="D214" s="23"/>
      <c r="E214" s="24"/>
      <c r="F214" s="24"/>
      <c r="G214" s="24"/>
      <c r="H214" s="24"/>
      <c r="I214" s="24"/>
      <c r="J214" s="24"/>
      <c r="K214" s="24">
        <v>120</v>
      </c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>
        <v>25</v>
      </c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>
        <v>100</v>
      </c>
      <c r="IU214" s="7"/>
      <c r="IV214" s="7"/>
      <c r="IW214" s="7"/>
      <c r="IX214" s="7"/>
      <c r="IY214" s="11">
        <f t="shared" si="3"/>
        <v>245</v>
      </c>
      <c r="IZ214" s="25" t="s">
        <v>25</v>
      </c>
    </row>
    <row r="215" spans="1:260" s="2" customFormat="1" ht="12.75" customHeight="1" x14ac:dyDescent="0.2">
      <c r="A215" s="28">
        <v>43234</v>
      </c>
      <c r="B215" s="31" t="s">
        <v>173</v>
      </c>
      <c r="C215" s="23"/>
      <c r="D215" s="23"/>
      <c r="E215" s="24"/>
      <c r="F215" s="24"/>
      <c r="G215" s="24"/>
      <c r="H215" s="24"/>
      <c r="I215" s="24"/>
      <c r="J215" s="24"/>
      <c r="K215" s="24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>
        <v>10</v>
      </c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11">
        <f t="shared" si="3"/>
        <v>10</v>
      </c>
      <c r="IZ215" s="25" t="s">
        <v>25</v>
      </c>
    </row>
    <row r="216" spans="1:260" s="2" customFormat="1" ht="12.75" customHeight="1" x14ac:dyDescent="0.2">
      <c r="A216" s="28">
        <v>43234</v>
      </c>
      <c r="B216" s="33" t="s">
        <v>30</v>
      </c>
      <c r="C216" s="23"/>
      <c r="D216" s="23"/>
      <c r="E216" s="24"/>
      <c r="F216" s="24"/>
      <c r="G216" s="24"/>
      <c r="H216" s="24"/>
      <c r="I216" s="24"/>
      <c r="J216" s="24"/>
      <c r="K216" s="24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20</v>
      </c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>
        <v>50</v>
      </c>
      <c r="IW216" s="7"/>
      <c r="IX216" s="7"/>
      <c r="IY216" s="11">
        <f t="shared" si="3"/>
        <v>70</v>
      </c>
      <c r="IZ216" s="25" t="s">
        <v>198</v>
      </c>
    </row>
    <row r="217" spans="1:260" s="2" customFormat="1" ht="12.75" customHeight="1" x14ac:dyDescent="0.2">
      <c r="A217" s="28">
        <v>43234</v>
      </c>
      <c r="B217" s="31" t="s">
        <v>340</v>
      </c>
      <c r="C217" s="23"/>
      <c r="D217" s="23"/>
      <c r="E217" s="24"/>
      <c r="F217" s="24"/>
      <c r="G217" s="24"/>
      <c r="H217" s="24"/>
      <c r="I217" s="24"/>
      <c r="J217" s="24"/>
      <c r="K217" s="24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>
        <v>10</v>
      </c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11">
        <f t="shared" si="3"/>
        <v>10</v>
      </c>
      <c r="IZ217" s="25" t="s">
        <v>25</v>
      </c>
    </row>
    <row r="218" spans="1:260" s="2" customFormat="1" ht="12.75" customHeight="1" x14ac:dyDescent="0.2">
      <c r="A218" s="28">
        <v>43234</v>
      </c>
      <c r="B218" s="32" t="s">
        <v>44</v>
      </c>
      <c r="C218" s="23"/>
      <c r="D218" s="23"/>
      <c r="E218" s="24"/>
      <c r="F218" s="24"/>
      <c r="G218" s="24"/>
      <c r="H218" s="24"/>
      <c r="I218" s="24"/>
      <c r="J218" s="24"/>
      <c r="K218" s="24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>
        <v>2</v>
      </c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>
        <v>2</v>
      </c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>
        <v>1</v>
      </c>
      <c r="IP218" s="7"/>
      <c r="IQ218" s="7"/>
      <c r="IR218" s="7"/>
      <c r="IS218" s="7"/>
      <c r="IT218" s="7"/>
      <c r="IU218" s="7"/>
      <c r="IV218" s="7"/>
      <c r="IW218" s="7"/>
      <c r="IX218" s="7"/>
      <c r="IY218" s="11">
        <f t="shared" si="3"/>
        <v>5</v>
      </c>
      <c r="IZ218" s="25" t="s">
        <v>25</v>
      </c>
    </row>
    <row r="219" spans="1:260" s="2" customFormat="1" ht="12.75" customHeight="1" x14ac:dyDescent="0.2">
      <c r="A219" s="28">
        <v>43235</v>
      </c>
      <c r="B219" s="31" t="s">
        <v>65</v>
      </c>
      <c r="C219" s="23"/>
      <c r="D219" s="23"/>
      <c r="E219" s="24"/>
      <c r="F219" s="24"/>
      <c r="G219" s="24"/>
      <c r="H219" s="24"/>
      <c r="I219" s="24"/>
      <c r="J219" s="24"/>
      <c r="K219" s="24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100</v>
      </c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>
        <v>100</v>
      </c>
      <c r="IW219" s="7"/>
      <c r="IX219" s="7"/>
      <c r="IY219" s="11">
        <f t="shared" si="3"/>
        <v>200</v>
      </c>
      <c r="IZ219" s="25" t="s">
        <v>198</v>
      </c>
    </row>
    <row r="220" spans="1:260" s="2" customFormat="1" ht="12.75" customHeight="1" x14ac:dyDescent="0.2">
      <c r="A220" s="28">
        <v>43235</v>
      </c>
      <c r="B220" s="32" t="s">
        <v>190</v>
      </c>
      <c r="C220" s="23"/>
      <c r="D220" s="23"/>
      <c r="E220" s="24"/>
      <c r="F220" s="24"/>
      <c r="G220" s="24"/>
      <c r="H220" s="24"/>
      <c r="I220" s="24"/>
      <c r="J220" s="24"/>
      <c r="K220" s="24"/>
      <c r="L220" s="7"/>
      <c r="M220" s="7"/>
      <c r="N220" s="7"/>
      <c r="O220" s="7"/>
      <c r="P220" s="7"/>
      <c r="Q220" s="7"/>
      <c r="R220" s="7">
        <v>40</v>
      </c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11">
        <f t="shared" si="3"/>
        <v>40</v>
      </c>
      <c r="IZ220" s="25" t="s">
        <v>25</v>
      </c>
    </row>
    <row r="221" spans="1:260" s="2" customFormat="1" ht="12.75" customHeight="1" x14ac:dyDescent="0.2">
      <c r="A221" s="28">
        <v>43236</v>
      </c>
      <c r="B221" s="31" t="s">
        <v>279</v>
      </c>
      <c r="C221" s="23"/>
      <c r="D221" s="23"/>
      <c r="E221" s="24"/>
      <c r="F221" s="24"/>
      <c r="G221" s="24"/>
      <c r="H221" s="24"/>
      <c r="I221" s="24"/>
      <c r="J221" s="24"/>
      <c r="K221" s="24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>
        <v>1</v>
      </c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>
        <v>2</v>
      </c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11">
        <f t="shared" si="3"/>
        <v>3</v>
      </c>
      <c r="IZ221" s="25" t="s">
        <v>57</v>
      </c>
    </row>
    <row r="222" spans="1:260" s="2" customFormat="1" ht="12.75" customHeight="1" x14ac:dyDescent="0.2">
      <c r="A222" s="28">
        <v>43236</v>
      </c>
      <c r="B222" s="33" t="s">
        <v>29</v>
      </c>
      <c r="C222" s="23"/>
      <c r="D222" s="23"/>
      <c r="E222" s="24"/>
      <c r="F222" s="24"/>
      <c r="G222" s="24"/>
      <c r="H222" s="24"/>
      <c r="I222" s="24"/>
      <c r="J222" s="24"/>
      <c r="K222" s="24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>
        <v>20</v>
      </c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>
        <v>40</v>
      </c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11">
        <f t="shared" si="3"/>
        <v>60</v>
      </c>
      <c r="IZ222" s="25" t="s">
        <v>25</v>
      </c>
    </row>
    <row r="223" spans="1:260" s="2" customFormat="1" ht="12.75" customHeight="1" x14ac:dyDescent="0.2">
      <c r="A223" s="28">
        <v>43236</v>
      </c>
      <c r="B223" s="32" t="s">
        <v>268</v>
      </c>
      <c r="C223" s="23"/>
      <c r="D223" s="23"/>
      <c r="E223" s="24"/>
      <c r="F223" s="24"/>
      <c r="G223" s="24"/>
      <c r="H223" s="24"/>
      <c r="I223" s="24"/>
      <c r="J223" s="24"/>
      <c r="K223" s="24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>
        <v>25</v>
      </c>
      <c r="IS223" s="7"/>
      <c r="IT223" s="7"/>
      <c r="IU223" s="7"/>
      <c r="IV223" s="7"/>
      <c r="IW223" s="7"/>
      <c r="IX223" s="7"/>
      <c r="IY223" s="11">
        <f t="shared" si="3"/>
        <v>25</v>
      </c>
      <c r="IZ223" s="25" t="s">
        <v>83</v>
      </c>
    </row>
    <row r="224" spans="1:260" s="2" customFormat="1" ht="12.75" customHeight="1" x14ac:dyDescent="0.2">
      <c r="A224" s="28">
        <v>43236</v>
      </c>
      <c r="B224" s="32" t="s">
        <v>286</v>
      </c>
      <c r="C224" s="23"/>
      <c r="D224" s="23">
        <v>10</v>
      </c>
      <c r="E224" s="24"/>
      <c r="F224" s="24"/>
      <c r="G224" s="24"/>
      <c r="H224" s="24"/>
      <c r="I224" s="24"/>
      <c r="J224" s="24"/>
      <c r="K224" s="24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11">
        <f t="shared" si="3"/>
        <v>10</v>
      </c>
      <c r="IZ224" s="40" t="s">
        <v>25</v>
      </c>
    </row>
    <row r="225" spans="1:260" s="2" customFormat="1" ht="12.75" customHeight="1" x14ac:dyDescent="0.2">
      <c r="A225" s="28">
        <v>43241</v>
      </c>
      <c r="B225" s="33" t="s">
        <v>123</v>
      </c>
      <c r="C225" s="23"/>
      <c r="D225" s="23"/>
      <c r="E225" s="24"/>
      <c r="F225" s="24"/>
      <c r="G225" s="24"/>
      <c r="H225" s="24"/>
      <c r="I225" s="24"/>
      <c r="J225" s="24"/>
      <c r="K225" s="24"/>
      <c r="L225" s="7"/>
      <c r="M225" s="7"/>
      <c r="N225" s="7"/>
      <c r="O225" s="7"/>
      <c r="P225" s="7"/>
      <c r="Q225" s="7"/>
      <c r="R225" s="7"/>
      <c r="S225" s="7">
        <v>36</v>
      </c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11">
        <f t="shared" si="3"/>
        <v>36</v>
      </c>
      <c r="IZ225" s="25" t="s">
        <v>25</v>
      </c>
    </row>
    <row r="226" spans="1:260" s="2" customFormat="1" ht="12.75" customHeight="1" x14ac:dyDescent="0.2">
      <c r="A226" s="28">
        <v>43241</v>
      </c>
      <c r="B226" s="32" t="s">
        <v>182</v>
      </c>
      <c r="C226" s="23"/>
      <c r="D226" s="23"/>
      <c r="E226" s="24"/>
      <c r="F226" s="24"/>
      <c r="G226" s="24"/>
      <c r="H226" s="24"/>
      <c r="I226" s="24"/>
      <c r="J226" s="24"/>
      <c r="K226" s="24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>
        <v>0.8</v>
      </c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11">
        <f t="shared" si="3"/>
        <v>0.8</v>
      </c>
      <c r="IZ226" s="25" t="s">
        <v>25</v>
      </c>
    </row>
    <row r="227" spans="1:260" s="2" customFormat="1" ht="12.75" customHeight="1" x14ac:dyDescent="0.2">
      <c r="A227" s="28">
        <v>43241</v>
      </c>
      <c r="B227" s="32" t="s">
        <v>153</v>
      </c>
      <c r="C227" s="23"/>
      <c r="D227" s="23"/>
      <c r="E227" s="24"/>
      <c r="F227" s="24"/>
      <c r="G227" s="24"/>
      <c r="H227" s="24"/>
      <c r="I227" s="24"/>
      <c r="J227" s="24"/>
      <c r="K227" s="24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>
        <v>6</v>
      </c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>
        <v>30</v>
      </c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>
        <v>1</v>
      </c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>
        <v>11</v>
      </c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>
        <v>25</v>
      </c>
      <c r="IW227" s="7"/>
      <c r="IX227" s="7"/>
      <c r="IY227" s="11">
        <f t="shared" si="3"/>
        <v>73</v>
      </c>
      <c r="IZ227" s="25" t="s">
        <v>25</v>
      </c>
    </row>
    <row r="228" spans="1:260" s="2" customFormat="1" ht="12.75" customHeight="1" x14ac:dyDescent="0.2">
      <c r="A228" s="28">
        <v>43242</v>
      </c>
      <c r="B228" s="33" t="s">
        <v>22</v>
      </c>
      <c r="C228" s="23"/>
      <c r="D228" s="23"/>
      <c r="E228" s="24"/>
      <c r="F228" s="24"/>
      <c r="G228" s="24"/>
      <c r="H228" s="24"/>
      <c r="I228" s="24"/>
      <c r="J228" s="24"/>
      <c r="K228" s="24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>
        <v>50</v>
      </c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120</v>
      </c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>
        <v>20</v>
      </c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11">
        <f t="shared" si="3"/>
        <v>190</v>
      </c>
      <c r="IZ228" s="25" t="s">
        <v>25</v>
      </c>
    </row>
    <row r="229" spans="1:260" s="2" customFormat="1" ht="12.75" customHeight="1" x14ac:dyDescent="0.2">
      <c r="A229" s="28">
        <v>43242</v>
      </c>
      <c r="B229" s="32" t="s">
        <v>175</v>
      </c>
      <c r="C229" s="23"/>
      <c r="D229" s="23"/>
      <c r="E229" s="24"/>
      <c r="F229" s="24">
        <v>1</v>
      </c>
      <c r="G229" s="24"/>
      <c r="H229" s="24"/>
      <c r="I229" s="24"/>
      <c r="J229" s="24"/>
      <c r="K229" s="24"/>
      <c r="L229" s="7"/>
      <c r="M229" s="7"/>
      <c r="N229" s="7">
        <v>1</v>
      </c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>
        <v>16</v>
      </c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11">
        <f t="shared" si="3"/>
        <v>18</v>
      </c>
      <c r="IZ229" s="25" t="s">
        <v>25</v>
      </c>
    </row>
    <row r="230" spans="1:260" s="2" customFormat="1" ht="12.75" customHeight="1" x14ac:dyDescent="0.2">
      <c r="A230" s="28">
        <v>43242</v>
      </c>
      <c r="B230" s="31" t="s">
        <v>43</v>
      </c>
      <c r="C230" s="23"/>
      <c r="D230" s="23"/>
      <c r="E230" s="24">
        <v>100</v>
      </c>
      <c r="F230" s="24"/>
      <c r="G230" s="24"/>
      <c r="H230" s="24"/>
      <c r="I230" s="24"/>
      <c r="J230" s="24"/>
      <c r="K230" s="24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>
        <v>63</v>
      </c>
      <c r="AW230" s="7"/>
      <c r="AX230" s="7"/>
      <c r="AY230" s="7"/>
      <c r="AZ230" s="7"/>
      <c r="BA230" s="7"/>
      <c r="BB230" s="7"/>
      <c r="BC230" s="7"/>
      <c r="BD230" s="7"/>
      <c r="BE230" s="7"/>
      <c r="BF230" s="7">
        <v>10</v>
      </c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>
        <v>10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>
        <v>30</v>
      </c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>
        <v>20</v>
      </c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11">
        <f t="shared" si="3"/>
        <v>233</v>
      </c>
      <c r="IZ230" s="25" t="s">
        <v>25</v>
      </c>
    </row>
    <row r="231" spans="1:260" s="2" customFormat="1" ht="12.75" customHeight="1" x14ac:dyDescent="0.2">
      <c r="A231" s="28">
        <v>43242</v>
      </c>
      <c r="B231" s="31" t="s">
        <v>269</v>
      </c>
      <c r="C231" s="23"/>
      <c r="D231" s="23"/>
      <c r="E231" s="24"/>
      <c r="F231" s="24"/>
      <c r="G231" s="24"/>
      <c r="H231" s="24"/>
      <c r="I231" s="24"/>
      <c r="J231" s="24"/>
      <c r="K231" s="24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>
        <v>10</v>
      </c>
      <c r="AK231" s="7"/>
      <c r="AL231" s="7"/>
      <c r="AM231" s="7">
        <v>10</v>
      </c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>
        <v>5</v>
      </c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11">
        <f t="shared" si="3"/>
        <v>25</v>
      </c>
      <c r="IZ231" s="25" t="s">
        <v>25</v>
      </c>
    </row>
    <row r="232" spans="1:260" s="2" customFormat="1" ht="12.75" customHeight="1" x14ac:dyDescent="0.2">
      <c r="A232" s="28">
        <v>43243</v>
      </c>
      <c r="B232" s="32" t="s">
        <v>143</v>
      </c>
      <c r="C232" s="23"/>
      <c r="D232" s="23"/>
      <c r="E232" s="24">
        <v>26</v>
      </c>
      <c r="F232" s="24"/>
      <c r="G232" s="24"/>
      <c r="H232" s="24"/>
      <c r="I232" s="24"/>
      <c r="J232" s="24"/>
      <c r="K232" s="24"/>
      <c r="L232" s="7"/>
      <c r="M232" s="7">
        <v>4.5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>
        <v>20</v>
      </c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11">
        <f t="shared" si="3"/>
        <v>50.5</v>
      </c>
      <c r="IZ232" s="25" t="s">
        <v>25</v>
      </c>
    </row>
    <row r="233" spans="1:260" s="2" customFormat="1" ht="12.75" customHeight="1" x14ac:dyDescent="0.2">
      <c r="A233" s="28">
        <v>43243</v>
      </c>
      <c r="B233" s="32" t="s">
        <v>265</v>
      </c>
      <c r="C233" s="23"/>
      <c r="D233" s="23"/>
      <c r="E233" s="24"/>
      <c r="F233" s="24"/>
      <c r="G233" s="24"/>
      <c r="H233" s="24"/>
      <c r="I233" s="24"/>
      <c r="J233" s="24"/>
      <c r="K233" s="24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>
        <v>2</v>
      </c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11">
        <f t="shared" si="3"/>
        <v>2</v>
      </c>
      <c r="IZ233" s="25" t="s">
        <v>57</v>
      </c>
    </row>
    <row r="234" spans="1:260" s="2" customFormat="1" ht="12.75" customHeight="1" x14ac:dyDescent="0.2">
      <c r="A234" s="28">
        <v>43243</v>
      </c>
      <c r="B234" s="33" t="s">
        <v>30</v>
      </c>
      <c r="C234" s="23"/>
      <c r="D234" s="23"/>
      <c r="E234" s="24"/>
      <c r="F234" s="24"/>
      <c r="G234" s="24"/>
      <c r="H234" s="24"/>
      <c r="I234" s="24"/>
      <c r="J234" s="24"/>
      <c r="K234" s="24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>
        <v>20</v>
      </c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>
        <v>12</v>
      </c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11">
        <f t="shared" si="3"/>
        <v>32</v>
      </c>
      <c r="IZ234" s="25" t="s">
        <v>25</v>
      </c>
    </row>
    <row r="235" spans="1:260" s="2" customFormat="1" ht="12.75" customHeight="1" x14ac:dyDescent="0.2">
      <c r="A235" s="28">
        <v>43243</v>
      </c>
      <c r="B235" s="32" t="s">
        <v>248</v>
      </c>
      <c r="C235" s="23"/>
      <c r="D235" s="23"/>
      <c r="E235" s="24"/>
      <c r="F235" s="24"/>
      <c r="G235" s="24"/>
      <c r="H235" s="24"/>
      <c r="I235" s="24"/>
      <c r="J235" s="24"/>
      <c r="K235" s="24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>
        <v>18</v>
      </c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11">
        <f t="shared" si="3"/>
        <v>18</v>
      </c>
      <c r="IZ235" s="25" t="s">
        <v>57</v>
      </c>
    </row>
    <row r="236" spans="1:260" s="2" customFormat="1" ht="12.75" customHeight="1" x14ac:dyDescent="0.2">
      <c r="A236" s="28">
        <v>43243</v>
      </c>
      <c r="B236" s="31" t="s">
        <v>58</v>
      </c>
      <c r="C236" s="23"/>
      <c r="D236" s="23"/>
      <c r="E236" s="24"/>
      <c r="F236" s="24"/>
      <c r="G236" s="24"/>
      <c r="H236" s="24"/>
      <c r="I236" s="24"/>
      <c r="J236" s="24"/>
      <c r="K236" s="24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>
        <v>1</v>
      </c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11">
        <f t="shared" si="3"/>
        <v>1</v>
      </c>
      <c r="IZ236" s="25" t="s">
        <v>57</v>
      </c>
    </row>
    <row r="237" spans="1:260" s="2" customFormat="1" ht="12.75" customHeight="1" x14ac:dyDescent="0.2">
      <c r="A237" s="28">
        <v>43244</v>
      </c>
      <c r="B237" s="32" t="s">
        <v>122</v>
      </c>
      <c r="C237" s="23"/>
      <c r="D237" s="23"/>
      <c r="E237" s="24"/>
      <c r="F237" s="24"/>
      <c r="G237" s="24"/>
      <c r="H237" s="24"/>
      <c r="I237" s="24"/>
      <c r="J237" s="24"/>
      <c r="K237" s="24"/>
      <c r="L237" s="7"/>
      <c r="M237" s="7"/>
      <c r="N237" s="7"/>
      <c r="O237" s="7"/>
      <c r="P237" s="7">
        <v>2.4</v>
      </c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>
        <v>2</v>
      </c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11">
        <f t="shared" si="3"/>
        <v>4.4000000000000004</v>
      </c>
      <c r="IZ237" s="25" t="s">
        <v>57</v>
      </c>
    </row>
    <row r="238" spans="1:260" s="2" customFormat="1" ht="12.75" customHeight="1" x14ac:dyDescent="0.2">
      <c r="A238" s="28">
        <v>43244</v>
      </c>
      <c r="B238" s="33" t="s">
        <v>29</v>
      </c>
      <c r="C238" s="23"/>
      <c r="D238" s="23"/>
      <c r="E238" s="24"/>
      <c r="F238" s="24"/>
      <c r="G238" s="24"/>
      <c r="H238" s="24"/>
      <c r="I238" s="24"/>
      <c r="J238" s="24"/>
      <c r="K238" s="24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>
        <v>40</v>
      </c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11">
        <f t="shared" si="3"/>
        <v>40</v>
      </c>
      <c r="IZ238" s="25" t="s">
        <v>25</v>
      </c>
    </row>
    <row r="239" spans="1:260" s="2" customFormat="1" ht="12.75" customHeight="1" x14ac:dyDescent="0.2">
      <c r="A239" s="28">
        <v>43244</v>
      </c>
      <c r="B239" s="31" t="s">
        <v>79</v>
      </c>
      <c r="C239" s="23"/>
      <c r="D239" s="23"/>
      <c r="E239" s="24"/>
      <c r="F239" s="24"/>
      <c r="G239" s="24"/>
      <c r="H239" s="24"/>
      <c r="I239" s="24"/>
      <c r="J239" s="24"/>
      <c r="K239" s="24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>
        <v>1</v>
      </c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>
        <v>1</v>
      </c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11">
        <f t="shared" si="3"/>
        <v>2</v>
      </c>
      <c r="IZ239" s="25" t="s">
        <v>25</v>
      </c>
    </row>
    <row r="240" spans="1:260" s="2" customFormat="1" ht="12.75" customHeight="1" x14ac:dyDescent="0.2">
      <c r="A240" s="28">
        <v>43244</v>
      </c>
      <c r="B240" s="31" t="s">
        <v>285</v>
      </c>
      <c r="C240" s="23"/>
      <c r="D240" s="23"/>
      <c r="E240" s="24"/>
      <c r="F240" s="24"/>
      <c r="G240" s="24"/>
      <c r="H240" s="24"/>
      <c r="I240" s="24"/>
      <c r="J240" s="24"/>
      <c r="K240" s="24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30</v>
      </c>
      <c r="CQ240" s="7">
        <v>10</v>
      </c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>
        <v>60</v>
      </c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>
        <v>40</v>
      </c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11">
        <f t="shared" si="3"/>
        <v>140</v>
      </c>
      <c r="IZ240" s="25" t="s">
        <v>25</v>
      </c>
    </row>
    <row r="241" spans="1:260" s="2" customFormat="1" ht="12.75" customHeight="1" x14ac:dyDescent="0.2">
      <c r="A241" s="28">
        <v>43245</v>
      </c>
      <c r="B241" s="31" t="s">
        <v>257</v>
      </c>
      <c r="C241" s="23"/>
      <c r="D241" s="23"/>
      <c r="E241" s="24">
        <v>1</v>
      </c>
      <c r="F241" s="24"/>
      <c r="G241" s="24"/>
      <c r="H241" s="24"/>
      <c r="I241" s="24"/>
      <c r="J241" s="24"/>
      <c r="K241" s="24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11">
        <f t="shared" si="3"/>
        <v>1</v>
      </c>
      <c r="IZ241" s="25" t="s">
        <v>25</v>
      </c>
    </row>
    <row r="242" spans="1:260" s="2" customFormat="1" ht="12.75" customHeight="1" x14ac:dyDescent="0.2">
      <c r="A242" s="28">
        <v>43245</v>
      </c>
      <c r="B242" s="31" t="s">
        <v>181</v>
      </c>
      <c r="C242" s="23"/>
      <c r="D242" s="23"/>
      <c r="E242" s="24"/>
      <c r="F242" s="24"/>
      <c r="G242" s="24"/>
      <c r="H242" s="24"/>
      <c r="I242" s="24"/>
      <c r="J242" s="24"/>
      <c r="K242" s="24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>
        <v>1</v>
      </c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11">
        <f t="shared" si="3"/>
        <v>1</v>
      </c>
      <c r="IZ242" s="25" t="s">
        <v>57</v>
      </c>
    </row>
    <row r="243" spans="1:260" s="2" customFormat="1" ht="12.75" customHeight="1" x14ac:dyDescent="0.2">
      <c r="A243" s="28">
        <v>43248</v>
      </c>
      <c r="B243" s="33" t="s">
        <v>22</v>
      </c>
      <c r="C243" s="23"/>
      <c r="D243" s="23"/>
      <c r="E243" s="24"/>
      <c r="F243" s="24"/>
      <c r="G243" s="24"/>
      <c r="H243" s="24"/>
      <c r="I243" s="24"/>
      <c r="J243" s="24"/>
      <c r="K243" s="24">
        <v>60</v>
      </c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>
        <v>50</v>
      </c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100</v>
      </c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>
        <v>20</v>
      </c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11">
        <f t="shared" si="3"/>
        <v>230</v>
      </c>
      <c r="IZ243" s="25" t="s">
        <v>25</v>
      </c>
    </row>
    <row r="244" spans="1:260" s="2" customFormat="1" ht="12.75" customHeight="1" x14ac:dyDescent="0.2">
      <c r="A244" s="28">
        <v>43248</v>
      </c>
      <c r="B244" s="32" t="s">
        <v>208</v>
      </c>
      <c r="C244" s="23"/>
      <c r="D244" s="23"/>
      <c r="E244" s="24"/>
      <c r="F244" s="24"/>
      <c r="G244" s="24"/>
      <c r="H244" s="24"/>
      <c r="I244" s="24"/>
      <c r="J244" s="24"/>
      <c r="K244" s="24"/>
      <c r="L244" s="7"/>
      <c r="M244" s="7"/>
      <c r="N244" s="7"/>
      <c r="O244" s="7"/>
      <c r="P244" s="7"/>
      <c r="Q244" s="7"/>
      <c r="R244" s="7">
        <v>10</v>
      </c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>
        <v>8</v>
      </c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>
        <v>4.5</v>
      </c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11">
        <f t="shared" si="3"/>
        <v>22.5</v>
      </c>
      <c r="IZ244" s="25" t="s">
        <v>25</v>
      </c>
    </row>
    <row r="245" spans="1:260" s="2" customFormat="1" ht="12.75" customHeight="1" x14ac:dyDescent="0.2">
      <c r="A245" s="28">
        <v>43248</v>
      </c>
      <c r="B245" s="32" t="s">
        <v>255</v>
      </c>
      <c r="C245" s="23"/>
      <c r="D245" s="23"/>
      <c r="E245" s="24"/>
      <c r="F245" s="24"/>
      <c r="G245" s="24"/>
      <c r="H245" s="24"/>
      <c r="I245" s="24"/>
      <c r="J245" s="24"/>
      <c r="K245" s="24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>
        <v>10</v>
      </c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11">
        <f t="shared" si="3"/>
        <v>10</v>
      </c>
      <c r="IZ245" s="25" t="s">
        <v>25</v>
      </c>
    </row>
    <row r="246" spans="1:260" s="2" customFormat="1" ht="12.75" customHeight="1" x14ac:dyDescent="0.2">
      <c r="A246" s="28">
        <v>43248</v>
      </c>
      <c r="B246" s="31" t="s">
        <v>43</v>
      </c>
      <c r="C246" s="23"/>
      <c r="D246" s="23"/>
      <c r="E246" s="24"/>
      <c r="F246" s="24"/>
      <c r="G246" s="24"/>
      <c r="H246" s="24"/>
      <c r="I246" s="24"/>
      <c r="J246" s="24"/>
      <c r="K246" s="24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>
        <v>18</v>
      </c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11">
        <f t="shared" si="3"/>
        <v>18</v>
      </c>
      <c r="IZ246" s="25" t="s">
        <v>25</v>
      </c>
    </row>
    <row r="247" spans="1:260" s="2" customFormat="1" ht="12.75" customHeight="1" x14ac:dyDescent="0.2">
      <c r="A247" s="28">
        <v>43248</v>
      </c>
      <c r="B247" s="31" t="s">
        <v>163</v>
      </c>
      <c r="C247" s="23"/>
      <c r="D247" s="23"/>
      <c r="E247" s="24"/>
      <c r="F247" s="24"/>
      <c r="G247" s="24"/>
      <c r="H247" s="24"/>
      <c r="I247" s="24"/>
      <c r="J247" s="24"/>
      <c r="K247" s="24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>
        <v>150</v>
      </c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/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11">
        <f t="shared" si="3"/>
        <v>150</v>
      </c>
      <c r="IZ247" s="25" t="s">
        <v>25</v>
      </c>
    </row>
    <row r="248" spans="1:260" s="2" customFormat="1" ht="12.75" customHeight="1" x14ac:dyDescent="0.2">
      <c r="A248" s="28">
        <v>43248</v>
      </c>
      <c r="B248" s="31" t="s">
        <v>273</v>
      </c>
      <c r="C248" s="23"/>
      <c r="D248" s="23"/>
      <c r="E248" s="24"/>
      <c r="F248" s="24"/>
      <c r="G248" s="24"/>
      <c r="H248" s="24"/>
      <c r="I248" s="24"/>
      <c r="J248" s="24"/>
      <c r="K248" s="24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/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>
        <v>5</v>
      </c>
      <c r="IR248" s="7"/>
      <c r="IS248" s="7"/>
      <c r="IT248" s="7"/>
      <c r="IU248" s="7"/>
      <c r="IV248" s="7"/>
      <c r="IW248" s="7"/>
      <c r="IX248" s="7"/>
      <c r="IY248" s="11">
        <f t="shared" si="3"/>
        <v>5</v>
      </c>
      <c r="IZ248" s="25" t="s">
        <v>57</v>
      </c>
    </row>
    <row r="249" spans="1:260" s="2" customFormat="1" ht="12.75" customHeight="1" x14ac:dyDescent="0.2">
      <c r="A249" s="28">
        <v>43248</v>
      </c>
      <c r="B249" s="31" t="s">
        <v>251</v>
      </c>
      <c r="C249" s="23"/>
      <c r="D249" s="23"/>
      <c r="E249" s="24"/>
      <c r="F249" s="24"/>
      <c r="G249" s="24"/>
      <c r="H249" s="24"/>
      <c r="I249" s="24"/>
      <c r="J249" s="24"/>
      <c r="K249" s="24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>
        <v>2</v>
      </c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/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11">
        <f t="shared" si="3"/>
        <v>2</v>
      </c>
      <c r="IZ249" s="25" t="s">
        <v>25</v>
      </c>
    </row>
    <row r="250" spans="1:260" s="2" customFormat="1" ht="12.75" customHeight="1" x14ac:dyDescent="0.2">
      <c r="A250" s="28">
        <v>43250</v>
      </c>
      <c r="B250" s="33" t="s">
        <v>51</v>
      </c>
      <c r="C250" s="23"/>
      <c r="D250" s="23"/>
      <c r="E250" s="24"/>
      <c r="F250" s="24"/>
      <c r="G250" s="24"/>
      <c r="H250" s="24"/>
      <c r="I250" s="24"/>
      <c r="J250" s="24"/>
      <c r="K250" s="24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>
        <v>50</v>
      </c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/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11">
        <f t="shared" si="3"/>
        <v>50</v>
      </c>
      <c r="IZ250" s="25" t="s">
        <v>25</v>
      </c>
    </row>
    <row r="251" spans="1:260" s="2" customFormat="1" ht="12.75" customHeight="1" x14ac:dyDescent="0.2">
      <c r="A251" s="28">
        <v>43251</v>
      </c>
      <c r="B251" s="27" t="s">
        <v>289</v>
      </c>
      <c r="C251" s="23"/>
      <c r="D251" s="23"/>
      <c r="E251" s="24"/>
      <c r="F251" s="24"/>
      <c r="G251" s="24"/>
      <c r="H251" s="24"/>
      <c r="I251" s="24"/>
      <c r="J251" s="24"/>
      <c r="K251" s="24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>
        <v>30</v>
      </c>
      <c r="EB251" s="7"/>
      <c r="EC251" s="7"/>
      <c r="ED251" s="7"/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11">
        <f t="shared" si="3"/>
        <v>30</v>
      </c>
      <c r="IZ251" s="25" t="s">
        <v>25</v>
      </c>
    </row>
    <row r="252" spans="1:260" s="2" customFormat="1" ht="12" customHeight="1" x14ac:dyDescent="0.2">
      <c r="A252" s="28">
        <v>43251</v>
      </c>
      <c r="B252" s="32" t="s">
        <v>64</v>
      </c>
      <c r="C252" s="23"/>
      <c r="D252" s="23">
        <v>50</v>
      </c>
      <c r="E252" s="24"/>
      <c r="F252" s="24"/>
      <c r="G252" s="24"/>
      <c r="H252" s="24"/>
      <c r="I252" s="24"/>
      <c r="J252" s="24"/>
      <c r="K252" s="24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>
        <v>50</v>
      </c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/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/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11">
        <f t="shared" si="3"/>
        <v>100</v>
      </c>
      <c r="IZ252" s="25" t="s">
        <v>25</v>
      </c>
    </row>
    <row r="253" spans="1:260" s="2" customFormat="1" ht="12.75" customHeight="1" x14ac:dyDescent="0.2">
      <c r="A253" s="28">
        <v>43251</v>
      </c>
      <c r="B253" s="31" t="s">
        <v>285</v>
      </c>
      <c r="C253" s="23"/>
      <c r="D253" s="23"/>
      <c r="E253" s="24"/>
      <c r="F253" s="24"/>
      <c r="G253" s="24"/>
      <c r="H253" s="24"/>
      <c r="I253" s="24"/>
      <c r="J253" s="24"/>
      <c r="K253" s="24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>
        <v>10</v>
      </c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11">
        <f t="shared" si="3"/>
        <v>10</v>
      </c>
      <c r="IZ253" s="25" t="s">
        <v>25</v>
      </c>
    </row>
    <row r="254" spans="1:260" s="2" customFormat="1" ht="12.75" customHeight="1" x14ac:dyDescent="0.2">
      <c r="A254" s="28">
        <v>43252</v>
      </c>
      <c r="B254" s="32" t="s">
        <v>136</v>
      </c>
      <c r="C254" s="23"/>
      <c r="D254" s="23"/>
      <c r="E254" s="24"/>
      <c r="F254" s="24"/>
      <c r="G254" s="24"/>
      <c r="H254" s="24"/>
      <c r="I254" s="24"/>
      <c r="J254" s="24"/>
      <c r="K254" s="24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>
        <v>20</v>
      </c>
      <c r="Y254" s="7"/>
      <c r="Z254" s="7">
        <v>20</v>
      </c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/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/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11">
        <f t="shared" si="3"/>
        <v>40</v>
      </c>
      <c r="IZ254" s="25" t="s">
        <v>25</v>
      </c>
    </row>
    <row r="255" spans="1:260" s="2" customFormat="1" ht="12.75" customHeight="1" x14ac:dyDescent="0.2">
      <c r="A255" s="28">
        <v>43252</v>
      </c>
      <c r="B255" s="32" t="s">
        <v>143</v>
      </c>
      <c r="C255" s="23"/>
      <c r="D255" s="23"/>
      <c r="E255" s="24">
        <v>10</v>
      </c>
      <c r="F255" s="24"/>
      <c r="G255" s="24"/>
      <c r="H255" s="24"/>
      <c r="I255" s="24"/>
      <c r="J255" s="24"/>
      <c r="K255" s="24"/>
      <c r="L255" s="7"/>
      <c r="M255" s="7">
        <v>45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>
        <v>1</v>
      </c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11">
        <f t="shared" si="3"/>
        <v>56</v>
      </c>
      <c r="IZ255" s="25" t="s">
        <v>25</v>
      </c>
    </row>
    <row r="256" spans="1:260" s="2" customFormat="1" ht="12.75" customHeight="1" x14ac:dyDescent="0.2">
      <c r="A256" s="28">
        <v>43255</v>
      </c>
      <c r="B256" s="31" t="s">
        <v>216</v>
      </c>
      <c r="C256" s="23"/>
      <c r="D256" s="23"/>
      <c r="E256" s="24"/>
      <c r="F256" s="24"/>
      <c r="G256" s="24"/>
      <c r="H256" s="24"/>
      <c r="I256" s="24"/>
      <c r="J256" s="24"/>
      <c r="K256" s="24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/>
      <c r="DW256" s="7"/>
      <c r="DX256" s="7"/>
      <c r="DY256" s="7"/>
      <c r="DZ256" s="7"/>
      <c r="EA256" s="7">
        <v>120</v>
      </c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/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11">
        <f t="shared" si="3"/>
        <v>120</v>
      </c>
      <c r="IZ256" s="25" t="s">
        <v>25</v>
      </c>
    </row>
    <row r="257" spans="1:260" s="2" customFormat="1" ht="12.75" customHeight="1" x14ac:dyDescent="0.2">
      <c r="A257" s="28">
        <v>43255</v>
      </c>
      <c r="B257" s="31" t="s">
        <v>251</v>
      </c>
      <c r="C257" s="23"/>
      <c r="D257" s="23"/>
      <c r="E257" s="24"/>
      <c r="F257" s="24"/>
      <c r="G257" s="24"/>
      <c r="H257" s="24"/>
      <c r="I257" s="24"/>
      <c r="J257" s="24"/>
      <c r="K257" s="24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>
        <v>1</v>
      </c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11">
        <f t="shared" ref="IY257:IY320" si="4">SUBTOTAL(9,C257:IX257)</f>
        <v>1</v>
      </c>
      <c r="IZ257" s="25" t="s">
        <v>25</v>
      </c>
    </row>
    <row r="258" spans="1:260" s="2" customFormat="1" ht="12.75" customHeight="1" x14ac:dyDescent="0.2">
      <c r="A258" s="28">
        <v>43256</v>
      </c>
      <c r="B258" s="33" t="s">
        <v>22</v>
      </c>
      <c r="C258" s="23"/>
      <c r="D258" s="23"/>
      <c r="E258" s="24"/>
      <c r="F258" s="24"/>
      <c r="G258" s="24"/>
      <c r="H258" s="24"/>
      <c r="I258" s="24"/>
      <c r="J258" s="24"/>
      <c r="K258" s="24">
        <v>60</v>
      </c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100</v>
      </c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/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>
        <v>30</v>
      </c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>
        <v>100</v>
      </c>
      <c r="IU258" s="7"/>
      <c r="IV258" s="7"/>
      <c r="IW258" s="7"/>
      <c r="IX258" s="7"/>
      <c r="IY258" s="11">
        <f t="shared" si="4"/>
        <v>290</v>
      </c>
      <c r="IZ258" s="25" t="s">
        <v>25</v>
      </c>
    </row>
    <row r="259" spans="1:260" s="2" customFormat="1" ht="12.75" customHeight="1" x14ac:dyDescent="0.2">
      <c r="A259" s="28">
        <v>43256</v>
      </c>
      <c r="B259" s="32" t="s">
        <v>190</v>
      </c>
      <c r="C259" s="23"/>
      <c r="D259" s="23"/>
      <c r="E259" s="24"/>
      <c r="F259" s="24"/>
      <c r="G259" s="24"/>
      <c r="H259" s="24"/>
      <c r="I259" s="24"/>
      <c r="J259" s="24"/>
      <c r="K259" s="24"/>
      <c r="L259" s="7"/>
      <c r="M259" s="7"/>
      <c r="N259" s="7"/>
      <c r="O259" s="7"/>
      <c r="P259" s="7"/>
      <c r="Q259" s="7"/>
      <c r="R259" s="7">
        <v>10</v>
      </c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>
        <v>10</v>
      </c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>
        <v>10</v>
      </c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/>
      <c r="CQ259" s="7"/>
      <c r="CR259" s="7"/>
      <c r="CS259" s="7"/>
      <c r="CT259" s="7"/>
      <c r="CU259" s="7"/>
      <c r="CV259" s="7"/>
      <c r="CW259" s="7">
        <v>10</v>
      </c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/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/>
      <c r="FO259" s="7"/>
      <c r="FP259" s="7"/>
      <c r="FQ259" s="7"/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/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/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11">
        <f t="shared" si="4"/>
        <v>40</v>
      </c>
      <c r="IZ259" s="25" t="s">
        <v>25</v>
      </c>
    </row>
    <row r="260" spans="1:260" s="2" customFormat="1" ht="12.75" customHeight="1" x14ac:dyDescent="0.2">
      <c r="A260" s="28">
        <v>43256</v>
      </c>
      <c r="B260" s="32" t="s">
        <v>44</v>
      </c>
      <c r="C260" s="23"/>
      <c r="D260" s="23"/>
      <c r="E260" s="24"/>
      <c r="F260" s="24"/>
      <c r="G260" s="24"/>
      <c r="H260" s="24"/>
      <c r="I260" s="24"/>
      <c r="J260" s="24"/>
      <c r="K260" s="24"/>
      <c r="L260" s="7"/>
      <c r="M260" s="7"/>
      <c r="N260" s="7"/>
      <c r="O260" s="7"/>
      <c r="P260" s="7"/>
      <c r="Q260" s="7">
        <v>8</v>
      </c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>
        <v>3</v>
      </c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>
        <v>10</v>
      </c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>
        <v>1</v>
      </c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>
        <v>1</v>
      </c>
      <c r="EY260" s="7"/>
      <c r="EZ260" s="7"/>
      <c r="FA260" s="7"/>
      <c r="FB260" s="7"/>
      <c r="FC260" s="7">
        <v>10</v>
      </c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11">
        <f t="shared" si="4"/>
        <v>33</v>
      </c>
      <c r="IZ260" s="25" t="s">
        <v>25</v>
      </c>
    </row>
    <row r="261" spans="1:260" s="2" customFormat="1" ht="12.75" customHeight="1" x14ac:dyDescent="0.2">
      <c r="A261" s="28">
        <v>43256</v>
      </c>
      <c r="B261" s="31" t="s">
        <v>43</v>
      </c>
      <c r="C261" s="23"/>
      <c r="D261" s="23"/>
      <c r="E261" s="24"/>
      <c r="F261" s="24"/>
      <c r="G261" s="24"/>
      <c r="H261" s="24"/>
      <c r="I261" s="24"/>
      <c r="J261" s="24"/>
      <c r="K261" s="24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>
        <v>10</v>
      </c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>
        <v>10</v>
      </c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>
        <v>20</v>
      </c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>
        <v>20</v>
      </c>
      <c r="ER261" s="7">
        <v>36</v>
      </c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>
        <v>10</v>
      </c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11">
        <f t="shared" si="4"/>
        <v>106</v>
      </c>
      <c r="IZ261" s="25" t="s">
        <v>25</v>
      </c>
    </row>
    <row r="262" spans="1:260" s="2" customFormat="1" ht="12.75" customHeight="1" x14ac:dyDescent="0.2">
      <c r="A262" s="28">
        <v>43257</v>
      </c>
      <c r="B262" s="31" t="s">
        <v>243</v>
      </c>
      <c r="C262" s="23"/>
      <c r="D262" s="23"/>
      <c r="E262" s="24"/>
      <c r="F262" s="24"/>
      <c r="G262" s="24"/>
      <c r="H262" s="24"/>
      <c r="I262" s="24"/>
      <c r="J262" s="24"/>
      <c r="K262" s="24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>
        <v>10</v>
      </c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11">
        <f t="shared" si="4"/>
        <v>10</v>
      </c>
      <c r="IZ262" s="25" t="s">
        <v>25</v>
      </c>
    </row>
    <row r="263" spans="1:260" s="2" customFormat="1" ht="12.75" customHeight="1" x14ac:dyDescent="0.2">
      <c r="A263" s="28">
        <v>43257</v>
      </c>
      <c r="B263" s="33" t="s">
        <v>30</v>
      </c>
      <c r="C263" s="23"/>
      <c r="D263" s="23"/>
      <c r="E263" s="24"/>
      <c r="F263" s="24"/>
      <c r="G263" s="24"/>
      <c r="H263" s="24"/>
      <c r="I263" s="24"/>
      <c r="J263" s="24"/>
      <c r="K263" s="24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>
        <v>9</v>
      </c>
      <c r="AS263" s="7">
        <v>9</v>
      </c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20</v>
      </c>
      <c r="CQ263" s="7"/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/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/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/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11">
        <f t="shared" si="4"/>
        <v>38</v>
      </c>
      <c r="IZ263" s="25" t="s">
        <v>25</v>
      </c>
    </row>
    <row r="264" spans="1:260" s="2" customFormat="1" ht="12.75" customHeight="1" x14ac:dyDescent="0.2">
      <c r="A264" s="28">
        <v>43257</v>
      </c>
      <c r="B264" s="32" t="s">
        <v>250</v>
      </c>
      <c r="C264" s="23"/>
      <c r="D264" s="23"/>
      <c r="E264" s="24"/>
      <c r="F264" s="24"/>
      <c r="G264" s="24"/>
      <c r="H264" s="24"/>
      <c r="I264" s="24"/>
      <c r="J264" s="24"/>
      <c r="K264" s="24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>
        <v>60</v>
      </c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/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11">
        <f t="shared" si="4"/>
        <v>60</v>
      </c>
      <c r="IZ264" s="25" t="s">
        <v>25</v>
      </c>
    </row>
    <row r="265" spans="1:260" s="2" customFormat="1" ht="12.75" customHeight="1" x14ac:dyDescent="0.2">
      <c r="A265" s="28">
        <v>43257</v>
      </c>
      <c r="B265" s="31" t="s">
        <v>263</v>
      </c>
      <c r="C265" s="23"/>
      <c r="D265" s="23"/>
      <c r="E265" s="24"/>
      <c r="F265" s="24"/>
      <c r="G265" s="24"/>
      <c r="H265" s="24"/>
      <c r="I265" s="24"/>
      <c r="J265" s="24"/>
      <c r="K265" s="24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/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>
        <v>15</v>
      </c>
      <c r="IV265" s="7"/>
      <c r="IW265" s="7"/>
      <c r="IX265" s="7"/>
      <c r="IY265" s="11">
        <f t="shared" si="4"/>
        <v>15</v>
      </c>
      <c r="IZ265" s="25" t="s">
        <v>83</v>
      </c>
    </row>
    <row r="266" spans="1:260" s="2" customFormat="1" ht="12.75" customHeight="1" x14ac:dyDescent="0.2">
      <c r="A266" s="28">
        <v>43257</v>
      </c>
      <c r="B266" s="32" t="s">
        <v>293</v>
      </c>
      <c r="C266" s="23"/>
      <c r="D266" s="23"/>
      <c r="E266" s="24"/>
      <c r="F266" s="24"/>
      <c r="G266" s="24"/>
      <c r="H266" s="24"/>
      <c r="I266" s="24"/>
      <c r="J266" s="24"/>
      <c r="K266" s="24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/>
      <c r="IL266" s="7"/>
      <c r="IM266" s="7"/>
      <c r="IN266" s="7"/>
      <c r="IO266" s="7"/>
      <c r="IP266" s="7"/>
      <c r="IQ266" s="7"/>
      <c r="IR266" s="7"/>
      <c r="IS266" s="7"/>
      <c r="IT266" s="7"/>
      <c r="IU266" s="7">
        <v>10</v>
      </c>
      <c r="IV266" s="7"/>
      <c r="IW266" s="7"/>
      <c r="IX266" s="7"/>
      <c r="IY266" s="11">
        <f t="shared" si="4"/>
        <v>10</v>
      </c>
      <c r="IZ266" s="25" t="s">
        <v>83</v>
      </c>
    </row>
    <row r="267" spans="1:260" s="2" customFormat="1" ht="12.75" customHeight="1" x14ac:dyDescent="0.2">
      <c r="A267" s="28">
        <v>43258</v>
      </c>
      <c r="B267" s="32" t="s">
        <v>292</v>
      </c>
      <c r="C267" s="23"/>
      <c r="D267" s="23"/>
      <c r="E267" s="24"/>
      <c r="F267" s="24"/>
      <c r="G267" s="24"/>
      <c r="H267" s="24"/>
      <c r="I267" s="24"/>
      <c r="J267" s="24"/>
      <c r="K267" s="24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>
        <v>1</v>
      </c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11">
        <f t="shared" si="4"/>
        <v>1</v>
      </c>
      <c r="IZ267" s="25" t="s">
        <v>25</v>
      </c>
    </row>
    <row r="268" spans="1:260" s="2" customFormat="1" ht="12.75" customHeight="1" x14ac:dyDescent="0.2">
      <c r="A268" s="28">
        <v>43258</v>
      </c>
      <c r="B268" s="31" t="s">
        <v>65</v>
      </c>
      <c r="C268" s="23"/>
      <c r="D268" s="23"/>
      <c r="E268" s="24"/>
      <c r="F268" s="24"/>
      <c r="G268" s="24"/>
      <c r="H268" s="24"/>
      <c r="I268" s="24"/>
      <c r="J268" s="24"/>
      <c r="K268" s="24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>
        <v>10</v>
      </c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>
        <v>100</v>
      </c>
      <c r="IW268" s="7"/>
      <c r="IX268" s="7"/>
      <c r="IY268" s="11">
        <f t="shared" si="4"/>
        <v>110</v>
      </c>
      <c r="IZ268" s="25" t="s">
        <v>198</v>
      </c>
    </row>
    <row r="269" spans="1:260" s="2" customFormat="1" ht="12.75" customHeight="1" x14ac:dyDescent="0.2">
      <c r="A269" s="28">
        <v>43258</v>
      </c>
      <c r="B269" s="32" t="s">
        <v>208</v>
      </c>
      <c r="C269" s="23"/>
      <c r="D269" s="23"/>
      <c r="E269" s="24"/>
      <c r="F269" s="24"/>
      <c r="G269" s="24"/>
      <c r="H269" s="24"/>
      <c r="I269" s="24"/>
      <c r="J269" s="24"/>
      <c r="K269" s="24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/>
      <c r="DX269" s="7"/>
      <c r="DY269" s="7"/>
      <c r="DZ269" s="7"/>
      <c r="EA269" s="7"/>
      <c r="EB269" s="7"/>
      <c r="EC269" s="7"/>
      <c r="ED269" s="7"/>
      <c r="EE269" s="7"/>
      <c r="EF269" s="7"/>
      <c r="EG269" s="7"/>
      <c r="EH269" s="7"/>
      <c r="EI269" s="7"/>
      <c r="EJ269" s="7"/>
      <c r="EK269" s="7"/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>
        <v>22.5</v>
      </c>
      <c r="IN269" s="7"/>
      <c r="IO269" s="7"/>
      <c r="IP269" s="7">
        <v>5.6</v>
      </c>
      <c r="IQ269" s="7"/>
      <c r="IR269" s="7"/>
      <c r="IS269" s="7"/>
      <c r="IT269" s="7"/>
      <c r="IU269" s="7"/>
      <c r="IV269" s="7"/>
      <c r="IW269" s="7"/>
      <c r="IX269" s="7"/>
      <c r="IY269" s="11">
        <f t="shared" si="4"/>
        <v>28.1</v>
      </c>
      <c r="IZ269" s="25" t="s">
        <v>57</v>
      </c>
    </row>
    <row r="270" spans="1:260" s="2" customFormat="1" ht="12.75" customHeight="1" x14ac:dyDescent="0.2">
      <c r="A270" s="28">
        <v>43258</v>
      </c>
      <c r="B270" s="32" t="s">
        <v>248</v>
      </c>
      <c r="C270" s="23"/>
      <c r="D270" s="23"/>
      <c r="E270" s="24"/>
      <c r="F270" s="24"/>
      <c r="G270" s="24"/>
      <c r="H270" s="24"/>
      <c r="I270" s="24"/>
      <c r="J270" s="24"/>
      <c r="K270" s="24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/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>
        <v>4.5</v>
      </c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11">
        <f t="shared" si="4"/>
        <v>4.5</v>
      </c>
      <c r="IZ270" s="25" t="s">
        <v>57</v>
      </c>
    </row>
    <row r="271" spans="1:260" s="2" customFormat="1" ht="12.75" customHeight="1" x14ac:dyDescent="0.2">
      <c r="A271" s="28">
        <v>43259</v>
      </c>
      <c r="B271" s="32" t="s">
        <v>77</v>
      </c>
      <c r="C271" s="23"/>
      <c r="D271" s="23"/>
      <c r="E271" s="24"/>
      <c r="F271" s="24"/>
      <c r="G271" s="24"/>
      <c r="H271" s="24"/>
      <c r="I271" s="24"/>
      <c r="J271" s="24"/>
      <c r="K271" s="24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>
        <v>0.8</v>
      </c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>
        <v>3</v>
      </c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11">
        <f t="shared" si="4"/>
        <v>3.8</v>
      </c>
      <c r="IZ271" s="25" t="s">
        <v>25</v>
      </c>
    </row>
    <row r="272" spans="1:260" s="2" customFormat="1" ht="12.75" customHeight="1" x14ac:dyDescent="0.2">
      <c r="A272" s="28">
        <v>43259</v>
      </c>
      <c r="B272" s="32" t="s">
        <v>171</v>
      </c>
      <c r="C272" s="23"/>
      <c r="D272" s="23"/>
      <c r="E272" s="24"/>
      <c r="F272" s="24"/>
      <c r="G272" s="24"/>
      <c r="H272" s="24"/>
      <c r="I272" s="24"/>
      <c r="J272" s="24"/>
      <c r="K272" s="24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2</v>
      </c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/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11">
        <f t="shared" si="4"/>
        <v>2</v>
      </c>
      <c r="IZ272" s="25" t="s">
        <v>25</v>
      </c>
    </row>
    <row r="273" spans="1:260" s="2" customFormat="1" ht="12.75" customHeight="1" x14ac:dyDescent="0.2">
      <c r="A273" s="28">
        <v>43262</v>
      </c>
      <c r="B273" s="32" t="s">
        <v>136</v>
      </c>
      <c r="C273" s="23"/>
      <c r="D273" s="23"/>
      <c r="E273" s="24"/>
      <c r="F273" s="24"/>
      <c r="G273" s="24"/>
      <c r="H273" s="24"/>
      <c r="I273" s="24"/>
      <c r="J273" s="24"/>
      <c r="K273" s="24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>
        <v>10</v>
      </c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/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11">
        <f t="shared" si="4"/>
        <v>10</v>
      </c>
      <c r="IZ273" s="25" t="s">
        <v>25</v>
      </c>
    </row>
    <row r="274" spans="1:260" s="2" customFormat="1" ht="12.75" customHeight="1" x14ac:dyDescent="0.2">
      <c r="A274" s="28">
        <v>43262</v>
      </c>
      <c r="B274" s="31" t="s">
        <v>211</v>
      </c>
      <c r="C274" s="23"/>
      <c r="D274" s="23"/>
      <c r="E274" s="24"/>
      <c r="F274" s="24"/>
      <c r="G274" s="24"/>
      <c r="H274" s="24"/>
      <c r="I274" s="24">
        <v>20</v>
      </c>
      <c r="J274" s="24"/>
      <c r="K274" s="24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11">
        <f t="shared" si="4"/>
        <v>20</v>
      </c>
      <c r="IZ274" s="25" t="s">
        <v>25</v>
      </c>
    </row>
    <row r="275" spans="1:260" s="2" customFormat="1" ht="12.75" customHeight="1" x14ac:dyDescent="0.2">
      <c r="A275" s="28">
        <v>43262</v>
      </c>
      <c r="B275" s="32" t="s">
        <v>171</v>
      </c>
      <c r="C275" s="23"/>
      <c r="D275" s="23"/>
      <c r="E275" s="24"/>
      <c r="F275" s="24"/>
      <c r="G275" s="24"/>
      <c r="H275" s="24"/>
      <c r="I275" s="24"/>
      <c r="J275" s="24"/>
      <c r="K275" s="24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10</v>
      </c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11">
        <f t="shared" si="4"/>
        <v>10</v>
      </c>
      <c r="IZ275" s="25" t="s">
        <v>25</v>
      </c>
    </row>
    <row r="276" spans="1:260" s="2" customFormat="1" ht="12.75" customHeight="1" x14ac:dyDescent="0.2">
      <c r="A276" s="28">
        <v>43263</v>
      </c>
      <c r="B276" s="32" t="s">
        <v>153</v>
      </c>
      <c r="C276" s="23"/>
      <c r="D276" s="23"/>
      <c r="E276" s="24"/>
      <c r="F276" s="24"/>
      <c r="G276" s="24"/>
      <c r="H276" s="24"/>
      <c r="I276" s="24"/>
      <c r="J276" s="24"/>
      <c r="K276" s="24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>
        <v>9</v>
      </c>
      <c r="AS276" s="7"/>
      <c r="AT276" s="7"/>
      <c r="AU276" s="7"/>
      <c r="AV276" s="7"/>
      <c r="AW276" s="7"/>
      <c r="AX276" s="7"/>
      <c r="AY276" s="7"/>
      <c r="AZ276" s="7"/>
      <c r="BA276" s="7">
        <v>1</v>
      </c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>
        <v>24</v>
      </c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>
        <v>20</v>
      </c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>
        <v>1</v>
      </c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>
        <v>11</v>
      </c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>
        <v>100</v>
      </c>
      <c r="IW276" s="7"/>
      <c r="IX276" s="7"/>
      <c r="IY276" s="11">
        <f t="shared" si="4"/>
        <v>166</v>
      </c>
      <c r="IZ276" s="25" t="s">
        <v>25</v>
      </c>
    </row>
    <row r="277" spans="1:260" s="2" customFormat="1" ht="12.75" customHeight="1" x14ac:dyDescent="0.2">
      <c r="A277" s="28">
        <v>43263</v>
      </c>
      <c r="B277" s="31" t="s">
        <v>251</v>
      </c>
      <c r="C277" s="23"/>
      <c r="D277" s="23"/>
      <c r="E277" s="24"/>
      <c r="F277" s="24"/>
      <c r="G277" s="24"/>
      <c r="H277" s="24"/>
      <c r="I277" s="24"/>
      <c r="J277" s="24"/>
      <c r="K277" s="24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/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>
        <v>1</v>
      </c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11">
        <f t="shared" si="4"/>
        <v>1</v>
      </c>
      <c r="IZ277" s="25" t="s">
        <v>57</v>
      </c>
    </row>
    <row r="278" spans="1:260" s="2" customFormat="1" ht="12.75" customHeight="1" x14ac:dyDescent="0.2">
      <c r="A278" s="28">
        <v>43264</v>
      </c>
      <c r="B278" s="31" t="s">
        <v>58</v>
      </c>
      <c r="C278" s="23"/>
      <c r="D278" s="23"/>
      <c r="E278" s="24"/>
      <c r="F278" s="24"/>
      <c r="G278" s="24"/>
      <c r="H278" s="24"/>
      <c r="I278" s="24"/>
      <c r="J278" s="24"/>
      <c r="K278" s="24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>
        <v>10</v>
      </c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>
        <v>10</v>
      </c>
      <c r="HR278" s="7"/>
      <c r="HS278" s="7"/>
      <c r="HT278" s="7"/>
      <c r="HU278" s="7"/>
      <c r="HV278" s="7"/>
      <c r="HW278" s="7"/>
      <c r="HX278" s="7"/>
      <c r="HY278" s="7"/>
      <c r="HZ278" s="7"/>
      <c r="IA278" s="7"/>
      <c r="IB278" s="7"/>
      <c r="IC278" s="7"/>
      <c r="ID278" s="7"/>
      <c r="IE278" s="7"/>
      <c r="IF278" s="7"/>
      <c r="IG278" s="7"/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11">
        <f t="shared" si="4"/>
        <v>20</v>
      </c>
      <c r="IZ278" s="25" t="s">
        <v>25</v>
      </c>
    </row>
    <row r="279" spans="1:260" s="2" customFormat="1" ht="12.75" customHeight="1" x14ac:dyDescent="0.2">
      <c r="A279" s="28">
        <v>43265</v>
      </c>
      <c r="B279" s="32" t="s">
        <v>167</v>
      </c>
      <c r="C279" s="23"/>
      <c r="D279" s="23"/>
      <c r="E279" s="24"/>
      <c r="F279" s="24"/>
      <c r="G279" s="24"/>
      <c r="H279" s="24"/>
      <c r="I279" s="24"/>
      <c r="J279" s="24"/>
      <c r="K279" s="24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>
        <v>30</v>
      </c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11">
        <f t="shared" si="4"/>
        <v>30</v>
      </c>
      <c r="IZ279" s="25" t="s">
        <v>25</v>
      </c>
    </row>
    <row r="280" spans="1:260" s="2" customFormat="1" ht="12.75" customHeight="1" x14ac:dyDescent="0.2">
      <c r="A280" s="28">
        <v>43266</v>
      </c>
      <c r="B280" s="31" t="s">
        <v>279</v>
      </c>
      <c r="C280" s="23"/>
      <c r="D280" s="23"/>
      <c r="E280" s="24"/>
      <c r="F280" s="24"/>
      <c r="G280" s="24"/>
      <c r="H280" s="24"/>
      <c r="I280" s="24"/>
      <c r="J280" s="24"/>
      <c r="K280" s="24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>
        <v>1</v>
      </c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>
        <v>0.9</v>
      </c>
      <c r="CY280" s="7"/>
      <c r="CZ280" s="7"/>
      <c r="DA280" s="7"/>
      <c r="DB280" s="7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1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11">
        <f t="shared" si="4"/>
        <v>2.9</v>
      </c>
      <c r="IZ280" s="25" t="s">
        <v>25</v>
      </c>
    </row>
    <row r="281" spans="1:260" s="2" customFormat="1" ht="12.75" customHeight="1" x14ac:dyDescent="0.2">
      <c r="A281" s="28">
        <v>43269</v>
      </c>
      <c r="B281" s="33" t="s">
        <v>48</v>
      </c>
      <c r="C281" s="23"/>
      <c r="D281" s="23"/>
      <c r="E281" s="24"/>
      <c r="F281" s="24"/>
      <c r="G281" s="24"/>
      <c r="H281" s="24"/>
      <c r="I281" s="24"/>
      <c r="J281" s="24"/>
      <c r="K281" s="24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>
        <v>45</v>
      </c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>
        <v>495</v>
      </c>
      <c r="CN281" s="7"/>
      <c r="CO281" s="7"/>
      <c r="CP281" s="7">
        <v>100</v>
      </c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/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11">
        <f t="shared" si="4"/>
        <v>640</v>
      </c>
      <c r="IZ281" s="25" t="s">
        <v>25</v>
      </c>
    </row>
    <row r="282" spans="1:260" s="2" customFormat="1" ht="12.75" customHeight="1" x14ac:dyDescent="0.2">
      <c r="A282" s="28">
        <v>43269</v>
      </c>
      <c r="B282" s="33" t="s">
        <v>123</v>
      </c>
      <c r="C282" s="23"/>
      <c r="D282" s="23"/>
      <c r="E282" s="24"/>
      <c r="F282" s="24"/>
      <c r="G282" s="24"/>
      <c r="H282" s="24"/>
      <c r="I282" s="24"/>
      <c r="J282" s="24"/>
      <c r="K282" s="24"/>
      <c r="L282" s="7"/>
      <c r="M282" s="7"/>
      <c r="N282" s="7"/>
      <c r="O282" s="7"/>
      <c r="P282" s="7"/>
      <c r="Q282" s="7"/>
      <c r="R282" s="7">
        <v>10</v>
      </c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11">
        <f t="shared" si="4"/>
        <v>10</v>
      </c>
      <c r="IZ282" s="25" t="s">
        <v>25</v>
      </c>
    </row>
    <row r="283" spans="1:260" s="2" customFormat="1" ht="12.75" customHeight="1" x14ac:dyDescent="0.2">
      <c r="A283" s="28">
        <v>43266</v>
      </c>
      <c r="B283" s="31" t="s">
        <v>269</v>
      </c>
      <c r="C283" s="23"/>
      <c r="D283" s="23"/>
      <c r="E283" s="24"/>
      <c r="F283" s="24"/>
      <c r="G283" s="24"/>
      <c r="H283" s="24"/>
      <c r="I283" s="24"/>
      <c r="J283" s="24"/>
      <c r="K283" s="24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>
        <v>10</v>
      </c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/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11">
        <f t="shared" si="4"/>
        <v>10</v>
      </c>
      <c r="IZ283" s="25" t="s">
        <v>25</v>
      </c>
    </row>
    <row r="284" spans="1:260" s="2" customFormat="1" ht="12.75" customHeight="1" x14ac:dyDescent="0.2">
      <c r="A284" s="28">
        <v>43269</v>
      </c>
      <c r="B284" s="32" t="s">
        <v>69</v>
      </c>
      <c r="C284" s="23"/>
      <c r="D284" s="23"/>
      <c r="E284" s="24"/>
      <c r="F284" s="24"/>
      <c r="G284" s="24"/>
      <c r="H284" s="24"/>
      <c r="I284" s="24"/>
      <c r="J284" s="24"/>
      <c r="K284" s="24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>
        <v>10</v>
      </c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>
        <v>10</v>
      </c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>
        <v>10</v>
      </c>
      <c r="DM284" s="7"/>
      <c r="DN284" s="7"/>
      <c r="DO284" s="7"/>
      <c r="DP284" s="7">
        <v>10</v>
      </c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>
        <v>10</v>
      </c>
      <c r="GF284" s="7"/>
      <c r="GG284" s="7"/>
      <c r="GH284" s="7"/>
      <c r="GI284" s="7"/>
      <c r="GJ284" s="7"/>
      <c r="GK284" s="7"/>
      <c r="GL284" s="7"/>
      <c r="GM284" s="7"/>
      <c r="GN284" s="7"/>
      <c r="GO284" s="7">
        <v>7</v>
      </c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/>
      <c r="IH284" s="7"/>
      <c r="II284" s="7"/>
      <c r="IJ284" s="7"/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11">
        <f t="shared" si="4"/>
        <v>57</v>
      </c>
      <c r="IZ284" s="25" t="s">
        <v>25</v>
      </c>
    </row>
    <row r="285" spans="1:260" s="2" customFormat="1" ht="12.75" customHeight="1" x14ac:dyDescent="0.2">
      <c r="A285" s="28">
        <v>43270</v>
      </c>
      <c r="B285" s="32" t="s">
        <v>175</v>
      </c>
      <c r="C285" s="23"/>
      <c r="D285" s="23"/>
      <c r="E285" s="24"/>
      <c r="F285" s="24"/>
      <c r="G285" s="24"/>
      <c r="H285" s="24"/>
      <c r="I285" s="24"/>
      <c r="J285" s="24"/>
      <c r="K285" s="24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>
        <v>10</v>
      </c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/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11">
        <f t="shared" si="4"/>
        <v>10</v>
      </c>
      <c r="IZ285" s="25" t="s">
        <v>25</v>
      </c>
    </row>
    <row r="286" spans="1:260" s="2" customFormat="1" ht="12.75" customHeight="1" x14ac:dyDescent="0.2">
      <c r="A286" s="28">
        <v>43270</v>
      </c>
      <c r="B286" s="32" t="s">
        <v>265</v>
      </c>
      <c r="C286" s="23"/>
      <c r="D286" s="23"/>
      <c r="E286" s="24"/>
      <c r="F286" s="24"/>
      <c r="G286" s="24"/>
      <c r="H286" s="24"/>
      <c r="I286" s="24"/>
      <c r="J286" s="24"/>
      <c r="K286" s="24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>
        <v>5</v>
      </c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>
        <v>5.5</v>
      </c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>
        <v>5</v>
      </c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>
        <v>2</v>
      </c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11">
        <f t="shared" si="4"/>
        <v>17.5</v>
      </c>
      <c r="IZ286" s="25" t="s">
        <v>57</v>
      </c>
    </row>
    <row r="287" spans="1:260" s="2" customFormat="1" ht="12.75" customHeight="1" x14ac:dyDescent="0.2">
      <c r="A287" s="28">
        <v>43270</v>
      </c>
      <c r="B287" s="31" t="s">
        <v>43</v>
      </c>
      <c r="C287" s="23"/>
      <c r="D287" s="23"/>
      <c r="E287" s="24"/>
      <c r="F287" s="24"/>
      <c r="G287" s="24"/>
      <c r="H287" s="24"/>
      <c r="I287" s="24"/>
      <c r="J287" s="24"/>
      <c r="K287" s="24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>
        <v>20</v>
      </c>
      <c r="AN287" s="7"/>
      <c r="AO287" s="7"/>
      <c r="AP287" s="7"/>
      <c r="AQ287" s="7"/>
      <c r="AR287" s="7"/>
      <c r="AS287" s="7"/>
      <c r="AT287" s="7"/>
      <c r="AU287" s="7"/>
      <c r="AV287" s="7">
        <v>27</v>
      </c>
      <c r="AW287" s="7"/>
      <c r="AX287" s="7"/>
      <c r="AY287" s="7"/>
      <c r="AZ287" s="7"/>
      <c r="BA287" s="7"/>
      <c r="BB287" s="7"/>
      <c r="BC287" s="7"/>
      <c r="BD287" s="7"/>
      <c r="BE287" s="7"/>
      <c r="BF287" s="7">
        <v>10</v>
      </c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>
        <v>10</v>
      </c>
      <c r="FU287" s="7"/>
      <c r="FV287" s="7"/>
      <c r="FW287" s="7">
        <v>30</v>
      </c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/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11">
        <f t="shared" si="4"/>
        <v>97</v>
      </c>
      <c r="IZ287" s="25" t="s">
        <v>25</v>
      </c>
    </row>
    <row r="288" spans="1:260" s="2" customFormat="1" ht="12.75" customHeight="1" x14ac:dyDescent="0.2">
      <c r="A288" s="28">
        <v>43270</v>
      </c>
      <c r="B288" s="33" t="s">
        <v>22</v>
      </c>
      <c r="C288" s="23"/>
      <c r="D288" s="23"/>
      <c r="E288" s="24"/>
      <c r="F288" s="24"/>
      <c r="G288" s="24"/>
      <c r="H288" s="24"/>
      <c r="I288" s="24"/>
      <c r="J288" s="24"/>
      <c r="K288" s="24">
        <v>120</v>
      </c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>
        <v>50</v>
      </c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50</v>
      </c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/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>
        <v>20</v>
      </c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>
        <v>150</v>
      </c>
      <c r="IU288" s="7"/>
      <c r="IV288" s="7"/>
      <c r="IW288" s="7"/>
      <c r="IX288" s="7"/>
      <c r="IY288" s="11">
        <f t="shared" si="4"/>
        <v>390</v>
      </c>
      <c r="IZ288" s="25" t="s">
        <v>25</v>
      </c>
    </row>
    <row r="289" spans="1:260" s="2" customFormat="1" ht="12.75" customHeight="1" x14ac:dyDescent="0.2">
      <c r="A289" s="28">
        <v>43270</v>
      </c>
      <c r="B289" s="33" t="s">
        <v>51</v>
      </c>
      <c r="C289" s="23"/>
      <c r="D289" s="23"/>
      <c r="E289" s="24"/>
      <c r="F289" s="24"/>
      <c r="G289" s="24"/>
      <c r="H289" s="24"/>
      <c r="I289" s="24"/>
      <c r="J289" s="24"/>
      <c r="K289" s="24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/>
      <c r="FJ289" s="7"/>
      <c r="FK289" s="7"/>
      <c r="FL289" s="7">
        <v>110</v>
      </c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>
        <v>25</v>
      </c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11">
        <f t="shared" si="4"/>
        <v>135</v>
      </c>
      <c r="IZ289" s="25" t="s">
        <v>25</v>
      </c>
    </row>
    <row r="290" spans="1:260" s="2" customFormat="1" ht="12.75" customHeight="1" x14ac:dyDescent="0.2">
      <c r="A290" s="28">
        <v>43270</v>
      </c>
      <c r="B290" s="32" t="s">
        <v>122</v>
      </c>
      <c r="C290" s="23"/>
      <c r="D290" s="23"/>
      <c r="E290" s="24"/>
      <c r="F290" s="24"/>
      <c r="G290" s="24"/>
      <c r="H290" s="24"/>
      <c r="I290" s="24"/>
      <c r="J290" s="24"/>
      <c r="K290" s="24"/>
      <c r="L290" s="7"/>
      <c r="M290" s="7"/>
      <c r="N290" s="7"/>
      <c r="O290" s="7"/>
      <c r="P290" s="7">
        <v>1.6</v>
      </c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>
        <v>2</v>
      </c>
      <c r="II290" s="7"/>
      <c r="IJ290" s="7"/>
      <c r="IK290" s="7"/>
      <c r="IL290" s="7"/>
      <c r="IM290" s="7"/>
      <c r="IN290" s="7"/>
      <c r="IO290" s="7"/>
      <c r="IP290" s="7"/>
      <c r="IQ290" s="7"/>
      <c r="IR290" s="7"/>
      <c r="IS290" s="7"/>
      <c r="IT290" s="7"/>
      <c r="IU290" s="7"/>
      <c r="IV290" s="7"/>
      <c r="IW290" s="7"/>
      <c r="IX290" s="7"/>
      <c r="IY290" s="11">
        <f t="shared" si="4"/>
        <v>3.6</v>
      </c>
      <c r="IZ290" s="25" t="s">
        <v>57</v>
      </c>
    </row>
    <row r="291" spans="1:260" s="2" customFormat="1" ht="12.75" customHeight="1" x14ac:dyDescent="0.2">
      <c r="A291" s="28">
        <v>43270</v>
      </c>
      <c r="B291" s="32" t="s">
        <v>278</v>
      </c>
      <c r="C291" s="23"/>
      <c r="D291" s="23"/>
      <c r="E291" s="24"/>
      <c r="F291" s="24"/>
      <c r="G291" s="24"/>
      <c r="H291" s="24"/>
      <c r="I291" s="24"/>
      <c r="J291" s="24"/>
      <c r="K291" s="24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>
        <v>10</v>
      </c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/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11">
        <f t="shared" si="4"/>
        <v>10</v>
      </c>
      <c r="IZ291" s="25" t="s">
        <v>25</v>
      </c>
    </row>
    <row r="292" spans="1:260" s="2" customFormat="1" ht="12.75" customHeight="1" x14ac:dyDescent="0.2">
      <c r="A292" s="28">
        <v>43270</v>
      </c>
      <c r="B292" s="33" t="s">
        <v>30</v>
      </c>
      <c r="C292" s="23"/>
      <c r="D292" s="23"/>
      <c r="E292" s="24"/>
      <c r="F292" s="24"/>
      <c r="G292" s="24"/>
      <c r="H292" s="24"/>
      <c r="I292" s="24"/>
      <c r="J292" s="24"/>
      <c r="K292" s="24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>
        <v>24</v>
      </c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>
        <v>3</v>
      </c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>
        <v>10</v>
      </c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11">
        <f t="shared" si="4"/>
        <v>37</v>
      </c>
      <c r="IZ292" s="25" t="s">
        <v>25</v>
      </c>
    </row>
    <row r="293" spans="1:260" s="2" customFormat="1" ht="12.75" customHeight="1" x14ac:dyDescent="0.2">
      <c r="A293" s="28">
        <v>43270</v>
      </c>
      <c r="B293" s="31" t="s">
        <v>215</v>
      </c>
      <c r="C293" s="23"/>
      <c r="D293" s="23"/>
      <c r="E293" s="24"/>
      <c r="F293" s="24"/>
      <c r="G293" s="24"/>
      <c r="H293" s="24"/>
      <c r="I293" s="24"/>
      <c r="J293" s="24"/>
      <c r="K293" s="24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>
        <v>40</v>
      </c>
      <c r="FA293" s="7"/>
      <c r="FB293" s="7"/>
      <c r="FC293" s="7"/>
      <c r="FD293" s="7"/>
      <c r="FE293" s="7"/>
      <c r="FF293" s="7"/>
      <c r="FG293" s="7"/>
      <c r="FH293" s="7"/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11">
        <f t="shared" si="4"/>
        <v>40</v>
      </c>
      <c r="IZ293" s="25" t="s">
        <v>25</v>
      </c>
    </row>
    <row r="294" spans="1:260" s="2" customFormat="1" ht="12.75" customHeight="1" x14ac:dyDescent="0.2">
      <c r="A294" s="28">
        <v>43270</v>
      </c>
      <c r="B294" s="31" t="s">
        <v>251</v>
      </c>
      <c r="C294" s="23"/>
      <c r="D294" s="23"/>
      <c r="E294" s="24"/>
      <c r="F294" s="24"/>
      <c r="G294" s="24"/>
      <c r="H294" s="24"/>
      <c r="I294" s="24"/>
      <c r="J294" s="24"/>
      <c r="K294" s="24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/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/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>
        <v>5</v>
      </c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11">
        <f t="shared" si="4"/>
        <v>5</v>
      </c>
      <c r="IZ294" s="25" t="s">
        <v>57</v>
      </c>
    </row>
    <row r="295" spans="1:260" s="2" customFormat="1" ht="12.75" customHeight="1" x14ac:dyDescent="0.2">
      <c r="A295" s="28">
        <v>43272</v>
      </c>
      <c r="B295" s="31" t="s">
        <v>78</v>
      </c>
      <c r="C295" s="23"/>
      <c r="D295" s="23"/>
      <c r="E295" s="24"/>
      <c r="F295" s="24"/>
      <c r="G295" s="24"/>
      <c r="H295" s="24"/>
      <c r="I295" s="24"/>
      <c r="J295" s="24"/>
      <c r="K295" s="24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>
        <v>0.9</v>
      </c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11">
        <f t="shared" si="4"/>
        <v>0.9</v>
      </c>
      <c r="IZ295" s="25" t="s">
        <v>25</v>
      </c>
    </row>
    <row r="296" spans="1:260" s="2" customFormat="1" ht="12.75" customHeight="1" x14ac:dyDescent="0.2">
      <c r="A296" s="28">
        <v>43272</v>
      </c>
      <c r="B296" s="32" t="s">
        <v>143</v>
      </c>
      <c r="C296" s="23"/>
      <c r="D296" s="23"/>
      <c r="E296" s="24"/>
      <c r="F296" s="24"/>
      <c r="G296" s="24"/>
      <c r="H296" s="24"/>
      <c r="I296" s="24"/>
      <c r="J296" s="24"/>
      <c r="K296" s="24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>
        <v>10</v>
      </c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11">
        <f t="shared" si="4"/>
        <v>10</v>
      </c>
      <c r="IZ296" s="25" t="s">
        <v>25</v>
      </c>
    </row>
    <row r="297" spans="1:260" s="2" customFormat="1" ht="12.75" customHeight="1" x14ac:dyDescent="0.2">
      <c r="A297" s="28">
        <v>43272</v>
      </c>
      <c r="B297" s="32" t="s">
        <v>136</v>
      </c>
      <c r="C297" s="23"/>
      <c r="D297" s="23"/>
      <c r="E297" s="24"/>
      <c r="F297" s="24"/>
      <c r="G297" s="24"/>
      <c r="H297" s="24"/>
      <c r="I297" s="24"/>
      <c r="J297" s="24"/>
      <c r="K297" s="24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>
        <v>10</v>
      </c>
      <c r="AA297" s="7">
        <v>1</v>
      </c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/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11">
        <f t="shared" si="4"/>
        <v>11</v>
      </c>
      <c r="IZ297" s="25" t="s">
        <v>25</v>
      </c>
    </row>
    <row r="298" spans="1:260" s="2" customFormat="1" ht="12.75" customHeight="1" x14ac:dyDescent="0.2">
      <c r="A298" s="28">
        <v>43272</v>
      </c>
      <c r="B298" s="31" t="s">
        <v>79</v>
      </c>
      <c r="C298" s="23"/>
      <c r="D298" s="23"/>
      <c r="E298" s="24"/>
      <c r="F298" s="24"/>
      <c r="G298" s="24"/>
      <c r="H298" s="24"/>
      <c r="I298" s="24"/>
      <c r="J298" s="24"/>
      <c r="K298" s="24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/>
      <c r="EI298" s="7"/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>
        <v>2</v>
      </c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11">
        <f t="shared" si="4"/>
        <v>2</v>
      </c>
      <c r="IZ298" s="25" t="s">
        <v>25</v>
      </c>
    </row>
    <row r="299" spans="1:260" s="2" customFormat="1" ht="12.75" customHeight="1" x14ac:dyDescent="0.2">
      <c r="A299" s="28">
        <v>43272</v>
      </c>
      <c r="B299" s="32" t="s">
        <v>153</v>
      </c>
      <c r="C299" s="23"/>
      <c r="D299" s="23"/>
      <c r="E299" s="24"/>
      <c r="F299" s="24"/>
      <c r="G299" s="24"/>
      <c r="H299" s="24"/>
      <c r="I299" s="24"/>
      <c r="J299" s="24"/>
      <c r="K299" s="24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>
        <v>10</v>
      </c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11">
        <f t="shared" si="4"/>
        <v>10</v>
      </c>
      <c r="IZ299" s="25" t="s">
        <v>25</v>
      </c>
    </row>
    <row r="300" spans="1:260" s="2" customFormat="1" ht="12.75" customHeight="1" x14ac:dyDescent="0.2">
      <c r="A300" s="28">
        <v>43273</v>
      </c>
      <c r="B300" s="31" t="s">
        <v>65</v>
      </c>
      <c r="C300" s="23"/>
      <c r="D300" s="23"/>
      <c r="E300" s="24"/>
      <c r="F300" s="24"/>
      <c r="G300" s="24"/>
      <c r="H300" s="24"/>
      <c r="I300" s="24"/>
      <c r="J300" s="24"/>
      <c r="K300" s="24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/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>
        <v>10</v>
      </c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11">
        <f t="shared" si="4"/>
        <v>10</v>
      </c>
      <c r="IZ300" s="25" t="s">
        <v>25</v>
      </c>
    </row>
    <row r="301" spans="1:260" s="2" customFormat="1" ht="12.75" customHeight="1" x14ac:dyDescent="0.2">
      <c r="A301" s="28">
        <v>43273</v>
      </c>
      <c r="B301" s="32" t="s">
        <v>167</v>
      </c>
      <c r="C301" s="23"/>
      <c r="D301" s="23"/>
      <c r="E301" s="24"/>
      <c r="F301" s="24"/>
      <c r="G301" s="24"/>
      <c r="H301" s="24"/>
      <c r="I301" s="24"/>
      <c r="J301" s="24"/>
      <c r="K301" s="24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20</v>
      </c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/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11">
        <f t="shared" si="4"/>
        <v>20</v>
      </c>
      <c r="IZ301" s="25" t="s">
        <v>25</v>
      </c>
    </row>
    <row r="302" spans="1:260" s="2" customFormat="1" ht="12.75" customHeight="1" x14ac:dyDescent="0.2">
      <c r="A302" s="28">
        <v>43276</v>
      </c>
      <c r="B302" s="31" t="s">
        <v>43</v>
      </c>
      <c r="C302" s="23"/>
      <c r="D302" s="23"/>
      <c r="E302" s="24">
        <v>10</v>
      </c>
      <c r="F302" s="24"/>
      <c r="G302" s="24"/>
      <c r="H302" s="24"/>
      <c r="I302" s="24"/>
      <c r="J302" s="24"/>
      <c r="K302" s="24"/>
      <c r="L302" s="7"/>
      <c r="M302" s="7"/>
      <c r="N302" s="7"/>
      <c r="O302" s="7"/>
      <c r="P302" s="7"/>
      <c r="Q302" s="7"/>
      <c r="R302" s="7">
        <v>10</v>
      </c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>
        <v>20</v>
      </c>
      <c r="AN302" s="7"/>
      <c r="AO302" s="7"/>
      <c r="AP302" s="7"/>
      <c r="AQ302" s="7"/>
      <c r="AR302" s="7"/>
      <c r="AS302" s="7"/>
      <c r="AT302" s="7"/>
      <c r="AU302" s="7"/>
      <c r="AV302" s="7">
        <v>27</v>
      </c>
      <c r="AW302" s="7"/>
      <c r="AX302" s="7"/>
      <c r="AY302" s="7"/>
      <c r="AZ302" s="7"/>
      <c r="BA302" s="7"/>
      <c r="BB302" s="7"/>
      <c r="BC302" s="7"/>
      <c r="BD302" s="7"/>
      <c r="BE302" s="7"/>
      <c r="BF302" s="7">
        <v>10</v>
      </c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/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>
        <v>20</v>
      </c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>
        <v>20</v>
      </c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/>
      <c r="FQ302" s="7"/>
      <c r="FR302" s="7"/>
      <c r="FS302" s="7"/>
      <c r="FT302" s="7">
        <v>10</v>
      </c>
      <c r="FU302" s="7"/>
      <c r="FV302" s="7"/>
      <c r="FW302" s="7">
        <v>10</v>
      </c>
      <c r="FX302" s="7"/>
      <c r="FY302" s="7"/>
      <c r="FZ302" s="7"/>
      <c r="GA302" s="7"/>
      <c r="GB302" s="7"/>
      <c r="GC302" s="7"/>
      <c r="GD302" s="7">
        <v>10</v>
      </c>
      <c r="GE302" s="7"/>
      <c r="GF302" s="7">
        <v>5</v>
      </c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/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11">
        <f t="shared" si="4"/>
        <v>152</v>
      </c>
      <c r="IZ302" s="25" t="s">
        <v>25</v>
      </c>
    </row>
    <row r="303" spans="1:260" s="2" customFormat="1" ht="12.75" customHeight="1" x14ac:dyDescent="0.2">
      <c r="A303" s="28">
        <v>43276</v>
      </c>
      <c r="B303" s="33" t="s">
        <v>22</v>
      </c>
      <c r="C303" s="23"/>
      <c r="D303" s="23"/>
      <c r="E303" s="24"/>
      <c r="F303" s="24"/>
      <c r="G303" s="24"/>
      <c r="H303" s="24"/>
      <c r="I303" s="24"/>
      <c r="J303" s="24"/>
      <c r="K303" s="24">
        <v>120</v>
      </c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150</v>
      </c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>
        <v>25</v>
      </c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>
        <v>75</v>
      </c>
      <c r="IU303" s="7"/>
      <c r="IV303" s="7"/>
      <c r="IW303" s="7"/>
      <c r="IX303" s="7"/>
      <c r="IY303" s="11">
        <f t="shared" si="4"/>
        <v>370</v>
      </c>
      <c r="IZ303" s="25" t="s">
        <v>25</v>
      </c>
    </row>
    <row r="304" spans="1:260" s="2" customFormat="1" ht="12.75" customHeight="1" x14ac:dyDescent="0.2">
      <c r="A304" s="28">
        <v>43276</v>
      </c>
      <c r="B304" s="31" t="s">
        <v>285</v>
      </c>
      <c r="C304" s="23"/>
      <c r="D304" s="23"/>
      <c r="E304" s="24"/>
      <c r="F304" s="24"/>
      <c r="G304" s="24"/>
      <c r="H304" s="24"/>
      <c r="I304" s="24"/>
      <c r="J304" s="24"/>
      <c r="K304" s="24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70</v>
      </c>
      <c r="CQ304" s="7">
        <v>40</v>
      </c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/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>
        <v>20</v>
      </c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>
        <v>70</v>
      </c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/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11">
        <f t="shared" si="4"/>
        <v>200</v>
      </c>
      <c r="IZ304" s="25" t="s">
        <v>25</v>
      </c>
    </row>
    <row r="305" spans="1:260" s="2" customFormat="1" ht="12.75" customHeight="1" x14ac:dyDescent="0.2">
      <c r="A305" s="28">
        <v>43276</v>
      </c>
      <c r="B305" s="32" t="s">
        <v>190</v>
      </c>
      <c r="C305" s="23"/>
      <c r="D305" s="23"/>
      <c r="E305" s="24"/>
      <c r="F305" s="24"/>
      <c r="G305" s="24"/>
      <c r="H305" s="24"/>
      <c r="I305" s="24"/>
      <c r="J305" s="24"/>
      <c r="K305" s="24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>
        <v>5</v>
      </c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11">
        <f t="shared" si="4"/>
        <v>5</v>
      </c>
      <c r="IZ305" s="25" t="s">
        <v>25</v>
      </c>
    </row>
    <row r="306" spans="1:260" s="2" customFormat="1" ht="12.75" customHeight="1" x14ac:dyDescent="0.2">
      <c r="A306" s="28">
        <v>43276</v>
      </c>
      <c r="B306" s="32" t="s">
        <v>69</v>
      </c>
      <c r="C306" s="23"/>
      <c r="D306" s="23"/>
      <c r="E306" s="24"/>
      <c r="F306" s="24"/>
      <c r="G306" s="24"/>
      <c r="H306" s="24"/>
      <c r="I306" s="24"/>
      <c r="J306" s="24"/>
      <c r="K306" s="24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  <c r="CQ306" s="7"/>
      <c r="CR306" s="7"/>
      <c r="CS306" s="7"/>
      <c r="CT306" s="7">
        <v>1</v>
      </c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/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/>
      <c r="FO306" s="7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/>
      <c r="GX306" s="7"/>
      <c r="GY306" s="7"/>
      <c r="GZ306" s="7"/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/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11">
        <f t="shared" si="4"/>
        <v>1</v>
      </c>
      <c r="IZ306" s="25" t="s">
        <v>25</v>
      </c>
    </row>
    <row r="307" spans="1:260" s="2" customFormat="1" ht="12.75" customHeight="1" x14ac:dyDescent="0.2">
      <c r="A307" s="28">
        <v>43277</v>
      </c>
      <c r="B307" s="32" t="s">
        <v>136</v>
      </c>
      <c r="C307" s="23"/>
      <c r="D307" s="23"/>
      <c r="E307" s="24"/>
      <c r="F307" s="24"/>
      <c r="G307" s="24"/>
      <c r="H307" s="24"/>
      <c r="I307" s="24"/>
      <c r="J307" s="24"/>
      <c r="K307" s="24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>
        <v>40</v>
      </c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>
        <v>20</v>
      </c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11">
        <f t="shared" si="4"/>
        <v>60</v>
      </c>
      <c r="IZ307" s="25" t="s">
        <v>25</v>
      </c>
    </row>
    <row r="308" spans="1:260" s="2" customFormat="1" ht="12.75" customHeight="1" x14ac:dyDescent="0.2">
      <c r="A308" s="28">
        <v>43277</v>
      </c>
      <c r="B308" s="31" t="s">
        <v>244</v>
      </c>
      <c r="C308" s="23"/>
      <c r="D308" s="23"/>
      <c r="E308" s="24"/>
      <c r="F308" s="24"/>
      <c r="G308" s="24"/>
      <c r="H308" s="24"/>
      <c r="I308" s="24"/>
      <c r="J308" s="24"/>
      <c r="K308" s="24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>
        <v>0.9</v>
      </c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/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/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11">
        <f t="shared" si="4"/>
        <v>0.9</v>
      </c>
      <c r="IZ308" s="25" t="s">
        <v>25</v>
      </c>
    </row>
    <row r="309" spans="1:260" s="2" customFormat="1" ht="12.75" customHeight="1" x14ac:dyDescent="0.2">
      <c r="A309" s="28">
        <v>43277</v>
      </c>
      <c r="B309" s="32" t="s">
        <v>62</v>
      </c>
      <c r="C309" s="23"/>
      <c r="D309" s="23"/>
      <c r="E309" s="24"/>
      <c r="F309" s="24"/>
      <c r="G309" s="24"/>
      <c r="H309" s="24"/>
      <c r="I309" s="24"/>
      <c r="J309" s="24"/>
      <c r="K309" s="24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>
        <v>1.8</v>
      </c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11">
        <f t="shared" si="4"/>
        <v>1.8</v>
      </c>
      <c r="IZ309" s="25" t="s">
        <v>25</v>
      </c>
    </row>
    <row r="310" spans="1:260" s="2" customFormat="1" ht="12.75" customHeight="1" x14ac:dyDescent="0.2">
      <c r="A310" s="28">
        <v>43278</v>
      </c>
      <c r="B310" s="31" t="s">
        <v>65</v>
      </c>
      <c r="C310" s="23"/>
      <c r="D310" s="23"/>
      <c r="E310" s="24"/>
      <c r="F310" s="24"/>
      <c r="G310" s="24"/>
      <c r="H310" s="24"/>
      <c r="I310" s="24"/>
      <c r="J310" s="24"/>
      <c r="K310" s="24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60</v>
      </c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/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/>
      <c r="IM310" s="7"/>
      <c r="IN310" s="7"/>
      <c r="IO310" s="7"/>
      <c r="IP310" s="7"/>
      <c r="IQ310" s="7"/>
      <c r="IR310" s="7"/>
      <c r="IS310" s="7"/>
      <c r="IT310" s="7"/>
      <c r="IU310" s="7"/>
      <c r="IV310" s="7">
        <v>100</v>
      </c>
      <c r="IW310" s="7"/>
      <c r="IX310" s="7"/>
      <c r="IY310" s="11">
        <f t="shared" si="4"/>
        <v>160</v>
      </c>
      <c r="IZ310" s="25" t="s">
        <v>25</v>
      </c>
    </row>
    <row r="311" spans="1:260" s="2" customFormat="1" ht="12.75" customHeight="1" x14ac:dyDescent="0.2">
      <c r="A311" s="28">
        <v>43278</v>
      </c>
      <c r="B311" s="33" t="s">
        <v>123</v>
      </c>
      <c r="C311" s="23"/>
      <c r="D311" s="23"/>
      <c r="E311" s="24"/>
      <c r="F311" s="24"/>
      <c r="G311" s="24"/>
      <c r="H311" s="24"/>
      <c r="I311" s="24"/>
      <c r="J311" s="24"/>
      <c r="K311" s="24"/>
      <c r="L311" s="7"/>
      <c r="M311" s="7"/>
      <c r="N311" s="7"/>
      <c r="O311" s="7"/>
      <c r="P311" s="7"/>
      <c r="Q311" s="7"/>
      <c r="R311" s="7"/>
      <c r="S311" s="7"/>
      <c r="T311" s="7">
        <v>9</v>
      </c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11">
        <f t="shared" si="4"/>
        <v>9</v>
      </c>
      <c r="IZ311" s="25" t="s">
        <v>25</v>
      </c>
    </row>
    <row r="312" spans="1:260" s="2" customFormat="1" ht="12.75" customHeight="1" x14ac:dyDescent="0.2">
      <c r="A312" s="28">
        <v>43278</v>
      </c>
      <c r="B312" s="31" t="s">
        <v>269</v>
      </c>
      <c r="C312" s="23"/>
      <c r="D312" s="23"/>
      <c r="E312" s="24"/>
      <c r="F312" s="24"/>
      <c r="G312" s="24"/>
      <c r="H312" s="24"/>
      <c r="I312" s="24"/>
      <c r="J312" s="24"/>
      <c r="K312" s="24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>
        <v>9</v>
      </c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/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11">
        <f t="shared" si="4"/>
        <v>9</v>
      </c>
      <c r="IZ312" s="25" t="s">
        <v>25</v>
      </c>
    </row>
    <row r="313" spans="1:260" s="2" customFormat="1" ht="12.75" customHeight="1" x14ac:dyDescent="0.2">
      <c r="A313" s="28">
        <v>43279</v>
      </c>
      <c r="B313" s="31" t="s">
        <v>181</v>
      </c>
      <c r="C313" s="23"/>
      <c r="D313" s="23"/>
      <c r="E313" s="24"/>
      <c r="F313" s="24"/>
      <c r="G313" s="24"/>
      <c r="H313" s="24"/>
      <c r="I313" s="24"/>
      <c r="J313" s="24"/>
      <c r="K313" s="24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>
        <v>8</v>
      </c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11">
        <f t="shared" si="4"/>
        <v>8</v>
      </c>
      <c r="IZ313" s="25" t="s">
        <v>25</v>
      </c>
    </row>
    <row r="314" spans="1:260" s="2" customFormat="1" ht="12.75" customHeight="1" x14ac:dyDescent="0.2">
      <c r="A314" s="28">
        <v>43279</v>
      </c>
      <c r="B314" s="32" t="s">
        <v>44</v>
      </c>
      <c r="C314" s="23"/>
      <c r="D314" s="23"/>
      <c r="E314" s="24"/>
      <c r="F314" s="24"/>
      <c r="G314" s="24"/>
      <c r="H314" s="24"/>
      <c r="I314" s="24"/>
      <c r="J314" s="24"/>
      <c r="K314" s="24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>
        <v>1</v>
      </c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/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11">
        <f t="shared" si="4"/>
        <v>1</v>
      </c>
      <c r="IZ314" s="25" t="s">
        <v>25</v>
      </c>
    </row>
    <row r="315" spans="1:260" s="2" customFormat="1" ht="11.25" customHeight="1" x14ac:dyDescent="0.2">
      <c r="A315" s="28">
        <v>43279</v>
      </c>
      <c r="B315" s="32" t="s">
        <v>250</v>
      </c>
      <c r="C315" s="23"/>
      <c r="D315" s="23"/>
      <c r="E315" s="24"/>
      <c r="F315" s="24"/>
      <c r="G315" s="24"/>
      <c r="H315" s="24"/>
      <c r="I315" s="24"/>
      <c r="J315" s="24"/>
      <c r="K315" s="24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>
        <v>50</v>
      </c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/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11">
        <f t="shared" si="4"/>
        <v>50</v>
      </c>
      <c r="IZ315" s="25" t="s">
        <v>25</v>
      </c>
    </row>
    <row r="316" spans="1:260" s="2" customFormat="1" ht="12.75" customHeight="1" x14ac:dyDescent="0.2">
      <c r="A316" s="28">
        <v>43280</v>
      </c>
      <c r="B316" s="32" t="s">
        <v>208</v>
      </c>
      <c r="C316" s="23"/>
      <c r="D316" s="23"/>
      <c r="E316" s="24"/>
      <c r="F316" s="24"/>
      <c r="G316" s="24"/>
      <c r="H316" s="24"/>
      <c r="I316" s="24"/>
      <c r="J316" s="24"/>
      <c r="K316" s="24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>
        <v>0.9</v>
      </c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/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11">
        <f t="shared" si="4"/>
        <v>0.9</v>
      </c>
      <c r="IZ316" s="25" t="s">
        <v>25</v>
      </c>
    </row>
    <row r="317" spans="1:260" s="2" customFormat="1" ht="12.75" customHeight="1" x14ac:dyDescent="0.2">
      <c r="A317" s="28">
        <v>43285</v>
      </c>
      <c r="B317" s="33" t="s">
        <v>29</v>
      </c>
      <c r="C317" s="23"/>
      <c r="D317" s="23"/>
      <c r="E317" s="24"/>
      <c r="F317" s="24"/>
      <c r="G317" s="24"/>
      <c r="H317" s="24"/>
      <c r="I317" s="24"/>
      <c r="J317" s="24"/>
      <c r="K317" s="24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>
        <v>20</v>
      </c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/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11">
        <f t="shared" si="4"/>
        <v>20</v>
      </c>
      <c r="IZ317" s="25" t="s">
        <v>25</v>
      </c>
    </row>
    <row r="318" spans="1:260" s="2" customFormat="1" ht="12.75" customHeight="1" x14ac:dyDescent="0.2">
      <c r="A318" s="28">
        <v>43286</v>
      </c>
      <c r="B318" s="32" t="s">
        <v>175</v>
      </c>
      <c r="C318" s="23"/>
      <c r="D318" s="23"/>
      <c r="E318" s="24"/>
      <c r="F318" s="24"/>
      <c r="G318" s="24"/>
      <c r="H318" s="24"/>
      <c r="I318" s="24"/>
      <c r="J318" s="24"/>
      <c r="K318" s="24"/>
      <c r="L318" s="7"/>
      <c r="M318" s="7"/>
      <c r="N318" s="7">
        <v>1</v>
      </c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>
        <v>1</v>
      </c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>
        <v>10</v>
      </c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/>
      <c r="IP318" s="7"/>
      <c r="IQ318" s="7"/>
      <c r="IR318" s="7"/>
      <c r="IS318" s="7"/>
      <c r="IT318" s="7"/>
      <c r="IU318" s="7"/>
      <c r="IV318" s="7"/>
      <c r="IW318" s="7"/>
      <c r="IX318" s="7"/>
      <c r="IY318" s="11">
        <f t="shared" si="4"/>
        <v>12</v>
      </c>
      <c r="IZ318" s="25" t="s">
        <v>25</v>
      </c>
    </row>
    <row r="319" spans="1:260" s="2" customFormat="1" ht="12.75" customHeight="1" x14ac:dyDescent="0.2">
      <c r="A319" s="28">
        <v>43286</v>
      </c>
      <c r="B319" s="32" t="s">
        <v>182</v>
      </c>
      <c r="C319" s="23"/>
      <c r="D319" s="23"/>
      <c r="E319" s="24"/>
      <c r="F319" s="24"/>
      <c r="G319" s="24"/>
      <c r="H319" s="24"/>
      <c r="I319" s="24"/>
      <c r="J319" s="24"/>
      <c r="K319" s="24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>
        <v>0.8</v>
      </c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/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>
        <v>3.3</v>
      </c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11">
        <f t="shared" si="4"/>
        <v>4.0999999999999996</v>
      </c>
      <c r="IZ319" s="25" t="s">
        <v>25</v>
      </c>
    </row>
    <row r="320" spans="1:260" s="2" customFormat="1" ht="12.75" customHeight="1" x14ac:dyDescent="0.2">
      <c r="A320" s="28">
        <v>43286</v>
      </c>
      <c r="B320" s="32" t="s">
        <v>246</v>
      </c>
      <c r="C320" s="23"/>
      <c r="D320" s="23"/>
      <c r="E320" s="24"/>
      <c r="F320" s="24"/>
      <c r="G320" s="24"/>
      <c r="H320" s="24"/>
      <c r="I320" s="24"/>
      <c r="J320" s="24"/>
      <c r="K320" s="24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>
        <v>50</v>
      </c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/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/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11">
        <f t="shared" si="4"/>
        <v>50</v>
      </c>
      <c r="IZ320" s="25" t="s">
        <v>25</v>
      </c>
    </row>
    <row r="321" spans="1:260" s="2" customFormat="1" ht="12.75" customHeight="1" x14ac:dyDescent="0.2">
      <c r="A321" s="28">
        <v>43286</v>
      </c>
      <c r="B321" s="32" t="s">
        <v>297</v>
      </c>
      <c r="C321" s="23"/>
      <c r="D321" s="23"/>
      <c r="E321" s="24"/>
      <c r="F321" s="24"/>
      <c r="G321" s="24"/>
      <c r="H321" s="24"/>
      <c r="I321" s="24"/>
      <c r="J321" s="24"/>
      <c r="K321" s="24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>
        <v>1</v>
      </c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>
        <v>0.9</v>
      </c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/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11">
        <f t="shared" ref="IY321:IY384" si="5">SUBTOTAL(9,C321:IX321)</f>
        <v>1.9</v>
      </c>
      <c r="IZ321" s="25" t="s">
        <v>25</v>
      </c>
    </row>
    <row r="322" spans="1:260" s="2" customFormat="1" ht="12.75" customHeight="1" x14ac:dyDescent="0.2">
      <c r="A322" s="28">
        <v>43287</v>
      </c>
      <c r="B322" s="32" t="s">
        <v>301</v>
      </c>
      <c r="C322" s="23"/>
      <c r="D322" s="23"/>
      <c r="E322" s="24"/>
      <c r="F322" s="24"/>
      <c r="G322" s="24"/>
      <c r="H322" s="24"/>
      <c r="I322" s="24"/>
      <c r="J322" s="24"/>
      <c r="K322" s="24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  <c r="CQ322" s="7"/>
      <c r="CR322" s="7"/>
      <c r="CS322" s="7"/>
      <c r="CT322" s="7"/>
      <c r="CU322" s="7"/>
      <c r="CV322" s="7"/>
      <c r="CW322" s="7"/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/>
      <c r="EL322" s="7"/>
      <c r="EM322" s="7"/>
      <c r="EN322" s="7"/>
      <c r="EO322" s="7"/>
      <c r="EP322" s="7"/>
      <c r="EQ322" s="7"/>
      <c r="ER322" s="7"/>
      <c r="ES322" s="7"/>
      <c r="ET322" s="7"/>
      <c r="EU322" s="7"/>
      <c r="EV322" s="7"/>
      <c r="EW322" s="7"/>
      <c r="EX322" s="7"/>
      <c r="EY322" s="7"/>
      <c r="EZ322" s="7">
        <v>3</v>
      </c>
      <c r="FA322" s="7"/>
      <c r="FB322" s="7"/>
      <c r="FC322" s="7"/>
      <c r="FD322" s="7"/>
      <c r="FE322" s="7"/>
      <c r="FF322" s="7"/>
      <c r="FG322" s="7"/>
      <c r="FH322" s="7"/>
      <c r="FI322" s="7"/>
      <c r="FJ322" s="7"/>
      <c r="FK322" s="7"/>
      <c r="FL322" s="7"/>
      <c r="FM322" s="7"/>
      <c r="FN322" s="7"/>
      <c r="FO322" s="7"/>
      <c r="FP322" s="7"/>
      <c r="FQ322" s="7"/>
      <c r="FR322" s="7"/>
      <c r="FS322" s="7"/>
      <c r="FT322" s="7"/>
      <c r="FU322" s="7"/>
      <c r="FV322" s="7"/>
      <c r="FW322" s="7"/>
      <c r="FX322" s="7"/>
      <c r="FY322" s="7"/>
      <c r="FZ322" s="7"/>
      <c r="GA322" s="7"/>
      <c r="GB322" s="7"/>
      <c r="GC322" s="7"/>
      <c r="GD322" s="7"/>
      <c r="GE322" s="7"/>
      <c r="GF322" s="7"/>
      <c r="GG322" s="7"/>
      <c r="GH322" s="7"/>
      <c r="GI322" s="7"/>
      <c r="GJ322" s="7"/>
      <c r="GK322" s="7"/>
      <c r="GL322" s="7"/>
      <c r="GM322" s="7"/>
      <c r="GN322" s="7"/>
      <c r="GO322" s="7"/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/>
      <c r="HD322" s="7"/>
      <c r="HE322" s="7"/>
      <c r="HF322" s="7"/>
      <c r="HG322" s="7"/>
      <c r="HH322" s="7"/>
      <c r="HI322" s="7"/>
      <c r="HJ322" s="7"/>
      <c r="HK322" s="7"/>
      <c r="HL322" s="7"/>
      <c r="HM322" s="7"/>
      <c r="HN322" s="7"/>
      <c r="HO322" s="7"/>
      <c r="HP322" s="7"/>
      <c r="HQ322" s="7"/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>
        <v>11</v>
      </c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11">
        <f t="shared" si="5"/>
        <v>14</v>
      </c>
      <c r="IZ322" s="25" t="s">
        <v>25</v>
      </c>
    </row>
    <row r="323" spans="1:260" s="2" customFormat="1" ht="12.75" customHeight="1" x14ac:dyDescent="0.2">
      <c r="A323" s="28">
        <v>43287</v>
      </c>
      <c r="B323" s="32" t="s">
        <v>250</v>
      </c>
      <c r="C323" s="23"/>
      <c r="D323" s="23"/>
      <c r="E323" s="24"/>
      <c r="F323" s="24"/>
      <c r="G323" s="24"/>
      <c r="H323" s="24"/>
      <c r="I323" s="24"/>
      <c r="J323" s="24"/>
      <c r="K323" s="24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>
        <v>50</v>
      </c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11">
        <f t="shared" si="5"/>
        <v>50</v>
      </c>
      <c r="IZ323" s="25" t="s">
        <v>25</v>
      </c>
    </row>
    <row r="324" spans="1:260" s="2" customFormat="1" ht="12.75" customHeight="1" x14ac:dyDescent="0.2">
      <c r="A324" s="28">
        <v>43287</v>
      </c>
      <c r="B324" s="33" t="s">
        <v>123</v>
      </c>
      <c r="C324" s="23"/>
      <c r="D324" s="23"/>
      <c r="E324" s="24"/>
      <c r="F324" s="24"/>
      <c r="G324" s="24"/>
      <c r="H324" s="24"/>
      <c r="I324" s="24"/>
      <c r="J324" s="24"/>
      <c r="K324" s="24"/>
      <c r="L324" s="7"/>
      <c r="M324" s="7"/>
      <c r="N324" s="7"/>
      <c r="O324" s="7"/>
      <c r="P324" s="7"/>
      <c r="Q324" s="7"/>
      <c r="R324" s="7">
        <v>10</v>
      </c>
      <c r="S324" s="7">
        <v>54</v>
      </c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/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/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11">
        <f t="shared" si="5"/>
        <v>64</v>
      </c>
      <c r="IZ324" s="25" t="s">
        <v>25</v>
      </c>
    </row>
    <row r="325" spans="1:260" s="2" customFormat="1" ht="12.75" customHeight="1" x14ac:dyDescent="0.2">
      <c r="A325" s="28">
        <v>43287</v>
      </c>
      <c r="B325" s="33" t="s">
        <v>30</v>
      </c>
      <c r="C325" s="23"/>
      <c r="D325" s="23"/>
      <c r="E325" s="24"/>
      <c r="F325" s="24"/>
      <c r="G325" s="24"/>
      <c r="H325" s="24"/>
      <c r="I325" s="24"/>
      <c r="J325" s="24"/>
      <c r="K325" s="24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20</v>
      </c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>
        <v>10</v>
      </c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/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11">
        <f t="shared" si="5"/>
        <v>30</v>
      </c>
      <c r="IZ325" s="25" t="s">
        <v>25</v>
      </c>
    </row>
    <row r="326" spans="1:260" s="2" customFormat="1" ht="12.75" customHeight="1" x14ac:dyDescent="0.2">
      <c r="A326" s="28">
        <v>43287</v>
      </c>
      <c r="B326" s="31" t="s">
        <v>285</v>
      </c>
      <c r="C326" s="23"/>
      <c r="D326" s="23"/>
      <c r="E326" s="24"/>
      <c r="F326" s="24"/>
      <c r="G326" s="24"/>
      <c r="H326" s="24"/>
      <c r="I326" s="24"/>
      <c r="J326" s="24"/>
      <c r="K326" s="24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>
        <v>100</v>
      </c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11">
        <f t="shared" si="5"/>
        <v>100</v>
      </c>
      <c r="IZ326" s="25" t="s">
        <v>25</v>
      </c>
    </row>
    <row r="327" spans="1:260" s="2" customFormat="1" ht="12.75" customHeight="1" x14ac:dyDescent="0.2">
      <c r="A327" s="28">
        <v>43290</v>
      </c>
      <c r="B327" s="32" t="s">
        <v>136</v>
      </c>
      <c r="C327" s="23"/>
      <c r="D327" s="23"/>
      <c r="E327" s="24"/>
      <c r="F327" s="24"/>
      <c r="G327" s="24"/>
      <c r="H327" s="24"/>
      <c r="I327" s="24"/>
      <c r="J327" s="24"/>
      <c r="K327" s="24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>
        <v>10</v>
      </c>
      <c r="Y327" s="7"/>
      <c r="Z327" s="7">
        <v>10</v>
      </c>
      <c r="AA327" s="7"/>
      <c r="AB327" s="7"/>
      <c r="AC327" s="7"/>
      <c r="AD327" s="7"/>
      <c r="AE327" s="7">
        <v>1</v>
      </c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>
        <v>10</v>
      </c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/>
      <c r="HW327" s="7"/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11">
        <f t="shared" si="5"/>
        <v>31</v>
      </c>
      <c r="IZ327" s="25" t="s">
        <v>25</v>
      </c>
    </row>
    <row r="328" spans="1:260" s="2" customFormat="1" ht="12.75" customHeight="1" x14ac:dyDescent="0.2">
      <c r="A328" s="28">
        <v>43291</v>
      </c>
      <c r="B328" s="32" t="s">
        <v>302</v>
      </c>
      <c r="C328" s="23"/>
      <c r="D328" s="23"/>
      <c r="E328" s="24"/>
      <c r="F328" s="24"/>
      <c r="G328" s="24"/>
      <c r="H328" s="24"/>
      <c r="I328" s="24"/>
      <c r="J328" s="24"/>
      <c r="K328" s="24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/>
      <c r="GN328" s="7"/>
      <c r="GO328" s="7"/>
      <c r="GP328" s="7"/>
      <c r="GQ328" s="7"/>
      <c r="GR328" s="7"/>
      <c r="GS328" s="7"/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>
        <v>25</v>
      </c>
      <c r="IV328" s="7"/>
      <c r="IW328" s="7"/>
      <c r="IX328" s="7"/>
      <c r="IY328" s="11">
        <f t="shared" si="5"/>
        <v>25</v>
      </c>
      <c r="IZ328" s="25" t="s">
        <v>25</v>
      </c>
    </row>
    <row r="329" spans="1:260" s="2" customFormat="1" ht="12.75" customHeight="1" x14ac:dyDescent="0.2">
      <c r="A329" s="28">
        <v>43291</v>
      </c>
      <c r="B329" s="33" t="s">
        <v>29</v>
      </c>
      <c r="C329" s="23"/>
      <c r="D329" s="23"/>
      <c r="E329" s="24"/>
      <c r="F329" s="24"/>
      <c r="G329" s="24"/>
      <c r="H329" s="24"/>
      <c r="I329" s="24"/>
      <c r="J329" s="24"/>
      <c r="K329" s="24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>
        <v>20</v>
      </c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>
        <v>22</v>
      </c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>
        <v>50</v>
      </c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>
        <v>30</v>
      </c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11">
        <f t="shared" si="5"/>
        <v>122</v>
      </c>
      <c r="IZ329" s="25" t="s">
        <v>25</v>
      </c>
    </row>
    <row r="330" spans="1:260" s="2" customFormat="1" ht="12.75" customHeight="1" x14ac:dyDescent="0.2">
      <c r="A330" s="28">
        <v>43293</v>
      </c>
      <c r="B330" s="33" t="s">
        <v>22</v>
      </c>
      <c r="C330" s="23"/>
      <c r="D330" s="23"/>
      <c r="E330" s="24"/>
      <c r="F330" s="24"/>
      <c r="G330" s="24"/>
      <c r="H330" s="24"/>
      <c r="I330" s="24"/>
      <c r="J330" s="24"/>
      <c r="K330" s="24">
        <v>60</v>
      </c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>
        <v>100</v>
      </c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150</v>
      </c>
      <c r="CQ330" s="7"/>
      <c r="CR330" s="7"/>
      <c r="CS330" s="7"/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/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/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>
        <v>60</v>
      </c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>
        <v>25</v>
      </c>
      <c r="IG330" s="7"/>
      <c r="IH330" s="7"/>
      <c r="II330" s="7"/>
      <c r="IJ330" s="7"/>
      <c r="IK330" s="7"/>
      <c r="IL330" s="7">
        <v>5</v>
      </c>
      <c r="IM330" s="7"/>
      <c r="IN330" s="7"/>
      <c r="IO330" s="7"/>
      <c r="IP330" s="7"/>
      <c r="IQ330" s="7"/>
      <c r="IR330" s="7"/>
      <c r="IS330" s="7"/>
      <c r="IT330" s="7">
        <v>50</v>
      </c>
      <c r="IU330" s="7"/>
      <c r="IV330" s="7"/>
      <c r="IW330" s="7"/>
      <c r="IX330" s="7"/>
      <c r="IY330" s="11">
        <f t="shared" si="5"/>
        <v>450</v>
      </c>
      <c r="IZ330" s="25" t="s">
        <v>25</v>
      </c>
    </row>
    <row r="331" spans="1:260" s="2" customFormat="1" ht="12.75" customHeight="1" x14ac:dyDescent="0.2">
      <c r="A331" s="28">
        <v>43293</v>
      </c>
      <c r="B331" s="32" t="s">
        <v>255</v>
      </c>
      <c r="C331" s="23"/>
      <c r="D331" s="23"/>
      <c r="E331" s="24"/>
      <c r="F331" s="24"/>
      <c r="G331" s="24"/>
      <c r="H331" s="24"/>
      <c r="I331" s="24"/>
      <c r="J331" s="24"/>
      <c r="K331" s="24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>
        <v>10</v>
      </c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/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/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11">
        <f t="shared" si="5"/>
        <v>10</v>
      </c>
      <c r="IZ331" s="25" t="s">
        <v>25</v>
      </c>
    </row>
    <row r="332" spans="1:260" s="2" customFormat="1" ht="12.75" customHeight="1" x14ac:dyDescent="0.2">
      <c r="A332" s="28">
        <v>43293</v>
      </c>
      <c r="B332" s="32" t="s">
        <v>190</v>
      </c>
      <c r="C332" s="23"/>
      <c r="D332" s="23"/>
      <c r="E332" s="24"/>
      <c r="F332" s="24"/>
      <c r="G332" s="24"/>
      <c r="H332" s="24"/>
      <c r="I332" s="24"/>
      <c r="J332" s="24"/>
      <c r="K332" s="24"/>
      <c r="L332" s="7"/>
      <c r="M332" s="7">
        <v>9</v>
      </c>
      <c r="N332" s="7"/>
      <c r="O332" s="7"/>
      <c r="P332" s="7"/>
      <c r="Q332" s="7"/>
      <c r="R332" s="7">
        <v>10</v>
      </c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>
        <v>10</v>
      </c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>
        <v>5</v>
      </c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/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>
        <v>10</v>
      </c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11">
        <f t="shared" si="5"/>
        <v>44</v>
      </c>
      <c r="IZ332" s="25" t="s">
        <v>25</v>
      </c>
    </row>
    <row r="333" spans="1:260" s="2" customFormat="1" ht="12.75" customHeight="1" x14ac:dyDescent="0.2">
      <c r="A333" s="28">
        <v>43294</v>
      </c>
      <c r="B333" s="33" t="s">
        <v>48</v>
      </c>
      <c r="C333" s="23"/>
      <c r="D333" s="23"/>
      <c r="E333" s="24"/>
      <c r="F333" s="24"/>
      <c r="G333" s="24"/>
      <c r="H333" s="24"/>
      <c r="I333" s="24"/>
      <c r="J333" s="24"/>
      <c r="K333" s="24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>
        <v>36</v>
      </c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>
        <v>407</v>
      </c>
      <c r="CN333" s="7"/>
      <c r="CO333" s="7"/>
      <c r="CP333" s="7">
        <v>100</v>
      </c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11">
        <f t="shared" si="5"/>
        <v>543</v>
      </c>
      <c r="IZ333" s="25" t="s">
        <v>25</v>
      </c>
    </row>
    <row r="334" spans="1:260" s="2" customFormat="1" ht="12.75" customHeight="1" x14ac:dyDescent="0.2">
      <c r="A334" s="28">
        <v>43294</v>
      </c>
      <c r="B334" s="33" t="s">
        <v>30</v>
      </c>
      <c r="C334" s="23"/>
      <c r="D334" s="23"/>
      <c r="E334" s="24"/>
      <c r="F334" s="24"/>
      <c r="G334" s="24"/>
      <c r="H334" s="24"/>
      <c r="I334" s="24"/>
      <c r="J334" s="24"/>
      <c r="K334" s="24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>
        <v>20</v>
      </c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>
        <v>9</v>
      </c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11">
        <f t="shared" si="5"/>
        <v>29</v>
      </c>
      <c r="IZ334" s="25" t="s">
        <v>25</v>
      </c>
    </row>
    <row r="335" spans="1:260" s="2" customFormat="1" ht="12.75" customHeight="1" x14ac:dyDescent="0.2">
      <c r="A335" s="28">
        <v>43294</v>
      </c>
      <c r="B335" s="32" t="s">
        <v>175</v>
      </c>
      <c r="C335" s="23"/>
      <c r="D335" s="23"/>
      <c r="E335" s="24"/>
      <c r="F335" s="24"/>
      <c r="G335" s="24"/>
      <c r="H335" s="24"/>
      <c r="I335" s="24"/>
      <c r="J335" s="24"/>
      <c r="K335" s="24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>
        <v>1</v>
      </c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11">
        <f t="shared" si="5"/>
        <v>1</v>
      </c>
      <c r="IZ335" s="25" t="s">
        <v>25</v>
      </c>
    </row>
    <row r="336" spans="1:260" s="2" customFormat="1" ht="12.75" customHeight="1" x14ac:dyDescent="0.2">
      <c r="A336" s="28">
        <v>43297</v>
      </c>
      <c r="B336" s="32" t="s">
        <v>265</v>
      </c>
      <c r="C336" s="23"/>
      <c r="D336" s="23"/>
      <c r="E336" s="24"/>
      <c r="F336" s="24"/>
      <c r="G336" s="24"/>
      <c r="H336" s="24"/>
      <c r="I336" s="24"/>
      <c r="J336" s="24"/>
      <c r="K336" s="24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>
        <v>1.6</v>
      </c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11">
        <f t="shared" si="5"/>
        <v>1.6</v>
      </c>
      <c r="IZ336" s="25" t="s">
        <v>25</v>
      </c>
    </row>
    <row r="337" spans="1:260" s="2" customFormat="1" ht="12.75" customHeight="1" x14ac:dyDescent="0.2">
      <c r="A337" s="28">
        <v>43297</v>
      </c>
      <c r="B337" s="32" t="s">
        <v>208</v>
      </c>
      <c r="C337" s="23"/>
      <c r="D337" s="23"/>
      <c r="E337" s="24"/>
      <c r="F337" s="24"/>
      <c r="G337" s="24"/>
      <c r="H337" s="24"/>
      <c r="I337" s="24"/>
      <c r="J337" s="24"/>
      <c r="K337" s="24"/>
      <c r="L337" s="7"/>
      <c r="M337" s="7"/>
      <c r="N337" s="7"/>
      <c r="O337" s="7"/>
      <c r="P337" s="7"/>
      <c r="Q337" s="7"/>
      <c r="R337" s="7">
        <v>10</v>
      </c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11">
        <f t="shared" si="5"/>
        <v>10</v>
      </c>
      <c r="IZ337" s="25" t="s">
        <v>25</v>
      </c>
    </row>
    <row r="338" spans="1:260" s="2" customFormat="1" ht="12.75" customHeight="1" x14ac:dyDescent="0.2">
      <c r="A338" s="28">
        <v>43297</v>
      </c>
      <c r="B338" s="31" t="s">
        <v>215</v>
      </c>
      <c r="C338" s="23"/>
      <c r="D338" s="23"/>
      <c r="E338" s="24"/>
      <c r="F338" s="24"/>
      <c r="G338" s="24"/>
      <c r="H338" s="24"/>
      <c r="I338" s="24"/>
      <c r="J338" s="24"/>
      <c r="K338" s="24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>
        <v>20</v>
      </c>
      <c r="DQ338" s="7"/>
      <c r="DR338" s="7"/>
      <c r="DS338" s="7"/>
      <c r="DT338" s="7"/>
      <c r="DU338" s="7"/>
      <c r="DV338" s="7"/>
      <c r="DW338" s="7">
        <v>28</v>
      </c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>
        <v>30</v>
      </c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>
        <v>40</v>
      </c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11">
        <f t="shared" si="5"/>
        <v>118</v>
      </c>
      <c r="IZ338" s="25" t="s">
        <v>25</v>
      </c>
    </row>
    <row r="339" spans="1:260" s="2" customFormat="1" ht="12.75" customHeight="1" x14ac:dyDescent="0.2">
      <c r="A339" s="28">
        <v>43299</v>
      </c>
      <c r="B339" s="32" t="s">
        <v>248</v>
      </c>
      <c r="C339" s="23"/>
      <c r="D339" s="23"/>
      <c r="E339" s="24"/>
      <c r="F339" s="24"/>
      <c r="G339" s="24"/>
      <c r="H339" s="24"/>
      <c r="I339" s="24"/>
      <c r="J339" s="24"/>
      <c r="K339" s="24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>
        <v>1</v>
      </c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>
        <v>5.5</v>
      </c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>
        <v>15</v>
      </c>
      <c r="IJ339" s="7"/>
      <c r="IK339" s="7"/>
      <c r="IL339" s="7"/>
      <c r="IM339" s="7">
        <v>4.5</v>
      </c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11">
        <f t="shared" si="5"/>
        <v>26</v>
      </c>
      <c r="IZ339" s="25" t="s">
        <v>25</v>
      </c>
    </row>
    <row r="340" spans="1:260" s="2" customFormat="1" ht="12.75" customHeight="1" x14ac:dyDescent="0.2">
      <c r="A340" s="28">
        <v>43299</v>
      </c>
      <c r="B340" s="31" t="s">
        <v>244</v>
      </c>
      <c r="C340" s="23"/>
      <c r="D340" s="23"/>
      <c r="E340" s="24"/>
      <c r="F340" s="24"/>
      <c r="G340" s="24"/>
      <c r="H340" s="24"/>
      <c r="I340" s="24"/>
      <c r="J340" s="24"/>
      <c r="K340" s="24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/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>
        <v>1</v>
      </c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/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11">
        <f t="shared" si="5"/>
        <v>1</v>
      </c>
      <c r="IZ340" s="25" t="s">
        <v>25</v>
      </c>
    </row>
    <row r="341" spans="1:260" s="2" customFormat="1" ht="12.75" customHeight="1" x14ac:dyDescent="0.2">
      <c r="A341" s="28">
        <v>43300</v>
      </c>
      <c r="B341" s="32" t="s">
        <v>146</v>
      </c>
      <c r="C341" s="23"/>
      <c r="D341" s="23"/>
      <c r="E341" s="24"/>
      <c r="F341" s="24"/>
      <c r="G341" s="24"/>
      <c r="H341" s="24"/>
      <c r="I341" s="24"/>
      <c r="J341" s="24"/>
      <c r="K341" s="24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/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/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/>
      <c r="FO341" s="7"/>
      <c r="FP341" s="7"/>
      <c r="FQ341" s="7"/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18</v>
      </c>
      <c r="GX341" s="7"/>
      <c r="GY341" s="7"/>
      <c r="GZ341" s="7"/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11">
        <f t="shared" si="5"/>
        <v>18</v>
      </c>
      <c r="IZ341" s="25" t="s">
        <v>25</v>
      </c>
    </row>
    <row r="342" spans="1:260" s="2" customFormat="1" ht="12.75" customHeight="1" x14ac:dyDescent="0.2">
      <c r="A342" s="28">
        <v>43300</v>
      </c>
      <c r="B342" s="32" t="s">
        <v>304</v>
      </c>
      <c r="C342" s="23"/>
      <c r="D342" s="23"/>
      <c r="E342" s="24"/>
      <c r="F342" s="24"/>
      <c r="G342" s="24"/>
      <c r="H342" s="24"/>
      <c r="I342" s="24"/>
      <c r="J342" s="24"/>
      <c r="K342" s="24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>
        <v>1</v>
      </c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11">
        <f t="shared" si="5"/>
        <v>1</v>
      </c>
      <c r="IZ342" s="25" t="s">
        <v>25</v>
      </c>
    </row>
    <row r="343" spans="1:260" s="2" customFormat="1" ht="12.75" customHeight="1" x14ac:dyDescent="0.2">
      <c r="A343" s="28">
        <v>43300</v>
      </c>
      <c r="B343" s="32" t="s">
        <v>167</v>
      </c>
      <c r="C343" s="23"/>
      <c r="D343" s="23"/>
      <c r="E343" s="24"/>
      <c r="F343" s="24"/>
      <c r="G343" s="24"/>
      <c r="H343" s="24"/>
      <c r="I343" s="24"/>
      <c r="J343" s="24"/>
      <c r="K343" s="24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20</v>
      </c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>
        <v>50</v>
      </c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/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/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11">
        <f t="shared" si="5"/>
        <v>70</v>
      </c>
      <c r="IZ343" s="25" t="s">
        <v>25</v>
      </c>
    </row>
    <row r="344" spans="1:260" s="2" customFormat="1" ht="12.75" customHeight="1" x14ac:dyDescent="0.2">
      <c r="A344" s="28">
        <v>43300</v>
      </c>
      <c r="B344" s="33" t="s">
        <v>29</v>
      </c>
      <c r="C344" s="23"/>
      <c r="D344" s="23"/>
      <c r="E344" s="24"/>
      <c r="F344" s="24"/>
      <c r="G344" s="24"/>
      <c r="H344" s="24"/>
      <c r="I344" s="24"/>
      <c r="J344" s="24"/>
      <c r="K344" s="24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>
        <v>20</v>
      </c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>
        <v>30</v>
      </c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11">
        <f t="shared" si="5"/>
        <v>50</v>
      </c>
      <c r="IZ344" s="25" t="s">
        <v>25</v>
      </c>
    </row>
    <row r="345" spans="1:260" s="2" customFormat="1" ht="12.75" customHeight="1" x14ac:dyDescent="0.2">
      <c r="A345" s="28">
        <v>43300</v>
      </c>
      <c r="B345" s="32" t="s">
        <v>143</v>
      </c>
      <c r="C345" s="23"/>
      <c r="D345" s="23"/>
      <c r="E345" s="24">
        <v>20</v>
      </c>
      <c r="F345" s="24"/>
      <c r="G345" s="24"/>
      <c r="H345" s="24"/>
      <c r="I345" s="24"/>
      <c r="J345" s="24"/>
      <c r="K345" s="24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>
        <v>1</v>
      </c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>
        <v>1</v>
      </c>
      <c r="DO345" s="7"/>
      <c r="DP345" s="7"/>
      <c r="DQ345" s="7">
        <v>27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>
        <v>1</v>
      </c>
      <c r="FU345" s="7"/>
      <c r="FV345" s="7"/>
      <c r="FW345" s="7"/>
      <c r="FX345" s="7"/>
      <c r="FY345" s="7"/>
      <c r="FZ345" s="7"/>
      <c r="GA345" s="7"/>
      <c r="GB345" s="7"/>
      <c r="GC345" s="7"/>
      <c r="GD345" s="7"/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11">
        <f t="shared" si="5"/>
        <v>50</v>
      </c>
      <c r="IZ345" s="25" t="s">
        <v>25</v>
      </c>
    </row>
    <row r="346" spans="1:260" s="2" customFormat="1" ht="12.75" customHeight="1" x14ac:dyDescent="0.2">
      <c r="A346" s="28">
        <v>43305</v>
      </c>
      <c r="B346" s="33" t="s">
        <v>51</v>
      </c>
      <c r="C346" s="23"/>
      <c r="D346" s="23"/>
      <c r="E346" s="24"/>
      <c r="F346" s="24"/>
      <c r="G346" s="24"/>
      <c r="H346" s="24"/>
      <c r="I346" s="24"/>
      <c r="J346" s="24"/>
      <c r="K346" s="24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/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/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>
        <v>40</v>
      </c>
      <c r="IT346" s="7"/>
      <c r="IU346" s="7"/>
      <c r="IV346" s="7"/>
      <c r="IW346" s="7"/>
      <c r="IX346" s="7"/>
      <c r="IY346" s="11">
        <f t="shared" si="5"/>
        <v>40</v>
      </c>
      <c r="IZ346" s="25" t="s">
        <v>198</v>
      </c>
    </row>
    <row r="347" spans="1:260" s="2" customFormat="1" ht="12.75" customHeight="1" x14ac:dyDescent="0.2">
      <c r="A347" s="28">
        <v>43306</v>
      </c>
      <c r="B347" s="31" t="s">
        <v>58</v>
      </c>
      <c r="C347" s="23"/>
      <c r="D347" s="23"/>
      <c r="E347" s="24"/>
      <c r="F347" s="24"/>
      <c r="G347" s="24"/>
      <c r="H347" s="24"/>
      <c r="I347" s="24"/>
      <c r="J347" s="24"/>
      <c r="K347" s="24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10</v>
      </c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>
        <v>1</v>
      </c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/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11">
        <f t="shared" si="5"/>
        <v>11</v>
      </c>
      <c r="IZ347" s="25" t="s">
        <v>25</v>
      </c>
    </row>
    <row r="348" spans="1:260" s="2" customFormat="1" ht="12.75" customHeight="1" x14ac:dyDescent="0.2">
      <c r="A348" s="28">
        <v>43306</v>
      </c>
      <c r="B348" s="31" t="s">
        <v>65</v>
      </c>
      <c r="C348" s="23"/>
      <c r="D348" s="23"/>
      <c r="E348" s="24"/>
      <c r="F348" s="24"/>
      <c r="G348" s="24"/>
      <c r="H348" s="24"/>
      <c r="I348" s="24"/>
      <c r="J348" s="24"/>
      <c r="K348" s="24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60</v>
      </c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>
        <v>19</v>
      </c>
      <c r="FK348" s="7">
        <v>9</v>
      </c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/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>
        <v>200</v>
      </c>
      <c r="IW348" s="7"/>
      <c r="IX348" s="7"/>
      <c r="IY348" s="11">
        <f t="shared" si="5"/>
        <v>288</v>
      </c>
      <c r="IZ348" s="25" t="s">
        <v>25</v>
      </c>
    </row>
    <row r="349" spans="1:260" s="2" customFormat="1" ht="12.75" customHeight="1" x14ac:dyDescent="0.2">
      <c r="A349" s="28">
        <v>43306</v>
      </c>
      <c r="B349" s="31" t="s">
        <v>181</v>
      </c>
      <c r="C349" s="23"/>
      <c r="D349" s="23"/>
      <c r="E349" s="24"/>
      <c r="F349" s="24"/>
      <c r="G349" s="24"/>
      <c r="H349" s="24"/>
      <c r="I349" s="24"/>
      <c r="J349" s="24"/>
      <c r="K349" s="24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/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>
        <v>5.6</v>
      </c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11">
        <f t="shared" si="5"/>
        <v>5.6</v>
      </c>
      <c r="IZ349" s="25" t="s">
        <v>25</v>
      </c>
    </row>
    <row r="350" spans="1:260" s="2" customFormat="1" ht="12.75" customHeight="1" x14ac:dyDescent="0.2">
      <c r="A350" s="28">
        <v>43306</v>
      </c>
      <c r="B350" s="31" t="s">
        <v>43</v>
      </c>
      <c r="C350" s="23"/>
      <c r="D350" s="23"/>
      <c r="E350" s="24"/>
      <c r="F350" s="24"/>
      <c r="G350" s="24"/>
      <c r="H350" s="24"/>
      <c r="I350" s="24"/>
      <c r="J350" s="24"/>
      <c r="K350" s="24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>
        <v>9</v>
      </c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>
        <v>20</v>
      </c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>
        <v>10</v>
      </c>
      <c r="FU350" s="7"/>
      <c r="FV350" s="7"/>
      <c r="FW350" s="7">
        <v>10</v>
      </c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11">
        <f t="shared" si="5"/>
        <v>49</v>
      </c>
      <c r="IZ350" s="25" t="s">
        <v>25</v>
      </c>
    </row>
    <row r="351" spans="1:260" s="2" customFormat="1" ht="12.75" customHeight="1" x14ac:dyDescent="0.2">
      <c r="A351" s="28">
        <v>43306</v>
      </c>
      <c r="B351" s="33" t="s">
        <v>48</v>
      </c>
      <c r="C351" s="23"/>
      <c r="D351" s="23"/>
      <c r="E351" s="24"/>
      <c r="F351" s="24"/>
      <c r="G351" s="24"/>
      <c r="H351" s="24"/>
      <c r="I351" s="24"/>
      <c r="J351" s="24"/>
      <c r="K351" s="24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>
        <v>25</v>
      </c>
      <c r="IW351" s="7"/>
      <c r="IX351" s="7"/>
      <c r="IY351" s="11">
        <f t="shared" si="5"/>
        <v>25</v>
      </c>
      <c r="IZ351" s="25" t="s">
        <v>198</v>
      </c>
    </row>
    <row r="352" spans="1:260" s="2" customFormat="1" ht="12.75" customHeight="1" x14ac:dyDescent="0.2">
      <c r="A352" s="28">
        <v>43306</v>
      </c>
      <c r="B352" s="31" t="s">
        <v>211</v>
      </c>
      <c r="C352" s="23"/>
      <c r="D352" s="23"/>
      <c r="E352" s="24"/>
      <c r="F352" s="24"/>
      <c r="G352" s="24"/>
      <c r="H352" s="24"/>
      <c r="I352" s="24">
        <v>20</v>
      </c>
      <c r="J352" s="24"/>
      <c r="K352" s="24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11">
        <f t="shared" si="5"/>
        <v>20</v>
      </c>
      <c r="IZ352" s="25" t="s">
        <v>25</v>
      </c>
    </row>
    <row r="353" spans="1:260" s="2" customFormat="1" ht="12.75" customHeight="1" x14ac:dyDescent="0.2">
      <c r="A353" s="28">
        <v>43307</v>
      </c>
      <c r="B353" s="32" t="s">
        <v>250</v>
      </c>
      <c r="C353" s="23"/>
      <c r="D353" s="23"/>
      <c r="E353" s="24"/>
      <c r="F353" s="24"/>
      <c r="G353" s="24"/>
      <c r="H353" s="24"/>
      <c r="I353" s="24"/>
      <c r="J353" s="24"/>
      <c r="K353" s="24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>
        <v>70</v>
      </c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/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/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/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11">
        <f t="shared" si="5"/>
        <v>70</v>
      </c>
      <c r="IZ353" s="25" t="s">
        <v>25</v>
      </c>
    </row>
    <row r="354" spans="1:260" s="2" customFormat="1" ht="12.75" customHeight="1" x14ac:dyDescent="0.2">
      <c r="A354" s="28">
        <v>43308</v>
      </c>
      <c r="B354" s="32" t="s">
        <v>208</v>
      </c>
      <c r="C354" s="23"/>
      <c r="D354" s="23"/>
      <c r="E354" s="24"/>
      <c r="F354" s="24"/>
      <c r="G354" s="24"/>
      <c r="H354" s="24"/>
      <c r="I354" s="24"/>
      <c r="J354" s="24"/>
      <c r="K354" s="24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>
        <v>8</v>
      </c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/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>
        <v>1</v>
      </c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11">
        <f t="shared" si="5"/>
        <v>9</v>
      </c>
      <c r="IZ354" s="25" t="s">
        <v>25</v>
      </c>
    </row>
    <row r="355" spans="1:260" s="2" customFormat="1" ht="12.75" customHeight="1" x14ac:dyDescent="0.2">
      <c r="A355" s="28">
        <v>43311</v>
      </c>
      <c r="B355" s="33" t="s">
        <v>22</v>
      </c>
      <c r="C355" s="23"/>
      <c r="D355" s="23"/>
      <c r="E355" s="24"/>
      <c r="F355" s="24"/>
      <c r="G355" s="24"/>
      <c r="H355" s="24"/>
      <c r="I355" s="24"/>
      <c r="J355" s="24"/>
      <c r="K355" s="24">
        <v>60</v>
      </c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100</v>
      </c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/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/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/>
      <c r="GN355" s="7"/>
      <c r="GO355" s="7"/>
      <c r="GP355" s="7"/>
      <c r="GQ355" s="7"/>
      <c r="GR355" s="7"/>
      <c r="GS355" s="7"/>
      <c r="GT355" s="7">
        <v>60</v>
      </c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>
        <v>20</v>
      </c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>
        <v>25</v>
      </c>
      <c r="IU355" s="7"/>
      <c r="IV355" s="7"/>
      <c r="IW355" s="7"/>
      <c r="IX355" s="7"/>
      <c r="IY355" s="11">
        <f t="shared" si="5"/>
        <v>265</v>
      </c>
      <c r="IZ355" s="25" t="s">
        <v>25</v>
      </c>
    </row>
    <row r="356" spans="1:260" s="2" customFormat="1" ht="12.75" customHeight="1" x14ac:dyDescent="0.2">
      <c r="A356" s="28">
        <v>43311</v>
      </c>
      <c r="B356" s="32" t="s">
        <v>167</v>
      </c>
      <c r="C356" s="23"/>
      <c r="D356" s="23"/>
      <c r="E356" s="24"/>
      <c r="F356" s="24"/>
      <c r="G356" s="24"/>
      <c r="H356" s="24"/>
      <c r="I356" s="24"/>
      <c r="J356" s="24"/>
      <c r="K356" s="24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30</v>
      </c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>
        <v>50</v>
      </c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11">
        <f t="shared" si="5"/>
        <v>80</v>
      </c>
      <c r="IZ356" s="25" t="s">
        <v>25</v>
      </c>
    </row>
    <row r="357" spans="1:260" s="2" customFormat="1" ht="12.75" customHeight="1" x14ac:dyDescent="0.2">
      <c r="A357" s="28">
        <v>43311</v>
      </c>
      <c r="B357" s="31" t="s">
        <v>173</v>
      </c>
      <c r="C357" s="23"/>
      <c r="D357" s="23"/>
      <c r="E357" s="24"/>
      <c r="F357" s="24"/>
      <c r="G357" s="24"/>
      <c r="H357" s="24"/>
      <c r="I357" s="24"/>
      <c r="J357" s="24"/>
      <c r="K357" s="24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>
        <v>20</v>
      </c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/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11">
        <f t="shared" si="5"/>
        <v>20</v>
      </c>
      <c r="IZ357" s="25" t="s">
        <v>25</v>
      </c>
    </row>
    <row r="358" spans="1:260" s="2" customFormat="1" ht="12.75" customHeight="1" x14ac:dyDescent="0.2">
      <c r="A358" s="28">
        <v>43311</v>
      </c>
      <c r="B358" s="31" t="s">
        <v>256</v>
      </c>
      <c r="C358" s="23"/>
      <c r="D358" s="23"/>
      <c r="E358" s="24"/>
      <c r="F358" s="24"/>
      <c r="G358" s="24"/>
      <c r="H358" s="24"/>
      <c r="I358" s="24"/>
      <c r="J358" s="24"/>
      <c r="K358" s="24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>
        <v>10</v>
      </c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>
        <v>20</v>
      </c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>
        <v>18</v>
      </c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/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>
        <v>10</v>
      </c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11">
        <f t="shared" si="5"/>
        <v>58</v>
      </c>
      <c r="IZ358" s="25" t="s">
        <v>25</v>
      </c>
    </row>
    <row r="359" spans="1:260" s="2" customFormat="1" ht="12.75" customHeight="1" x14ac:dyDescent="0.2">
      <c r="A359" s="28">
        <v>43312</v>
      </c>
      <c r="B359" s="31" t="s">
        <v>215</v>
      </c>
      <c r="C359" s="23"/>
      <c r="D359" s="23"/>
      <c r="E359" s="24"/>
      <c r="F359" s="24"/>
      <c r="G359" s="24"/>
      <c r="H359" s="24"/>
      <c r="I359" s="24"/>
      <c r="J359" s="24"/>
      <c r="K359" s="24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>
        <v>20</v>
      </c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/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11">
        <f t="shared" si="5"/>
        <v>20</v>
      </c>
      <c r="IZ359" s="25" t="s">
        <v>25</v>
      </c>
    </row>
    <row r="360" spans="1:260" s="2" customFormat="1" ht="12.75" customHeight="1" x14ac:dyDescent="0.2">
      <c r="A360" s="28">
        <v>43312</v>
      </c>
      <c r="B360" s="31" t="s">
        <v>273</v>
      </c>
      <c r="C360" s="23"/>
      <c r="D360" s="23"/>
      <c r="E360" s="24"/>
      <c r="F360" s="24"/>
      <c r="G360" s="24"/>
      <c r="H360" s="24"/>
      <c r="I360" s="24"/>
      <c r="J360" s="24"/>
      <c r="K360" s="24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>
        <v>5</v>
      </c>
      <c r="IR360" s="7"/>
      <c r="IS360" s="7"/>
      <c r="IT360" s="7"/>
      <c r="IU360" s="7"/>
      <c r="IV360" s="7"/>
      <c r="IW360" s="7"/>
      <c r="IX360" s="7"/>
      <c r="IY360" s="11">
        <f t="shared" si="5"/>
        <v>5</v>
      </c>
      <c r="IZ360" s="25" t="s">
        <v>57</v>
      </c>
    </row>
    <row r="361" spans="1:260" s="2" customFormat="1" ht="12.75" customHeight="1" x14ac:dyDescent="0.2">
      <c r="A361" s="28">
        <v>43312</v>
      </c>
      <c r="B361" s="32" t="s">
        <v>69</v>
      </c>
      <c r="C361" s="23"/>
      <c r="D361" s="23"/>
      <c r="E361" s="24"/>
      <c r="F361" s="24"/>
      <c r="G361" s="24"/>
      <c r="H361" s="24"/>
      <c r="I361" s="24"/>
      <c r="J361" s="24"/>
      <c r="K361" s="24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>
        <v>1</v>
      </c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/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11">
        <f t="shared" si="5"/>
        <v>1</v>
      </c>
      <c r="IZ361" s="25" t="s">
        <v>25</v>
      </c>
    </row>
    <row r="362" spans="1:260" s="2" customFormat="1" ht="12.75" customHeight="1" x14ac:dyDescent="0.2">
      <c r="A362" s="28">
        <v>43312</v>
      </c>
      <c r="B362" s="32" t="s">
        <v>248</v>
      </c>
      <c r="C362" s="23"/>
      <c r="D362" s="23"/>
      <c r="E362" s="24"/>
      <c r="F362" s="24"/>
      <c r="G362" s="24"/>
      <c r="H362" s="24"/>
      <c r="I362" s="24"/>
      <c r="J362" s="24"/>
      <c r="K362" s="24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>
        <v>5</v>
      </c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11">
        <f t="shared" si="5"/>
        <v>5</v>
      </c>
      <c r="IZ362" s="25" t="s">
        <v>57</v>
      </c>
    </row>
    <row r="363" spans="1:260" s="2" customFormat="1" ht="12.75" customHeight="1" x14ac:dyDescent="0.2">
      <c r="A363" s="28">
        <v>43312</v>
      </c>
      <c r="B363" s="31" t="s">
        <v>285</v>
      </c>
      <c r="C363" s="23"/>
      <c r="D363" s="23"/>
      <c r="E363" s="24"/>
      <c r="F363" s="24"/>
      <c r="G363" s="24"/>
      <c r="H363" s="24"/>
      <c r="I363" s="24"/>
      <c r="J363" s="24"/>
      <c r="K363" s="24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20</v>
      </c>
      <c r="CQ363" s="7">
        <v>20</v>
      </c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>
        <v>40</v>
      </c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11">
        <f t="shared" si="5"/>
        <v>80</v>
      </c>
      <c r="IZ363" s="25" t="s">
        <v>25</v>
      </c>
    </row>
    <row r="364" spans="1:260" s="2" customFormat="1" ht="12.75" customHeight="1" x14ac:dyDescent="0.2">
      <c r="A364" s="28">
        <v>43312</v>
      </c>
      <c r="B364" s="32" t="s">
        <v>64</v>
      </c>
      <c r="C364" s="23"/>
      <c r="D364" s="23">
        <v>50</v>
      </c>
      <c r="E364" s="24"/>
      <c r="F364" s="24"/>
      <c r="G364" s="24"/>
      <c r="H364" s="24"/>
      <c r="I364" s="24"/>
      <c r="J364" s="24"/>
      <c r="K364" s="24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/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11">
        <f t="shared" si="5"/>
        <v>50</v>
      </c>
      <c r="IZ364" s="25" t="s">
        <v>25</v>
      </c>
    </row>
    <row r="365" spans="1:260" s="2" customFormat="1" ht="12.75" customHeight="1" x14ac:dyDescent="0.2">
      <c r="A365" s="28">
        <v>43312</v>
      </c>
      <c r="B365" s="32" t="s">
        <v>278</v>
      </c>
      <c r="C365" s="23"/>
      <c r="D365" s="23"/>
      <c r="E365" s="24"/>
      <c r="F365" s="24"/>
      <c r="G365" s="24"/>
      <c r="H365" s="24"/>
      <c r="I365" s="24"/>
      <c r="J365" s="24"/>
      <c r="K365" s="24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>
        <v>10</v>
      </c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>
        <v>25</v>
      </c>
      <c r="IV365" s="7"/>
      <c r="IW365" s="7"/>
      <c r="IX365" s="7"/>
      <c r="IY365" s="11">
        <f t="shared" si="5"/>
        <v>35</v>
      </c>
      <c r="IZ365" s="25" t="s">
        <v>25</v>
      </c>
    </row>
    <row r="366" spans="1:260" s="2" customFormat="1" ht="12.75" customHeight="1" x14ac:dyDescent="0.2">
      <c r="A366" s="28">
        <v>43312</v>
      </c>
      <c r="B366" s="33" t="s">
        <v>29</v>
      </c>
      <c r="C366" s="23"/>
      <c r="D366" s="23"/>
      <c r="E366" s="24"/>
      <c r="F366" s="24"/>
      <c r="G366" s="24"/>
      <c r="H366" s="24"/>
      <c r="I366" s="24"/>
      <c r="J366" s="24"/>
      <c r="K366" s="24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/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>
        <v>10</v>
      </c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>
        <v>22</v>
      </c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>
        <v>50</v>
      </c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11">
        <f t="shared" si="5"/>
        <v>82</v>
      </c>
      <c r="IZ366" s="25" t="s">
        <v>25</v>
      </c>
    </row>
    <row r="367" spans="1:260" s="2" customFormat="1" ht="12.75" customHeight="1" x14ac:dyDescent="0.2">
      <c r="A367" s="28">
        <v>43312</v>
      </c>
      <c r="B367" s="32" t="s">
        <v>308</v>
      </c>
      <c r="C367" s="23"/>
      <c r="D367" s="23"/>
      <c r="E367" s="24"/>
      <c r="F367" s="24"/>
      <c r="G367" s="24"/>
      <c r="H367" s="24"/>
      <c r="I367" s="24"/>
      <c r="J367" s="24"/>
      <c r="K367" s="2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>
        <v>2</v>
      </c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/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/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11">
        <f t="shared" si="5"/>
        <v>2</v>
      </c>
      <c r="IZ367" s="25" t="s">
        <v>25</v>
      </c>
    </row>
    <row r="368" spans="1:260" s="2" customFormat="1" ht="12.75" customHeight="1" x14ac:dyDescent="0.2">
      <c r="A368" s="28">
        <v>43313</v>
      </c>
      <c r="B368" s="32" t="s">
        <v>77</v>
      </c>
      <c r="C368" s="23"/>
      <c r="D368" s="23"/>
      <c r="E368" s="24"/>
      <c r="F368" s="24"/>
      <c r="G368" s="24"/>
      <c r="H368" s="24"/>
      <c r="I368" s="24"/>
      <c r="J368" s="24"/>
      <c r="K368" s="24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>
        <v>1</v>
      </c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11">
        <f t="shared" si="5"/>
        <v>1</v>
      </c>
      <c r="IZ368" s="25" t="s">
        <v>25</v>
      </c>
    </row>
    <row r="369" spans="1:260" s="2" customFormat="1" ht="12.75" customHeight="1" x14ac:dyDescent="0.2">
      <c r="A369" s="28">
        <v>43313</v>
      </c>
      <c r="B369" s="32" t="s">
        <v>190</v>
      </c>
      <c r="C369" s="23"/>
      <c r="D369" s="23"/>
      <c r="E369" s="24"/>
      <c r="F369" s="24"/>
      <c r="G369" s="24"/>
      <c r="H369" s="24"/>
      <c r="I369" s="24"/>
      <c r="J369" s="24"/>
      <c r="K369" s="24"/>
      <c r="L369" s="7"/>
      <c r="M369" s="7"/>
      <c r="N369" s="7"/>
      <c r="O369" s="7"/>
      <c r="P369" s="7"/>
      <c r="Q369" s="7"/>
      <c r="R369" s="7">
        <v>20</v>
      </c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11">
        <f t="shared" si="5"/>
        <v>20</v>
      </c>
      <c r="IZ369" s="25" t="s">
        <v>25</v>
      </c>
    </row>
    <row r="370" spans="1:260" s="2" customFormat="1" ht="12.75" customHeight="1" x14ac:dyDescent="0.2">
      <c r="A370" s="28">
        <v>43314</v>
      </c>
      <c r="B370" s="32" t="s">
        <v>62</v>
      </c>
      <c r="C370" s="23"/>
      <c r="D370" s="23"/>
      <c r="E370" s="24"/>
      <c r="F370" s="24"/>
      <c r="G370" s="24"/>
      <c r="H370" s="24"/>
      <c r="I370" s="24"/>
      <c r="J370" s="24"/>
      <c r="K370" s="24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>
        <v>1.8</v>
      </c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11">
        <f t="shared" si="5"/>
        <v>1.8</v>
      </c>
      <c r="IZ370" s="25" t="s">
        <v>25</v>
      </c>
    </row>
    <row r="371" spans="1:260" s="2" customFormat="1" ht="12.75" customHeight="1" x14ac:dyDescent="0.2">
      <c r="A371" s="28">
        <v>43314</v>
      </c>
      <c r="B371" s="33" t="s">
        <v>123</v>
      </c>
      <c r="C371" s="23"/>
      <c r="D371" s="23"/>
      <c r="E371" s="24"/>
      <c r="F371" s="24"/>
      <c r="G371" s="24"/>
      <c r="H371" s="24"/>
      <c r="I371" s="24"/>
      <c r="J371" s="24"/>
      <c r="K371" s="24"/>
      <c r="L371" s="7"/>
      <c r="M371" s="7"/>
      <c r="N371" s="7"/>
      <c r="O371" s="7"/>
      <c r="P371" s="7"/>
      <c r="Q371" s="7"/>
      <c r="R371" s="7"/>
      <c r="S371" s="7">
        <v>27</v>
      </c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/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11">
        <f t="shared" si="5"/>
        <v>27</v>
      </c>
      <c r="IZ371" s="25" t="s">
        <v>25</v>
      </c>
    </row>
    <row r="372" spans="1:260" s="2" customFormat="1" ht="12.75" customHeight="1" x14ac:dyDescent="0.2">
      <c r="A372" s="28">
        <v>43314</v>
      </c>
      <c r="B372" s="31" t="s">
        <v>78</v>
      </c>
      <c r="C372" s="23"/>
      <c r="D372" s="23"/>
      <c r="E372" s="24"/>
      <c r="F372" s="24"/>
      <c r="G372" s="24"/>
      <c r="H372" s="24"/>
      <c r="I372" s="24"/>
      <c r="J372" s="24"/>
      <c r="K372" s="24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>
        <v>1</v>
      </c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>
        <v>1.8</v>
      </c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>
        <v>1</v>
      </c>
      <c r="IY372" s="11">
        <f t="shared" si="5"/>
        <v>3.8</v>
      </c>
      <c r="IZ372" s="25" t="s">
        <v>25</v>
      </c>
    </row>
    <row r="373" spans="1:260" s="2" customFormat="1" ht="12.75" customHeight="1" x14ac:dyDescent="0.2">
      <c r="A373" s="28">
        <v>43315</v>
      </c>
      <c r="B373" s="31" t="s">
        <v>43</v>
      </c>
      <c r="C373" s="23"/>
      <c r="D373" s="23"/>
      <c r="E373" s="24"/>
      <c r="F373" s="24"/>
      <c r="G373" s="24"/>
      <c r="H373" s="24"/>
      <c r="I373" s="24"/>
      <c r="J373" s="24"/>
      <c r="K373" s="24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>
        <v>18</v>
      </c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>
        <v>20</v>
      </c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>
        <v>1</v>
      </c>
      <c r="CW373" s="7"/>
      <c r="CX373" s="7"/>
      <c r="CY373" s="7"/>
      <c r="CZ373" s="7"/>
      <c r="DA373" s="7"/>
      <c r="DB373" s="7"/>
      <c r="DC373" s="7"/>
      <c r="DD373" s="7"/>
      <c r="DE373" s="7">
        <v>1</v>
      </c>
      <c r="DF373" s="7"/>
      <c r="DG373" s="7"/>
      <c r="DH373" s="7"/>
      <c r="DI373" s="7">
        <v>10</v>
      </c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/>
      <c r="EP373" s="7"/>
      <c r="EQ373" s="7">
        <v>20</v>
      </c>
      <c r="ER373" s="7"/>
      <c r="ES373" s="7"/>
      <c r="ET373" s="7"/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>
        <v>20</v>
      </c>
      <c r="FS373" s="7"/>
      <c r="FT373" s="7"/>
      <c r="FU373" s="7"/>
      <c r="FV373" s="7"/>
      <c r="FW373" s="7"/>
      <c r="FX373" s="7"/>
      <c r="FY373" s="7">
        <v>10</v>
      </c>
      <c r="FZ373" s="7"/>
      <c r="GA373" s="7"/>
      <c r="GB373" s="7"/>
      <c r="GC373" s="7"/>
      <c r="GD373" s="7"/>
      <c r="GE373" s="7"/>
      <c r="GF373" s="7">
        <v>4</v>
      </c>
      <c r="GG373" s="7"/>
      <c r="GH373" s="7"/>
      <c r="GI373" s="7"/>
      <c r="GJ373" s="7"/>
      <c r="GK373" s="7"/>
      <c r="GL373" s="7"/>
      <c r="GM373" s="7"/>
      <c r="GN373" s="7"/>
      <c r="GO373" s="7"/>
      <c r="GP373" s="7"/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11">
        <f t="shared" si="5"/>
        <v>104</v>
      </c>
      <c r="IZ373" s="25" t="s">
        <v>25</v>
      </c>
    </row>
    <row r="374" spans="1:260" s="2" customFormat="1" ht="12.75" customHeight="1" x14ac:dyDescent="0.2">
      <c r="A374" s="28">
        <v>43318</v>
      </c>
      <c r="B374" s="33" t="s">
        <v>22</v>
      </c>
      <c r="C374" s="23"/>
      <c r="D374" s="23"/>
      <c r="E374" s="24"/>
      <c r="F374" s="24"/>
      <c r="G374" s="24"/>
      <c r="H374" s="24"/>
      <c r="I374" s="24"/>
      <c r="J374" s="24"/>
      <c r="K374" s="24">
        <v>60</v>
      </c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150</v>
      </c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>
        <v>30</v>
      </c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>
        <v>50</v>
      </c>
      <c r="IU374" s="7"/>
      <c r="IV374" s="7"/>
      <c r="IW374" s="7"/>
      <c r="IX374" s="7"/>
      <c r="IY374" s="11">
        <f t="shared" si="5"/>
        <v>290</v>
      </c>
      <c r="IZ374" s="25" t="s">
        <v>25</v>
      </c>
    </row>
    <row r="375" spans="1:260" s="2" customFormat="1" ht="12.75" customHeight="1" x14ac:dyDescent="0.2">
      <c r="A375" s="28">
        <v>43319</v>
      </c>
      <c r="B375" s="32" t="s">
        <v>171</v>
      </c>
      <c r="C375" s="23"/>
      <c r="D375" s="23"/>
      <c r="E375" s="24"/>
      <c r="F375" s="24"/>
      <c r="G375" s="24"/>
      <c r="H375" s="24"/>
      <c r="I375" s="24"/>
      <c r="J375" s="24"/>
      <c r="K375" s="24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10</v>
      </c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>
        <v>25</v>
      </c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11">
        <f t="shared" si="5"/>
        <v>35</v>
      </c>
      <c r="IZ375" s="25" t="s">
        <v>25</v>
      </c>
    </row>
    <row r="376" spans="1:260" s="2" customFormat="1" ht="12.75" customHeight="1" x14ac:dyDescent="0.2">
      <c r="A376" s="28">
        <v>43319</v>
      </c>
      <c r="B376" s="32" t="s">
        <v>69</v>
      </c>
      <c r="C376" s="23"/>
      <c r="D376" s="23"/>
      <c r="E376" s="24"/>
      <c r="F376" s="24"/>
      <c r="G376" s="24"/>
      <c r="H376" s="24"/>
      <c r="I376" s="24"/>
      <c r="J376" s="24"/>
      <c r="K376" s="24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>
        <v>10</v>
      </c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>
        <v>11</v>
      </c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11">
        <f t="shared" si="5"/>
        <v>21</v>
      </c>
      <c r="IZ376" s="25" t="s">
        <v>25</v>
      </c>
    </row>
    <row r="377" spans="1:260" s="2" customFormat="1" ht="12.75" customHeight="1" x14ac:dyDescent="0.2">
      <c r="A377" s="28">
        <v>43319</v>
      </c>
      <c r="B377" s="31" t="s">
        <v>249</v>
      </c>
      <c r="C377" s="23"/>
      <c r="D377" s="23"/>
      <c r="E377" s="24"/>
      <c r="F377" s="24"/>
      <c r="G377" s="24"/>
      <c r="H377" s="24"/>
      <c r="I377" s="24"/>
      <c r="J377" s="24"/>
      <c r="K377" s="24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>
        <v>30</v>
      </c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>
        <v>10</v>
      </c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11">
        <f t="shared" si="5"/>
        <v>40</v>
      </c>
      <c r="IZ377" s="25" t="s">
        <v>25</v>
      </c>
    </row>
    <row r="378" spans="1:260" s="2" customFormat="1" ht="12.75" customHeight="1" x14ac:dyDescent="0.2">
      <c r="A378" s="28">
        <v>43319</v>
      </c>
      <c r="B378" s="31" t="s">
        <v>251</v>
      </c>
      <c r="C378" s="23"/>
      <c r="D378" s="23"/>
      <c r="E378" s="24"/>
      <c r="F378" s="24"/>
      <c r="G378" s="24"/>
      <c r="H378" s="24"/>
      <c r="I378" s="24"/>
      <c r="J378" s="24"/>
      <c r="K378" s="24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>
        <v>10</v>
      </c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>
        <v>10</v>
      </c>
      <c r="FG378" s="7"/>
      <c r="FH378" s="7"/>
      <c r="FI378" s="7"/>
      <c r="FJ378" s="7"/>
      <c r="FK378" s="7"/>
      <c r="FL378" s="7"/>
      <c r="FM378" s="7"/>
      <c r="FN378" s="7"/>
      <c r="FO378" s="7"/>
      <c r="FP378" s="7"/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/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11">
        <f t="shared" si="5"/>
        <v>20</v>
      </c>
      <c r="IZ378" s="25" t="s">
        <v>25</v>
      </c>
    </row>
    <row r="379" spans="1:260" s="2" customFormat="1" ht="12.75" customHeight="1" x14ac:dyDescent="0.2">
      <c r="A379" s="28">
        <v>43320</v>
      </c>
      <c r="B379" s="31" t="s">
        <v>58</v>
      </c>
      <c r="C379" s="23"/>
      <c r="D379" s="23"/>
      <c r="E379" s="24"/>
      <c r="F379" s="24"/>
      <c r="G379" s="24"/>
      <c r="H379" s="24"/>
      <c r="I379" s="24"/>
      <c r="J379" s="24"/>
      <c r="K379" s="24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>
        <v>10</v>
      </c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>
        <v>10</v>
      </c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11">
        <f t="shared" si="5"/>
        <v>20</v>
      </c>
      <c r="IZ379" s="25" t="s">
        <v>25</v>
      </c>
    </row>
    <row r="380" spans="1:260" s="2" customFormat="1" ht="12.75" customHeight="1" x14ac:dyDescent="0.2">
      <c r="A380" s="28">
        <v>43320</v>
      </c>
      <c r="B380" s="33" t="s">
        <v>29</v>
      </c>
      <c r="C380" s="23"/>
      <c r="D380" s="23"/>
      <c r="E380" s="24"/>
      <c r="F380" s="24"/>
      <c r="G380" s="24"/>
      <c r="H380" s="24"/>
      <c r="I380" s="24"/>
      <c r="J380" s="24"/>
      <c r="K380" s="24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/>
      <c r="GH380" s="7"/>
      <c r="GI380" s="7"/>
      <c r="GJ380" s="7"/>
      <c r="GK380" s="7"/>
      <c r="GL380" s="7"/>
      <c r="GM380" s="7"/>
      <c r="GN380" s="7"/>
      <c r="GO380" s="7"/>
      <c r="GP380" s="7"/>
      <c r="GQ380" s="7">
        <v>60</v>
      </c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11">
        <f t="shared" si="5"/>
        <v>60</v>
      </c>
      <c r="IZ380" s="25" t="s">
        <v>25</v>
      </c>
    </row>
    <row r="381" spans="1:260" s="2" customFormat="1" ht="12.75" customHeight="1" x14ac:dyDescent="0.2">
      <c r="A381" s="28">
        <v>43320</v>
      </c>
      <c r="B381" s="32" t="s">
        <v>208</v>
      </c>
      <c r="C381" s="23"/>
      <c r="D381" s="23"/>
      <c r="E381" s="24"/>
      <c r="F381" s="24"/>
      <c r="G381" s="24"/>
      <c r="H381" s="24"/>
      <c r="I381" s="24"/>
      <c r="J381" s="24"/>
      <c r="K381" s="24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/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>
        <v>11</v>
      </c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11">
        <f t="shared" si="5"/>
        <v>11</v>
      </c>
      <c r="IZ381" s="25" t="s">
        <v>25</v>
      </c>
    </row>
    <row r="382" spans="1:260" s="2" customFormat="1" ht="12.75" customHeight="1" x14ac:dyDescent="0.2">
      <c r="A382" s="28">
        <v>43321</v>
      </c>
      <c r="B382" s="32" t="s">
        <v>153</v>
      </c>
      <c r="C382" s="23"/>
      <c r="D382" s="23"/>
      <c r="E382" s="24"/>
      <c r="F382" s="24"/>
      <c r="G382" s="24"/>
      <c r="H382" s="24"/>
      <c r="I382" s="24"/>
      <c r="J382" s="24"/>
      <c r="K382" s="24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>
        <v>4.5</v>
      </c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>
        <v>25</v>
      </c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11">
        <f t="shared" si="5"/>
        <v>29.5</v>
      </c>
      <c r="IZ382" s="25" t="s">
        <v>25</v>
      </c>
    </row>
    <row r="383" spans="1:260" s="2" customFormat="1" ht="12.75" customHeight="1" x14ac:dyDescent="0.2">
      <c r="A383" s="28">
        <v>43321</v>
      </c>
      <c r="B383" s="31" t="s">
        <v>154</v>
      </c>
      <c r="C383" s="23"/>
      <c r="D383" s="23"/>
      <c r="E383" s="24"/>
      <c r="F383" s="24"/>
      <c r="G383" s="24"/>
      <c r="H383" s="24"/>
      <c r="I383" s="24"/>
      <c r="J383" s="24"/>
      <c r="K383" s="24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>
        <v>1</v>
      </c>
      <c r="DZ383" s="7"/>
      <c r="EA383" s="7">
        <v>1</v>
      </c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/>
      <c r="FB383" s="7"/>
      <c r="FC383" s="7"/>
      <c r="FD383" s="7"/>
      <c r="FE383" s="7"/>
      <c r="FF383" s="7"/>
      <c r="FG383" s="7"/>
      <c r="FH383" s="7"/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/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/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11">
        <f t="shared" si="5"/>
        <v>2</v>
      </c>
      <c r="IZ383" s="25" t="s">
        <v>25</v>
      </c>
    </row>
    <row r="384" spans="1:260" s="2" customFormat="1" ht="12.75" customHeight="1" x14ac:dyDescent="0.2">
      <c r="A384" s="28">
        <v>43325</v>
      </c>
      <c r="B384" s="32" t="s">
        <v>143</v>
      </c>
      <c r="C384" s="23"/>
      <c r="D384" s="23"/>
      <c r="E384" s="24"/>
      <c r="F384" s="24"/>
      <c r="G384" s="24"/>
      <c r="H384" s="24"/>
      <c r="I384" s="24"/>
      <c r="J384" s="24"/>
      <c r="K384" s="24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>
        <v>10</v>
      </c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11">
        <f t="shared" si="5"/>
        <v>10</v>
      </c>
      <c r="IZ384" s="25" t="s">
        <v>25</v>
      </c>
    </row>
    <row r="385" spans="1:260" s="2" customFormat="1" ht="12.75" customHeight="1" x14ac:dyDescent="0.2">
      <c r="A385" s="28">
        <v>43322</v>
      </c>
      <c r="B385" s="32" t="s">
        <v>250</v>
      </c>
      <c r="C385" s="23"/>
      <c r="D385" s="23"/>
      <c r="E385" s="24"/>
      <c r="F385" s="24"/>
      <c r="G385" s="24"/>
      <c r="H385" s="24"/>
      <c r="I385" s="24"/>
      <c r="J385" s="24"/>
      <c r="K385" s="24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>
        <v>60</v>
      </c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11">
        <f t="shared" ref="IY385:IY534" si="6">SUBTOTAL(9,C385:IX385)</f>
        <v>60</v>
      </c>
      <c r="IZ385" s="25" t="s">
        <v>25</v>
      </c>
    </row>
    <row r="386" spans="1:260" s="2" customFormat="1" ht="12.75" customHeight="1" x14ac:dyDescent="0.2">
      <c r="A386" s="28">
        <v>43325</v>
      </c>
      <c r="B386" s="32" t="s">
        <v>265</v>
      </c>
      <c r="C386" s="23"/>
      <c r="D386" s="23"/>
      <c r="E386" s="24"/>
      <c r="F386" s="24"/>
      <c r="G386" s="24"/>
      <c r="H386" s="24"/>
      <c r="I386" s="24"/>
      <c r="J386" s="24"/>
      <c r="K386" s="24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/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>
        <v>3.3</v>
      </c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>
        <v>2</v>
      </c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11">
        <f t="shared" si="6"/>
        <v>5.3</v>
      </c>
      <c r="IZ386" s="25" t="s">
        <v>25</v>
      </c>
    </row>
    <row r="387" spans="1:260" s="2" customFormat="1" ht="12.75" customHeight="1" x14ac:dyDescent="0.2">
      <c r="A387" s="28">
        <v>43325</v>
      </c>
      <c r="B387" s="31" t="s">
        <v>79</v>
      </c>
      <c r="C387" s="23"/>
      <c r="D387" s="23"/>
      <c r="E387" s="24"/>
      <c r="F387" s="24"/>
      <c r="G387" s="24"/>
      <c r="H387" s="24"/>
      <c r="I387" s="24"/>
      <c r="J387" s="24"/>
      <c r="K387" s="24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>
        <v>2</v>
      </c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>
        <v>1</v>
      </c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>
        <v>3</v>
      </c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/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11">
        <f t="shared" si="6"/>
        <v>6</v>
      </c>
      <c r="IZ387" s="25" t="s">
        <v>25</v>
      </c>
    </row>
    <row r="388" spans="1:260" s="2" customFormat="1" ht="12.75" customHeight="1" x14ac:dyDescent="0.2">
      <c r="A388" s="28">
        <v>43325</v>
      </c>
      <c r="B388" s="33" t="s">
        <v>22</v>
      </c>
      <c r="C388" s="23"/>
      <c r="D388" s="23"/>
      <c r="E388" s="24"/>
      <c r="F388" s="24"/>
      <c r="G388" s="24"/>
      <c r="H388" s="24"/>
      <c r="I388" s="24"/>
      <c r="J388" s="24"/>
      <c r="K388" s="24">
        <v>60</v>
      </c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100</v>
      </c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>
        <v>30</v>
      </c>
      <c r="IG388" s="7"/>
      <c r="IH388" s="7"/>
      <c r="II388" s="7"/>
      <c r="IJ388" s="7"/>
      <c r="IK388" s="7"/>
      <c r="IL388" s="7">
        <v>5</v>
      </c>
      <c r="IM388" s="7"/>
      <c r="IN388" s="7"/>
      <c r="IO388" s="7"/>
      <c r="IP388" s="7"/>
      <c r="IQ388" s="7"/>
      <c r="IR388" s="7"/>
      <c r="IS388" s="7"/>
      <c r="IT388" s="7">
        <v>50</v>
      </c>
      <c r="IU388" s="7"/>
      <c r="IV388" s="7"/>
      <c r="IW388" s="7"/>
      <c r="IX388" s="7"/>
      <c r="IY388" s="11">
        <f t="shared" si="6"/>
        <v>245</v>
      </c>
      <c r="IZ388" s="25" t="s">
        <v>25</v>
      </c>
    </row>
    <row r="389" spans="1:260" s="2" customFormat="1" ht="12.75" customHeight="1" x14ac:dyDescent="0.2">
      <c r="A389" s="28">
        <v>43326</v>
      </c>
      <c r="B389" s="31" t="s">
        <v>243</v>
      </c>
      <c r="C389" s="23"/>
      <c r="D389" s="23"/>
      <c r="E389" s="24"/>
      <c r="F389" s="24"/>
      <c r="G389" s="24"/>
      <c r="H389" s="24"/>
      <c r="I389" s="24"/>
      <c r="J389" s="24"/>
      <c r="K389" s="24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>
        <v>10</v>
      </c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/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11">
        <f t="shared" si="6"/>
        <v>10</v>
      </c>
      <c r="IZ389" s="25" t="s">
        <v>25</v>
      </c>
    </row>
    <row r="390" spans="1:260" s="2" customFormat="1" ht="12.75" customHeight="1" x14ac:dyDescent="0.2">
      <c r="A390" s="28">
        <v>43326</v>
      </c>
      <c r="B390" s="31" t="s">
        <v>215</v>
      </c>
      <c r="C390" s="23"/>
      <c r="D390" s="23"/>
      <c r="E390" s="24"/>
      <c r="F390" s="24"/>
      <c r="G390" s="24"/>
      <c r="H390" s="24"/>
      <c r="I390" s="24"/>
      <c r="J390" s="24"/>
      <c r="K390" s="24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>
        <v>20</v>
      </c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/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11">
        <f t="shared" si="6"/>
        <v>20</v>
      </c>
      <c r="IZ390" s="25" t="s">
        <v>25</v>
      </c>
    </row>
    <row r="391" spans="1:260" s="2" customFormat="1" ht="12.75" customHeight="1" x14ac:dyDescent="0.2">
      <c r="A391" s="28">
        <v>43326</v>
      </c>
      <c r="B391" s="32" t="s">
        <v>167</v>
      </c>
      <c r="C391" s="23"/>
      <c r="D391" s="23"/>
      <c r="E391" s="24"/>
      <c r="F391" s="24"/>
      <c r="G391" s="24"/>
      <c r="H391" s="24"/>
      <c r="I391" s="24"/>
      <c r="J391" s="24"/>
      <c r="K391" s="24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>
        <v>10</v>
      </c>
      <c r="BG391" s="7"/>
      <c r="BH391" s="7"/>
      <c r="BI391" s="7"/>
      <c r="BJ391" s="7"/>
      <c r="BK391" s="7"/>
      <c r="BL391" s="7">
        <v>20</v>
      </c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11">
        <f t="shared" si="6"/>
        <v>30</v>
      </c>
      <c r="IZ391" s="25" t="s">
        <v>25</v>
      </c>
    </row>
    <row r="392" spans="1:260" s="2" customFormat="1" ht="12.75" customHeight="1" x14ac:dyDescent="0.2">
      <c r="A392" s="28">
        <v>43326</v>
      </c>
      <c r="B392" s="32" t="s">
        <v>153</v>
      </c>
      <c r="C392" s="23"/>
      <c r="D392" s="23"/>
      <c r="E392" s="24"/>
      <c r="F392" s="24"/>
      <c r="G392" s="24"/>
      <c r="H392" s="24"/>
      <c r="I392" s="24"/>
      <c r="J392" s="24"/>
      <c r="K392" s="24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>
        <v>10</v>
      </c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/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11">
        <f t="shared" si="6"/>
        <v>10</v>
      </c>
      <c r="IZ392" s="25" t="s">
        <v>25</v>
      </c>
    </row>
    <row r="393" spans="1:260" s="2" customFormat="1" ht="12.75" customHeight="1" x14ac:dyDescent="0.2">
      <c r="A393" s="28">
        <v>43326</v>
      </c>
      <c r="B393" s="32" t="s">
        <v>136</v>
      </c>
      <c r="C393" s="23"/>
      <c r="D393" s="23"/>
      <c r="E393" s="24"/>
      <c r="F393" s="24"/>
      <c r="G393" s="24"/>
      <c r="H393" s="24"/>
      <c r="I393" s="24"/>
      <c r="J393" s="24"/>
      <c r="K393" s="24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>
        <v>20</v>
      </c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11">
        <f t="shared" si="6"/>
        <v>20</v>
      </c>
      <c r="IZ393" s="25" t="s">
        <v>25</v>
      </c>
    </row>
    <row r="394" spans="1:260" s="2" customFormat="1" ht="12.75" customHeight="1" x14ac:dyDescent="0.2">
      <c r="A394" s="28">
        <v>43327</v>
      </c>
      <c r="B394" s="32" t="s">
        <v>278</v>
      </c>
      <c r="C394" s="23"/>
      <c r="D394" s="23"/>
      <c r="E394" s="24"/>
      <c r="F394" s="24"/>
      <c r="G394" s="24"/>
      <c r="H394" s="24"/>
      <c r="I394" s="24"/>
      <c r="J394" s="24"/>
      <c r="K394" s="24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/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>
        <v>10</v>
      </c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>
        <v>25</v>
      </c>
      <c r="IV394" s="7"/>
      <c r="IW394" s="7"/>
      <c r="IX394" s="7"/>
      <c r="IY394" s="11">
        <f t="shared" si="6"/>
        <v>35</v>
      </c>
      <c r="IZ394" s="25" t="s">
        <v>25</v>
      </c>
    </row>
    <row r="395" spans="1:260" s="2" customFormat="1" ht="12.75" customHeight="1" x14ac:dyDescent="0.2">
      <c r="A395" s="28">
        <v>43327</v>
      </c>
      <c r="B395" s="31" t="s">
        <v>43</v>
      </c>
      <c r="C395" s="23"/>
      <c r="D395" s="23"/>
      <c r="E395" s="24"/>
      <c r="F395" s="24"/>
      <c r="G395" s="24"/>
      <c r="H395" s="24"/>
      <c r="I395" s="24"/>
      <c r="J395" s="24"/>
      <c r="K395" s="24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>
        <v>10</v>
      </c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>
        <v>10</v>
      </c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>
        <v>10</v>
      </c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>
        <v>30</v>
      </c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11">
        <f t="shared" si="6"/>
        <v>60</v>
      </c>
      <c r="IZ395" s="25" t="s">
        <v>25</v>
      </c>
    </row>
    <row r="396" spans="1:260" s="2" customFormat="1" ht="12.75" customHeight="1" x14ac:dyDescent="0.2">
      <c r="A396" s="28">
        <v>43328</v>
      </c>
      <c r="B396" s="32" t="s">
        <v>175</v>
      </c>
      <c r="C396" s="23"/>
      <c r="D396" s="23"/>
      <c r="E396" s="24"/>
      <c r="F396" s="24"/>
      <c r="G396" s="24"/>
      <c r="H396" s="24"/>
      <c r="I396" s="24"/>
      <c r="J396" s="24"/>
      <c r="K396" s="24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>
        <v>1</v>
      </c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11">
        <f t="shared" si="6"/>
        <v>1</v>
      </c>
      <c r="IZ396" s="25" t="s">
        <v>25</v>
      </c>
    </row>
    <row r="397" spans="1:260" s="2" customFormat="1" ht="12.75" customHeight="1" x14ac:dyDescent="0.2">
      <c r="A397" s="28">
        <v>43328</v>
      </c>
      <c r="B397" s="32" t="s">
        <v>146</v>
      </c>
      <c r="C397" s="23"/>
      <c r="D397" s="23"/>
      <c r="E397" s="24"/>
      <c r="F397" s="24"/>
      <c r="G397" s="24"/>
      <c r="H397" s="24"/>
      <c r="I397" s="24"/>
      <c r="J397" s="24"/>
      <c r="K397" s="24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>
        <v>5</v>
      </c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>
        <v>9</v>
      </c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/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11">
        <f t="shared" si="6"/>
        <v>14</v>
      </c>
      <c r="IZ397" s="25" t="s">
        <v>25</v>
      </c>
    </row>
    <row r="398" spans="1:260" s="2" customFormat="1" ht="12.75" customHeight="1" x14ac:dyDescent="0.2">
      <c r="A398" s="28">
        <v>43332</v>
      </c>
      <c r="B398" s="32" t="s">
        <v>190</v>
      </c>
      <c r="C398" s="23"/>
      <c r="D398" s="23"/>
      <c r="E398" s="24"/>
      <c r="F398" s="24"/>
      <c r="G398" s="24"/>
      <c r="H398" s="24"/>
      <c r="I398" s="24"/>
      <c r="J398" s="24"/>
      <c r="K398" s="24"/>
      <c r="L398" s="7"/>
      <c r="M398" s="7"/>
      <c r="N398" s="7"/>
      <c r="O398" s="7"/>
      <c r="P398" s="7"/>
      <c r="Q398" s="7"/>
      <c r="R398" s="7">
        <v>20</v>
      </c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>
        <v>10</v>
      </c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>
        <v>10</v>
      </c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/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11">
        <f t="shared" si="6"/>
        <v>40</v>
      </c>
      <c r="IZ398" s="25" t="s">
        <v>25</v>
      </c>
    </row>
    <row r="399" spans="1:260" s="2" customFormat="1" ht="12.75" customHeight="1" x14ac:dyDescent="0.2">
      <c r="A399" s="28">
        <v>43332</v>
      </c>
      <c r="B399" s="32" t="s">
        <v>248</v>
      </c>
      <c r="C399" s="23"/>
      <c r="D399" s="23"/>
      <c r="E399" s="24"/>
      <c r="F399" s="24"/>
      <c r="G399" s="24"/>
      <c r="H399" s="24"/>
      <c r="I399" s="24"/>
      <c r="J399" s="24"/>
      <c r="K399" s="24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>
        <v>4.5</v>
      </c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11">
        <f t="shared" si="6"/>
        <v>4.5</v>
      </c>
      <c r="IZ399" s="25" t="s">
        <v>57</v>
      </c>
    </row>
    <row r="400" spans="1:260" s="2" customFormat="1" ht="12.75" customHeight="1" x14ac:dyDescent="0.2">
      <c r="A400" s="28">
        <v>43333</v>
      </c>
      <c r="B400" s="32" t="s">
        <v>136</v>
      </c>
      <c r="C400" s="23"/>
      <c r="D400" s="23"/>
      <c r="E400" s="24"/>
      <c r="F400" s="24"/>
      <c r="G400" s="24"/>
      <c r="H400" s="24"/>
      <c r="I400" s="24"/>
      <c r="J400" s="24"/>
      <c r="K400" s="24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>
        <v>10</v>
      </c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/>
      <c r="IA400" s="7"/>
      <c r="IB400" s="7"/>
      <c r="IC400" s="7"/>
      <c r="ID400" s="7"/>
      <c r="IE400" s="7"/>
      <c r="IF400" s="7"/>
      <c r="IG400" s="7"/>
      <c r="IH400" s="7"/>
      <c r="II400" s="7"/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11">
        <f t="shared" si="6"/>
        <v>10</v>
      </c>
      <c r="IZ400" s="25" t="s">
        <v>25</v>
      </c>
    </row>
    <row r="401" spans="1:260" s="2" customFormat="1" ht="12.75" customHeight="1" x14ac:dyDescent="0.2">
      <c r="A401" s="28">
        <v>43334</v>
      </c>
      <c r="B401" s="31" t="s">
        <v>181</v>
      </c>
      <c r="C401" s="23"/>
      <c r="D401" s="23"/>
      <c r="E401" s="24"/>
      <c r="F401" s="24"/>
      <c r="G401" s="24"/>
      <c r="H401" s="24"/>
      <c r="I401" s="24"/>
      <c r="J401" s="24"/>
      <c r="K401" s="24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>
        <v>9</v>
      </c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>
        <v>8</v>
      </c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/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11">
        <f t="shared" si="6"/>
        <v>17</v>
      </c>
      <c r="IZ401" s="25" t="s">
        <v>25</v>
      </c>
    </row>
    <row r="402" spans="1:260" s="2" customFormat="1" ht="12.75" customHeight="1" x14ac:dyDescent="0.2">
      <c r="A402" s="28">
        <v>43334</v>
      </c>
      <c r="B402" s="33" t="s">
        <v>29</v>
      </c>
      <c r="C402" s="23"/>
      <c r="D402" s="23"/>
      <c r="E402" s="24"/>
      <c r="F402" s="24"/>
      <c r="G402" s="24"/>
      <c r="H402" s="24"/>
      <c r="I402" s="24"/>
      <c r="J402" s="24"/>
      <c r="K402" s="24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>
        <v>20</v>
      </c>
      <c r="DU402" s="7"/>
      <c r="DV402" s="7"/>
      <c r="DW402" s="7"/>
      <c r="DX402" s="7"/>
      <c r="DY402" s="7"/>
      <c r="DZ402" s="7">
        <v>10</v>
      </c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>
        <v>20</v>
      </c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11">
        <f t="shared" si="6"/>
        <v>50</v>
      </c>
      <c r="IZ402" s="25" t="s">
        <v>25</v>
      </c>
    </row>
    <row r="403" spans="1:260" s="2" customFormat="1" ht="12.75" customHeight="1" x14ac:dyDescent="0.2">
      <c r="A403" s="28">
        <v>43334</v>
      </c>
      <c r="B403" s="31" t="s">
        <v>173</v>
      </c>
      <c r="C403" s="23"/>
      <c r="D403" s="23"/>
      <c r="E403" s="24"/>
      <c r="F403" s="24"/>
      <c r="G403" s="24"/>
      <c r="H403" s="24"/>
      <c r="I403" s="24"/>
      <c r="J403" s="24"/>
      <c r="K403" s="24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>
        <v>10</v>
      </c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11">
        <f t="shared" si="6"/>
        <v>10</v>
      </c>
      <c r="IZ403" s="25" t="s">
        <v>25</v>
      </c>
    </row>
    <row r="404" spans="1:260" s="2" customFormat="1" ht="12.75" customHeight="1" x14ac:dyDescent="0.2">
      <c r="A404" s="28">
        <v>43335</v>
      </c>
      <c r="B404" s="31" t="s">
        <v>244</v>
      </c>
      <c r="C404" s="23"/>
      <c r="D404" s="23"/>
      <c r="E404" s="24"/>
      <c r="F404" s="24"/>
      <c r="G404" s="24"/>
      <c r="H404" s="24"/>
      <c r="I404" s="24"/>
      <c r="J404" s="24"/>
      <c r="K404" s="24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>
        <v>1.8</v>
      </c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11">
        <f t="shared" si="6"/>
        <v>1.8</v>
      </c>
      <c r="IZ404" s="25" t="s">
        <v>25</v>
      </c>
    </row>
    <row r="405" spans="1:260" s="2" customFormat="1" ht="12.75" customHeight="1" x14ac:dyDescent="0.2">
      <c r="A405" s="28">
        <v>43336</v>
      </c>
      <c r="B405" s="33" t="s">
        <v>22</v>
      </c>
      <c r="C405" s="23"/>
      <c r="D405" s="23"/>
      <c r="E405" s="24"/>
      <c r="F405" s="24"/>
      <c r="G405" s="24"/>
      <c r="H405" s="24"/>
      <c r="I405" s="24"/>
      <c r="J405" s="24"/>
      <c r="K405" s="24">
        <v>60</v>
      </c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>
        <v>50</v>
      </c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>
        <v>50</v>
      </c>
      <c r="IU405" s="7"/>
      <c r="IV405" s="7"/>
      <c r="IW405" s="7"/>
      <c r="IX405" s="7"/>
      <c r="IY405" s="11">
        <f t="shared" si="6"/>
        <v>160</v>
      </c>
      <c r="IZ405" s="25" t="s">
        <v>25</v>
      </c>
    </row>
    <row r="406" spans="1:260" s="2" customFormat="1" ht="12.75" customHeight="1" x14ac:dyDescent="0.2">
      <c r="A406" s="28">
        <v>43336</v>
      </c>
      <c r="B406" s="32" t="s">
        <v>175</v>
      </c>
      <c r="C406" s="23"/>
      <c r="D406" s="23"/>
      <c r="E406" s="24"/>
      <c r="F406" s="24"/>
      <c r="G406" s="24"/>
      <c r="H406" s="24"/>
      <c r="I406" s="24"/>
      <c r="J406" s="24"/>
      <c r="K406" s="24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>
        <v>10</v>
      </c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11">
        <f t="shared" si="6"/>
        <v>10</v>
      </c>
      <c r="IZ406" s="25" t="s">
        <v>25</v>
      </c>
    </row>
    <row r="407" spans="1:260" s="2" customFormat="1" ht="12.75" customHeight="1" x14ac:dyDescent="0.2">
      <c r="A407" s="28">
        <v>43339</v>
      </c>
      <c r="B407" s="32" t="s">
        <v>182</v>
      </c>
      <c r="C407" s="23"/>
      <c r="D407" s="23"/>
      <c r="E407" s="24"/>
      <c r="F407" s="24"/>
      <c r="G407" s="24"/>
      <c r="H407" s="24"/>
      <c r="I407" s="24"/>
      <c r="J407" s="24"/>
      <c r="K407" s="24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/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/>
      <c r="FN407" s="7"/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/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>
        <v>1</v>
      </c>
      <c r="HS407" s="7"/>
      <c r="HT407" s="7"/>
      <c r="HU407" s="7"/>
      <c r="HV407" s="7"/>
      <c r="HW407" s="7"/>
      <c r="HX407" s="7"/>
      <c r="HY407" s="7"/>
      <c r="HZ407" s="7"/>
      <c r="IA407" s="7"/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11">
        <f t="shared" si="6"/>
        <v>1</v>
      </c>
      <c r="IZ407" s="25" t="s">
        <v>25</v>
      </c>
    </row>
    <row r="408" spans="1:260" s="2" customFormat="1" ht="12.75" customHeight="1" x14ac:dyDescent="0.2">
      <c r="A408" s="28">
        <v>43340</v>
      </c>
      <c r="B408" s="32" t="s">
        <v>208</v>
      </c>
      <c r="C408" s="23"/>
      <c r="D408" s="23"/>
      <c r="E408" s="24"/>
      <c r="F408" s="24"/>
      <c r="G408" s="24"/>
      <c r="H408" s="24"/>
      <c r="I408" s="24"/>
      <c r="J408" s="24"/>
      <c r="K408" s="24"/>
      <c r="L408" s="7"/>
      <c r="M408" s="7"/>
      <c r="N408" s="7"/>
      <c r="O408" s="7"/>
      <c r="P408" s="7"/>
      <c r="Q408" s="7"/>
      <c r="R408" s="7">
        <v>10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11">
        <f t="shared" si="6"/>
        <v>10</v>
      </c>
      <c r="IZ408" s="25" t="s">
        <v>25</v>
      </c>
    </row>
    <row r="409" spans="1:260" s="2" customFormat="1" ht="12.75" customHeight="1" x14ac:dyDescent="0.2">
      <c r="A409" s="28">
        <v>43340</v>
      </c>
      <c r="B409" s="31" t="s">
        <v>78</v>
      </c>
      <c r="C409" s="23"/>
      <c r="D409" s="23"/>
      <c r="E409" s="24"/>
      <c r="F409" s="24"/>
      <c r="G409" s="24"/>
      <c r="H409" s="24"/>
      <c r="I409" s="24"/>
      <c r="J409" s="24"/>
      <c r="K409" s="24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>
        <v>2</v>
      </c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>
        <v>2.7</v>
      </c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>
        <v>1</v>
      </c>
      <c r="IY409" s="11">
        <f t="shared" si="6"/>
        <v>5.7</v>
      </c>
      <c r="IZ409" s="25" t="s">
        <v>25</v>
      </c>
    </row>
    <row r="410" spans="1:260" s="2" customFormat="1" ht="12.75" customHeight="1" x14ac:dyDescent="0.2">
      <c r="A410" s="28">
        <v>43341</v>
      </c>
      <c r="B410" s="32" t="s">
        <v>250</v>
      </c>
      <c r="C410" s="23"/>
      <c r="D410" s="23"/>
      <c r="E410" s="24"/>
      <c r="F410" s="24"/>
      <c r="G410" s="24"/>
      <c r="H410" s="24"/>
      <c r="I410" s="24"/>
      <c r="J410" s="24"/>
      <c r="K410" s="24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>
        <v>80</v>
      </c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/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11">
        <f t="shared" si="6"/>
        <v>80</v>
      </c>
      <c r="IZ410" s="25" t="s">
        <v>25</v>
      </c>
    </row>
    <row r="411" spans="1:260" s="2" customFormat="1" ht="12.75" customHeight="1" x14ac:dyDescent="0.2">
      <c r="A411" s="28">
        <v>43341</v>
      </c>
      <c r="B411" s="32" t="s">
        <v>315</v>
      </c>
      <c r="C411" s="23"/>
      <c r="D411" s="23"/>
      <c r="E411" s="24"/>
      <c r="F411" s="24"/>
      <c r="G411" s="24"/>
      <c r="H411" s="24"/>
      <c r="I411" s="24"/>
      <c r="J411" s="24"/>
      <c r="K411" s="24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>
        <v>10</v>
      </c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/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11">
        <f t="shared" si="6"/>
        <v>10</v>
      </c>
      <c r="IZ411" s="25" t="s">
        <v>25</v>
      </c>
    </row>
    <row r="412" spans="1:260" s="2" customFormat="1" ht="12.75" customHeight="1" x14ac:dyDescent="0.2">
      <c r="A412" s="28">
        <v>43342</v>
      </c>
      <c r="B412" s="32" t="s">
        <v>302</v>
      </c>
      <c r="C412" s="23"/>
      <c r="D412" s="23"/>
      <c r="E412" s="24"/>
      <c r="F412" s="24"/>
      <c r="G412" s="24"/>
      <c r="H412" s="24"/>
      <c r="I412" s="24"/>
      <c r="J412" s="24"/>
      <c r="K412" s="24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/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>
        <v>25</v>
      </c>
      <c r="IV412" s="7"/>
      <c r="IW412" s="7"/>
      <c r="IX412" s="7"/>
      <c r="IY412" s="11">
        <f t="shared" si="6"/>
        <v>25</v>
      </c>
      <c r="IZ412" s="25" t="s">
        <v>83</v>
      </c>
    </row>
    <row r="413" spans="1:260" s="2" customFormat="1" ht="12.75" customHeight="1" x14ac:dyDescent="0.2">
      <c r="A413" s="28">
        <v>43343</v>
      </c>
      <c r="B413" s="33" t="s">
        <v>22</v>
      </c>
      <c r="C413" s="23"/>
      <c r="D413" s="23"/>
      <c r="E413" s="24"/>
      <c r="F413" s="24"/>
      <c r="G413" s="24"/>
      <c r="H413" s="24"/>
      <c r="I413" s="24"/>
      <c r="J413" s="24"/>
      <c r="K413" s="24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100</v>
      </c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>
        <v>50</v>
      </c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>
        <v>20</v>
      </c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11">
        <f t="shared" si="6"/>
        <v>170</v>
      </c>
      <c r="IZ413" s="25" t="s">
        <v>25</v>
      </c>
    </row>
    <row r="414" spans="1:260" s="2" customFormat="1" ht="12.75" customHeight="1" x14ac:dyDescent="0.2">
      <c r="A414" s="28">
        <v>43346</v>
      </c>
      <c r="B414" s="32" t="s">
        <v>69</v>
      </c>
      <c r="C414" s="23"/>
      <c r="D414" s="23"/>
      <c r="E414" s="24"/>
      <c r="F414" s="24"/>
      <c r="G414" s="24"/>
      <c r="H414" s="24"/>
      <c r="I414" s="24"/>
      <c r="J414" s="24"/>
      <c r="K414" s="24"/>
      <c r="L414" s="7"/>
      <c r="M414" s="7"/>
      <c r="N414" s="7"/>
      <c r="O414" s="7"/>
      <c r="P414" s="7"/>
      <c r="Q414" s="7">
        <v>8</v>
      </c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>
        <v>10</v>
      </c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>
        <v>10</v>
      </c>
      <c r="EX414" s="7"/>
      <c r="EY414" s="7"/>
      <c r="EZ414" s="7"/>
      <c r="FA414" s="7"/>
      <c r="FB414" s="7">
        <v>11</v>
      </c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11">
        <f t="shared" si="6"/>
        <v>39</v>
      </c>
      <c r="IZ414" s="25" t="s">
        <v>25</v>
      </c>
    </row>
    <row r="415" spans="1:260" s="2" customFormat="1" ht="12.75" customHeight="1" x14ac:dyDescent="0.2">
      <c r="A415" s="28">
        <v>43346</v>
      </c>
      <c r="B415" s="31" t="s">
        <v>43</v>
      </c>
      <c r="C415" s="23"/>
      <c r="D415" s="23"/>
      <c r="E415" s="24"/>
      <c r="F415" s="24"/>
      <c r="G415" s="24"/>
      <c r="H415" s="24"/>
      <c r="I415" s="24"/>
      <c r="J415" s="24"/>
      <c r="K415" s="24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>
        <v>10</v>
      </c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>
        <v>10</v>
      </c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>
        <v>10</v>
      </c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>
        <v>30</v>
      </c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>
        <v>20</v>
      </c>
      <c r="ER415" s="7"/>
      <c r="ES415" s="7"/>
      <c r="ET415" s="7"/>
      <c r="EU415" s="7"/>
      <c r="EV415" s="7"/>
      <c r="EW415" s="7"/>
      <c r="EX415" s="7"/>
      <c r="EY415" s="7">
        <v>10</v>
      </c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11">
        <f t="shared" si="6"/>
        <v>90</v>
      </c>
      <c r="IZ415" s="25" t="s">
        <v>25</v>
      </c>
    </row>
    <row r="416" spans="1:260" s="2" customFormat="1" ht="12.75" customHeight="1" x14ac:dyDescent="0.2">
      <c r="A416" s="28">
        <v>43346</v>
      </c>
      <c r="B416" s="31" t="s">
        <v>215</v>
      </c>
      <c r="C416" s="23"/>
      <c r="D416" s="23"/>
      <c r="E416" s="24"/>
      <c r="F416" s="24"/>
      <c r="G416" s="24"/>
      <c r="H416" s="24"/>
      <c r="I416" s="24"/>
      <c r="J416" s="24">
        <v>30</v>
      </c>
      <c r="K416" s="24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11">
        <f t="shared" si="6"/>
        <v>30</v>
      </c>
      <c r="IZ416" s="25" t="s">
        <v>25</v>
      </c>
    </row>
    <row r="417" spans="1:260" s="2" customFormat="1" ht="12.75" customHeight="1" x14ac:dyDescent="0.2">
      <c r="A417" s="28">
        <v>43347</v>
      </c>
      <c r="B417" s="31" t="s">
        <v>79</v>
      </c>
      <c r="C417" s="23"/>
      <c r="D417" s="23"/>
      <c r="E417" s="24"/>
      <c r="F417" s="24"/>
      <c r="G417" s="24"/>
      <c r="H417" s="24"/>
      <c r="I417" s="24"/>
      <c r="J417" s="24"/>
      <c r="K417" s="24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>
        <v>20</v>
      </c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>
        <v>2</v>
      </c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11">
        <f t="shared" si="6"/>
        <v>22</v>
      </c>
      <c r="IZ417" s="25" t="s">
        <v>25</v>
      </c>
    </row>
    <row r="418" spans="1:260" s="2" customFormat="1" ht="12.75" customHeight="1" x14ac:dyDescent="0.2">
      <c r="A418" s="28">
        <v>43347</v>
      </c>
      <c r="B418" s="31" t="s">
        <v>256</v>
      </c>
      <c r="C418" s="23"/>
      <c r="D418" s="23"/>
      <c r="E418" s="24"/>
      <c r="F418" s="24"/>
      <c r="G418" s="24"/>
      <c r="H418" s="24"/>
      <c r="I418" s="24"/>
      <c r="J418" s="24"/>
      <c r="K418" s="24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>
        <v>60</v>
      </c>
      <c r="CX418" s="7">
        <v>36</v>
      </c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>
        <v>40</v>
      </c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11">
        <f t="shared" si="6"/>
        <v>136</v>
      </c>
      <c r="IZ418" s="25" t="s">
        <v>25</v>
      </c>
    </row>
    <row r="419" spans="1:260" s="2" customFormat="1" ht="12.75" customHeight="1" x14ac:dyDescent="0.2">
      <c r="A419" s="28">
        <v>43347</v>
      </c>
      <c r="B419" s="32" t="s">
        <v>77</v>
      </c>
      <c r="C419" s="23"/>
      <c r="D419" s="23"/>
      <c r="E419" s="24"/>
      <c r="F419" s="24"/>
      <c r="G419" s="24"/>
      <c r="H419" s="24"/>
      <c r="I419" s="24"/>
      <c r="J419" s="24"/>
      <c r="K419" s="24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>
        <v>3</v>
      </c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/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11">
        <f t="shared" si="6"/>
        <v>3</v>
      </c>
      <c r="IZ419" s="25" t="s">
        <v>25</v>
      </c>
    </row>
    <row r="420" spans="1:260" s="2" customFormat="1" ht="12.75" customHeight="1" x14ac:dyDescent="0.2">
      <c r="A420" s="28">
        <v>43348</v>
      </c>
      <c r="B420" s="31" t="s">
        <v>273</v>
      </c>
      <c r="C420" s="23"/>
      <c r="D420" s="23"/>
      <c r="E420" s="24"/>
      <c r="F420" s="24"/>
      <c r="G420" s="24"/>
      <c r="H420" s="24"/>
      <c r="I420" s="24"/>
      <c r="J420" s="24"/>
      <c r="K420" s="24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/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>
        <v>11</v>
      </c>
      <c r="IR420" s="7"/>
      <c r="IS420" s="7"/>
      <c r="IT420" s="7"/>
      <c r="IU420" s="7"/>
      <c r="IV420" s="7"/>
      <c r="IW420" s="7"/>
      <c r="IX420" s="7"/>
      <c r="IY420" s="11">
        <f t="shared" si="6"/>
        <v>11</v>
      </c>
      <c r="IZ420" s="25" t="s">
        <v>57</v>
      </c>
    </row>
    <row r="421" spans="1:260" s="2" customFormat="1" ht="12.75" customHeight="1" x14ac:dyDescent="0.2">
      <c r="A421" s="28">
        <v>43348</v>
      </c>
      <c r="B421" s="31" t="s">
        <v>244</v>
      </c>
      <c r="C421" s="23"/>
      <c r="D421" s="23"/>
      <c r="E421" s="24"/>
      <c r="F421" s="24"/>
      <c r="G421" s="24"/>
      <c r="H421" s="24"/>
      <c r="I421" s="24"/>
      <c r="J421" s="24"/>
      <c r="K421" s="24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>
        <v>1</v>
      </c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/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11">
        <f t="shared" si="6"/>
        <v>1</v>
      </c>
      <c r="IZ421" s="25" t="s">
        <v>25</v>
      </c>
    </row>
    <row r="422" spans="1:260" s="2" customFormat="1" ht="12.75" customHeight="1" x14ac:dyDescent="0.2">
      <c r="A422" s="28">
        <v>43348</v>
      </c>
      <c r="B422" s="31" t="s">
        <v>173</v>
      </c>
      <c r="C422" s="23"/>
      <c r="D422" s="23"/>
      <c r="E422" s="24"/>
      <c r="F422" s="24"/>
      <c r="G422" s="24"/>
      <c r="H422" s="24"/>
      <c r="I422" s="24"/>
      <c r="J422" s="24"/>
      <c r="K422" s="24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>
        <v>20</v>
      </c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/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11">
        <f t="shared" si="6"/>
        <v>20</v>
      </c>
      <c r="IZ422" s="25" t="s">
        <v>25</v>
      </c>
    </row>
    <row r="423" spans="1:260" s="2" customFormat="1" ht="12.75" customHeight="1" x14ac:dyDescent="0.2">
      <c r="A423" s="28">
        <v>43349</v>
      </c>
      <c r="B423" s="33" t="s">
        <v>123</v>
      </c>
      <c r="C423" s="23"/>
      <c r="D423" s="23"/>
      <c r="E423" s="24"/>
      <c r="F423" s="24"/>
      <c r="G423" s="24"/>
      <c r="H423" s="24"/>
      <c r="I423" s="24"/>
      <c r="J423" s="24"/>
      <c r="K423" s="24"/>
      <c r="L423" s="7"/>
      <c r="M423" s="7"/>
      <c r="N423" s="7"/>
      <c r="O423" s="7"/>
      <c r="P423" s="7"/>
      <c r="Q423" s="7"/>
      <c r="R423" s="7"/>
      <c r="S423" s="7">
        <v>45</v>
      </c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>
        <v>20</v>
      </c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/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11">
        <f t="shared" si="6"/>
        <v>65</v>
      </c>
      <c r="IZ423" s="25" t="s">
        <v>25</v>
      </c>
    </row>
    <row r="424" spans="1:260" s="2" customFormat="1" ht="12.75" customHeight="1" x14ac:dyDescent="0.2">
      <c r="A424" s="28">
        <v>43349</v>
      </c>
      <c r="B424" s="31" t="s">
        <v>341</v>
      </c>
      <c r="C424" s="23"/>
      <c r="D424" s="23"/>
      <c r="E424" s="24"/>
      <c r="F424" s="24"/>
      <c r="G424" s="24"/>
      <c r="H424" s="24"/>
      <c r="I424" s="24"/>
      <c r="J424" s="24"/>
      <c r="K424" s="24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/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>
        <v>1</v>
      </c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11">
        <f t="shared" si="6"/>
        <v>1</v>
      </c>
      <c r="IZ424" s="25" t="s">
        <v>57</v>
      </c>
    </row>
    <row r="425" spans="1:260" s="2" customFormat="1" ht="12.75" customHeight="1" x14ac:dyDescent="0.2">
      <c r="A425" s="28">
        <v>43349</v>
      </c>
      <c r="B425" s="32" t="s">
        <v>250</v>
      </c>
      <c r="C425" s="23"/>
      <c r="D425" s="23"/>
      <c r="E425" s="24"/>
      <c r="F425" s="24"/>
      <c r="G425" s="24"/>
      <c r="H425" s="24"/>
      <c r="I425" s="24"/>
      <c r="J425" s="24"/>
      <c r="K425" s="24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>
        <v>60</v>
      </c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>
        <v>2</v>
      </c>
      <c r="EC425" s="7">
        <v>2</v>
      </c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/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11">
        <f t="shared" si="6"/>
        <v>64</v>
      </c>
      <c r="IZ425" s="25" t="s">
        <v>25</v>
      </c>
    </row>
    <row r="426" spans="1:260" s="2" customFormat="1" ht="12.75" customHeight="1" x14ac:dyDescent="0.2">
      <c r="A426" s="28">
        <v>43349</v>
      </c>
      <c r="B426" s="33" t="s">
        <v>29</v>
      </c>
      <c r="C426" s="23"/>
      <c r="D426" s="23"/>
      <c r="E426" s="24"/>
      <c r="F426" s="24"/>
      <c r="G426" s="24"/>
      <c r="H426" s="24"/>
      <c r="I426" s="24"/>
      <c r="J426" s="24"/>
      <c r="K426" s="24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>
        <v>10</v>
      </c>
      <c r="DU426" s="7"/>
      <c r="DV426" s="7">
        <v>20</v>
      </c>
      <c r="DW426" s="7"/>
      <c r="DX426" s="7"/>
      <c r="DY426" s="7"/>
      <c r="DZ426" s="7">
        <v>9</v>
      </c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>
        <v>22</v>
      </c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>
        <v>40</v>
      </c>
      <c r="GR426" s="7"/>
      <c r="GS426" s="7"/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11">
        <f t="shared" si="6"/>
        <v>101</v>
      </c>
      <c r="IZ426" s="25" t="s">
        <v>25</v>
      </c>
    </row>
    <row r="427" spans="1:260" s="2" customFormat="1" ht="12.75" customHeight="1" x14ac:dyDescent="0.2">
      <c r="A427" s="28">
        <v>43349</v>
      </c>
      <c r="B427" s="32" t="s">
        <v>122</v>
      </c>
      <c r="C427" s="23"/>
      <c r="D427" s="23"/>
      <c r="E427" s="24"/>
      <c r="F427" s="24"/>
      <c r="G427" s="24"/>
      <c r="H427" s="24"/>
      <c r="I427" s="24"/>
      <c r="J427" s="24"/>
      <c r="K427" s="24"/>
      <c r="L427" s="7"/>
      <c r="M427" s="7"/>
      <c r="N427" s="7"/>
      <c r="O427" s="7"/>
      <c r="P427" s="7">
        <v>1.6</v>
      </c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/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/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/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11">
        <f t="shared" si="6"/>
        <v>1.6</v>
      </c>
      <c r="IZ427" s="25" t="s">
        <v>25</v>
      </c>
    </row>
    <row r="428" spans="1:260" s="2" customFormat="1" ht="12.75" customHeight="1" x14ac:dyDescent="0.2">
      <c r="A428" s="28">
        <v>43349</v>
      </c>
      <c r="B428" s="32" t="s">
        <v>136</v>
      </c>
      <c r="C428" s="23"/>
      <c r="D428" s="23"/>
      <c r="E428" s="24"/>
      <c r="F428" s="24"/>
      <c r="G428" s="24"/>
      <c r="H428" s="24"/>
      <c r="I428" s="24"/>
      <c r="J428" s="24"/>
      <c r="K428" s="24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>
        <v>30</v>
      </c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>
        <v>20</v>
      </c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11">
        <f t="shared" si="6"/>
        <v>50</v>
      </c>
      <c r="IZ428" s="25" t="s">
        <v>25</v>
      </c>
    </row>
    <row r="429" spans="1:260" s="2" customFormat="1" ht="12.75" customHeight="1" x14ac:dyDescent="0.2">
      <c r="A429" s="28">
        <v>43353</v>
      </c>
      <c r="B429" s="32" t="s">
        <v>208</v>
      </c>
      <c r="C429" s="23"/>
      <c r="D429" s="23"/>
      <c r="E429" s="24"/>
      <c r="F429" s="24"/>
      <c r="G429" s="24"/>
      <c r="H429" s="24"/>
      <c r="I429" s="24"/>
      <c r="J429" s="24"/>
      <c r="K429" s="24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>
        <v>8</v>
      </c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/>
      <c r="HW429" s="7"/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11">
        <f t="shared" si="6"/>
        <v>8</v>
      </c>
      <c r="IZ429" s="25" t="s">
        <v>25</v>
      </c>
    </row>
    <row r="430" spans="1:260" s="2" customFormat="1" ht="12.75" customHeight="1" x14ac:dyDescent="0.2">
      <c r="A430" s="28">
        <v>43353</v>
      </c>
      <c r="B430" s="31" t="s">
        <v>43</v>
      </c>
      <c r="C430" s="23"/>
      <c r="D430" s="23"/>
      <c r="E430" s="24"/>
      <c r="F430" s="24"/>
      <c r="G430" s="24"/>
      <c r="H430" s="24"/>
      <c r="I430" s="24"/>
      <c r="J430" s="24"/>
      <c r="K430" s="24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>
        <v>18</v>
      </c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/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>
        <v>20</v>
      </c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>
        <v>10</v>
      </c>
      <c r="FV430" s="7"/>
      <c r="FW430" s="7">
        <v>10</v>
      </c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/>
      <c r="GR430" s="7"/>
      <c r="GS430" s="7"/>
      <c r="GT430" s="7"/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11">
        <f t="shared" si="6"/>
        <v>58</v>
      </c>
      <c r="IZ430" s="25" t="s">
        <v>25</v>
      </c>
    </row>
    <row r="431" spans="1:260" s="2" customFormat="1" ht="12.75" customHeight="1" x14ac:dyDescent="0.2">
      <c r="A431" s="28">
        <v>43349</v>
      </c>
      <c r="B431" s="32" t="s">
        <v>315</v>
      </c>
      <c r="C431" s="23"/>
      <c r="D431" s="23"/>
      <c r="E431" s="24"/>
      <c r="F431" s="24"/>
      <c r="G431" s="24"/>
      <c r="H431" s="24"/>
      <c r="I431" s="24"/>
      <c r="J431" s="24"/>
      <c r="K431" s="24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>
        <v>10</v>
      </c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11">
        <f t="shared" si="6"/>
        <v>10</v>
      </c>
      <c r="IZ431" s="25" t="s">
        <v>25</v>
      </c>
    </row>
    <row r="432" spans="1:260" s="2" customFormat="1" ht="12.75" customHeight="1" x14ac:dyDescent="0.2">
      <c r="A432" s="28">
        <v>43349</v>
      </c>
      <c r="B432" s="32" t="s">
        <v>190</v>
      </c>
      <c r="C432" s="23"/>
      <c r="D432" s="23"/>
      <c r="E432" s="24"/>
      <c r="F432" s="24"/>
      <c r="G432" s="24"/>
      <c r="H432" s="24"/>
      <c r="I432" s="24"/>
      <c r="J432" s="24"/>
      <c r="K432" s="24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>
        <v>10</v>
      </c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11">
        <f t="shared" si="6"/>
        <v>10</v>
      </c>
      <c r="IZ432" s="25" t="s">
        <v>25</v>
      </c>
    </row>
    <row r="433" spans="1:260" s="2" customFormat="1" ht="12.75" customHeight="1" x14ac:dyDescent="0.2">
      <c r="A433" s="28">
        <v>43353</v>
      </c>
      <c r="B433" s="32" t="s">
        <v>248</v>
      </c>
      <c r="C433" s="23"/>
      <c r="D433" s="23"/>
      <c r="E433" s="24"/>
      <c r="F433" s="24"/>
      <c r="G433" s="24"/>
      <c r="H433" s="24"/>
      <c r="I433" s="24"/>
      <c r="J433" s="24"/>
      <c r="K433" s="24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/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/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>
        <v>9</v>
      </c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11">
        <f t="shared" si="6"/>
        <v>9</v>
      </c>
      <c r="IZ433" s="25" t="s">
        <v>57</v>
      </c>
    </row>
    <row r="434" spans="1:260" s="2" customFormat="1" ht="12.75" customHeight="1" x14ac:dyDescent="0.2">
      <c r="A434" s="28">
        <v>43354</v>
      </c>
      <c r="B434" s="33" t="s">
        <v>22</v>
      </c>
      <c r="C434" s="23"/>
      <c r="D434" s="23"/>
      <c r="E434" s="24"/>
      <c r="F434" s="24"/>
      <c r="G434" s="24"/>
      <c r="H434" s="24"/>
      <c r="I434" s="24"/>
      <c r="J434" s="24"/>
      <c r="K434" s="24">
        <v>120</v>
      </c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>
        <v>30</v>
      </c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100</v>
      </c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/>
      <c r="EP434" s="7"/>
      <c r="EQ434" s="7"/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/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>
        <v>100</v>
      </c>
      <c r="IU434" s="7"/>
      <c r="IV434" s="7"/>
      <c r="IW434" s="7"/>
      <c r="IX434" s="7"/>
      <c r="IY434" s="11">
        <f t="shared" si="6"/>
        <v>350</v>
      </c>
      <c r="IZ434" s="25" t="s">
        <v>25</v>
      </c>
    </row>
    <row r="435" spans="1:260" s="2" customFormat="1" ht="12.75" customHeight="1" x14ac:dyDescent="0.2">
      <c r="A435" s="28">
        <v>43354</v>
      </c>
      <c r="B435" s="33" t="s">
        <v>30</v>
      </c>
      <c r="C435" s="23"/>
      <c r="D435" s="23"/>
      <c r="E435" s="24"/>
      <c r="F435" s="24"/>
      <c r="G435" s="24"/>
      <c r="H435" s="24"/>
      <c r="I435" s="24"/>
      <c r="J435" s="24"/>
      <c r="K435" s="24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>
        <v>10</v>
      </c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9</v>
      </c>
      <c r="AS435" s="7">
        <v>9</v>
      </c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30</v>
      </c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>
        <v>10</v>
      </c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>
        <v>10</v>
      </c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11">
        <f t="shared" si="6"/>
        <v>78</v>
      </c>
      <c r="IZ435" s="25" t="s">
        <v>25</v>
      </c>
    </row>
    <row r="436" spans="1:260" s="2" customFormat="1" ht="12.75" customHeight="1" x14ac:dyDescent="0.2">
      <c r="A436" s="28">
        <v>43360</v>
      </c>
      <c r="B436" s="31" t="s">
        <v>314</v>
      </c>
      <c r="C436" s="23"/>
      <c r="D436" s="23"/>
      <c r="E436" s="24"/>
      <c r="F436" s="24"/>
      <c r="G436" s="24"/>
      <c r="H436" s="24"/>
      <c r="I436" s="24"/>
      <c r="J436" s="24"/>
      <c r="K436" s="24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/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>
        <v>1</v>
      </c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/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/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11">
        <f t="shared" si="6"/>
        <v>1</v>
      </c>
      <c r="IZ436" s="25" t="s">
        <v>25</v>
      </c>
    </row>
    <row r="437" spans="1:260" s="2" customFormat="1" ht="12.75" customHeight="1" x14ac:dyDescent="0.2">
      <c r="A437" s="28">
        <v>43360</v>
      </c>
      <c r="B437" s="33" t="s">
        <v>29</v>
      </c>
      <c r="C437" s="23"/>
      <c r="D437" s="23"/>
      <c r="E437" s="24"/>
      <c r="F437" s="24"/>
      <c r="G437" s="24"/>
      <c r="H437" s="24"/>
      <c r="I437" s="24"/>
      <c r="J437" s="24"/>
      <c r="K437" s="24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/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>
        <v>12</v>
      </c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/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11">
        <f t="shared" si="6"/>
        <v>12</v>
      </c>
      <c r="IZ437" s="25" t="s">
        <v>25</v>
      </c>
    </row>
    <row r="438" spans="1:260" s="2" customFormat="1" ht="12.75" customHeight="1" x14ac:dyDescent="0.2">
      <c r="A438" s="28">
        <v>43360</v>
      </c>
      <c r="B438" s="31" t="s">
        <v>257</v>
      </c>
      <c r="C438" s="23"/>
      <c r="D438" s="23"/>
      <c r="E438" s="24"/>
      <c r="F438" s="24"/>
      <c r="G438" s="24"/>
      <c r="H438" s="24"/>
      <c r="I438" s="24"/>
      <c r="J438" s="24"/>
      <c r="K438" s="24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>
        <v>1</v>
      </c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11">
        <f t="shared" si="6"/>
        <v>1</v>
      </c>
      <c r="IZ438" s="25" t="s">
        <v>25</v>
      </c>
    </row>
    <row r="439" spans="1:260" s="2" customFormat="1" ht="12.75" customHeight="1" x14ac:dyDescent="0.2">
      <c r="A439" s="28">
        <v>43361</v>
      </c>
      <c r="B439" s="31" t="s">
        <v>43</v>
      </c>
      <c r="C439" s="23"/>
      <c r="D439" s="23"/>
      <c r="E439" s="24"/>
      <c r="F439" s="24"/>
      <c r="G439" s="24"/>
      <c r="H439" s="24"/>
      <c r="I439" s="24"/>
      <c r="J439" s="24"/>
      <c r="K439" s="24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>
        <v>20</v>
      </c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>
        <v>10</v>
      </c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/>
      <c r="FI439" s="7"/>
      <c r="FJ439" s="7"/>
      <c r="FK439" s="7"/>
      <c r="FL439" s="7"/>
      <c r="FM439" s="7"/>
      <c r="FN439" s="7"/>
      <c r="FO439" s="7"/>
      <c r="FP439" s="7"/>
      <c r="FQ439" s="7"/>
      <c r="FR439" s="7">
        <v>10</v>
      </c>
      <c r="FS439" s="7"/>
      <c r="FT439" s="7">
        <v>20</v>
      </c>
      <c r="FU439" s="7"/>
      <c r="FV439" s="7"/>
      <c r="FW439" s="7"/>
      <c r="FX439" s="7"/>
      <c r="FY439" s="7">
        <v>10</v>
      </c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11">
        <f t="shared" si="6"/>
        <v>70</v>
      </c>
      <c r="IZ439" s="25" t="s">
        <v>25</v>
      </c>
    </row>
    <row r="440" spans="1:260" s="2" customFormat="1" ht="12.75" customHeight="1" x14ac:dyDescent="0.2">
      <c r="A440" s="28">
        <v>43361</v>
      </c>
      <c r="B440" s="31" t="s">
        <v>79</v>
      </c>
      <c r="C440" s="23"/>
      <c r="D440" s="23"/>
      <c r="E440" s="24"/>
      <c r="F440" s="24"/>
      <c r="G440" s="24"/>
      <c r="H440" s="24"/>
      <c r="I440" s="24"/>
      <c r="J440" s="24"/>
      <c r="K440" s="24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>
        <v>40</v>
      </c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/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/>
      <c r="FI440" s="7"/>
      <c r="FJ440" s="7"/>
      <c r="FK440" s="7"/>
      <c r="FL440" s="7"/>
      <c r="FM440" s="7"/>
      <c r="FN440" s="7"/>
      <c r="FO440" s="7"/>
      <c r="FP440" s="7"/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11">
        <f t="shared" si="6"/>
        <v>40</v>
      </c>
      <c r="IZ440" s="25" t="s">
        <v>25</v>
      </c>
    </row>
    <row r="441" spans="1:260" s="2" customFormat="1" ht="12.75" customHeight="1" x14ac:dyDescent="0.2">
      <c r="A441" s="28">
        <v>43363</v>
      </c>
      <c r="B441" s="33" t="s">
        <v>22</v>
      </c>
      <c r="C441" s="23"/>
      <c r="D441" s="23"/>
      <c r="E441" s="24"/>
      <c r="F441" s="24"/>
      <c r="G441" s="24"/>
      <c r="H441" s="24"/>
      <c r="I441" s="24"/>
      <c r="J441" s="24"/>
      <c r="K441" s="24">
        <v>120</v>
      </c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>
        <v>50</v>
      </c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200</v>
      </c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>
        <v>60</v>
      </c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>
        <v>30</v>
      </c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>
        <v>100</v>
      </c>
      <c r="IU441" s="7"/>
      <c r="IV441" s="7"/>
      <c r="IW441" s="7"/>
      <c r="IX441" s="7"/>
      <c r="IY441" s="11">
        <f t="shared" si="6"/>
        <v>560</v>
      </c>
      <c r="IZ441" s="25" t="s">
        <v>25</v>
      </c>
    </row>
    <row r="442" spans="1:260" s="2" customFormat="1" ht="1.5" customHeight="1" x14ac:dyDescent="0.2">
      <c r="A442" s="28">
        <v>43364</v>
      </c>
      <c r="B442" s="32" t="s">
        <v>69</v>
      </c>
      <c r="C442" s="23"/>
      <c r="D442" s="23"/>
      <c r="E442" s="24"/>
      <c r="F442" s="24"/>
      <c r="G442" s="24"/>
      <c r="H442" s="24"/>
      <c r="I442" s="24"/>
      <c r="J442" s="24"/>
      <c r="K442" s="24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>
        <v>10</v>
      </c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11">
        <f t="shared" si="6"/>
        <v>10</v>
      </c>
      <c r="IZ442" s="25" t="s">
        <v>25</v>
      </c>
    </row>
    <row r="443" spans="1:260" s="2" customFormat="1" ht="12.75" customHeight="1" x14ac:dyDescent="0.2">
      <c r="A443" s="28">
        <v>43364</v>
      </c>
      <c r="B443" s="32" t="s">
        <v>153</v>
      </c>
      <c r="C443" s="23"/>
      <c r="D443" s="23"/>
      <c r="E443" s="24"/>
      <c r="F443" s="24"/>
      <c r="G443" s="24"/>
      <c r="H443" s="24"/>
      <c r="I443" s="24"/>
      <c r="J443" s="24"/>
      <c r="K443" s="24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>
        <v>10</v>
      </c>
      <c r="BN443" s="7">
        <v>48</v>
      </c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>
        <v>3.6</v>
      </c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11">
        <f t="shared" si="6"/>
        <v>61.6</v>
      </c>
      <c r="IZ443" s="25" t="s">
        <v>25</v>
      </c>
    </row>
    <row r="444" spans="1:260" s="2" customFormat="1" ht="12.75" customHeight="1" x14ac:dyDescent="0.2">
      <c r="A444" s="28">
        <v>43364</v>
      </c>
      <c r="B444" s="33" t="s">
        <v>22</v>
      </c>
      <c r="C444" s="23"/>
      <c r="D444" s="23"/>
      <c r="E444" s="24"/>
      <c r="F444" s="24"/>
      <c r="G444" s="24"/>
      <c r="H444" s="24"/>
      <c r="I444" s="24"/>
      <c r="J444" s="24"/>
      <c r="K444" s="24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/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/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>
        <v>50</v>
      </c>
      <c r="IU444" s="7"/>
      <c r="IV444" s="7"/>
      <c r="IW444" s="7"/>
      <c r="IX444" s="7"/>
      <c r="IY444" s="11">
        <f t="shared" si="6"/>
        <v>50</v>
      </c>
      <c r="IZ444" s="25" t="s">
        <v>83</v>
      </c>
    </row>
    <row r="445" spans="1:260" s="2" customFormat="1" ht="12.75" customHeight="1" x14ac:dyDescent="0.2">
      <c r="A445" s="28">
        <v>43374</v>
      </c>
      <c r="B445" s="32" t="s">
        <v>301</v>
      </c>
      <c r="C445" s="23"/>
      <c r="D445" s="23"/>
      <c r="E445" s="24"/>
      <c r="F445" s="24"/>
      <c r="G445" s="24"/>
      <c r="H445" s="24"/>
      <c r="I445" s="24"/>
      <c r="J445" s="24"/>
      <c r="K445" s="24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>
        <v>3</v>
      </c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>
        <v>7</v>
      </c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>
        <v>25</v>
      </c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11">
        <f t="shared" si="6"/>
        <v>35</v>
      </c>
      <c r="IZ445" s="25" t="s">
        <v>57</v>
      </c>
    </row>
    <row r="446" spans="1:260" s="2" customFormat="1" ht="12.75" customHeight="1" x14ac:dyDescent="0.2">
      <c r="A446" s="28">
        <v>43367</v>
      </c>
      <c r="B446" s="32" t="s">
        <v>248</v>
      </c>
      <c r="C446" s="23"/>
      <c r="D446" s="23"/>
      <c r="E446" s="24"/>
      <c r="F446" s="24"/>
      <c r="G446" s="24"/>
      <c r="H446" s="24"/>
      <c r="I446" s="24"/>
      <c r="J446" s="24"/>
      <c r="K446" s="24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/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>
        <v>4.5</v>
      </c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11">
        <f t="shared" si="6"/>
        <v>4.5</v>
      </c>
      <c r="IZ446" s="25" t="s">
        <v>57</v>
      </c>
    </row>
    <row r="447" spans="1:260" s="2" customFormat="1" ht="12.75" customHeight="1" x14ac:dyDescent="0.2">
      <c r="A447" s="28">
        <v>43368</v>
      </c>
      <c r="B447" s="32" t="s">
        <v>317</v>
      </c>
      <c r="C447" s="23"/>
      <c r="D447" s="23"/>
      <c r="E447" s="24"/>
      <c r="F447" s="24"/>
      <c r="G447" s="24"/>
      <c r="H447" s="24"/>
      <c r="I447" s="24"/>
      <c r="J447" s="24"/>
      <c r="K447" s="24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/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/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>
        <v>2</v>
      </c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11">
        <f t="shared" si="6"/>
        <v>2</v>
      </c>
      <c r="IZ447" s="25" t="s">
        <v>57</v>
      </c>
    </row>
    <row r="448" spans="1:260" s="2" customFormat="1" ht="12.75" customHeight="1" x14ac:dyDescent="0.2">
      <c r="A448" s="28">
        <v>43368</v>
      </c>
      <c r="B448" s="31" t="s">
        <v>173</v>
      </c>
      <c r="C448" s="23"/>
      <c r="D448" s="23"/>
      <c r="E448" s="24"/>
      <c r="F448" s="24"/>
      <c r="G448" s="24"/>
      <c r="H448" s="24"/>
      <c r="I448" s="24"/>
      <c r="J448" s="24"/>
      <c r="K448" s="24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>
        <v>20</v>
      </c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11">
        <f t="shared" si="6"/>
        <v>20</v>
      </c>
      <c r="IZ448" s="25" t="s">
        <v>25</v>
      </c>
    </row>
    <row r="449" spans="1:260" s="2" customFormat="1" ht="12.75" customHeight="1" x14ac:dyDescent="0.2">
      <c r="A449" s="28">
        <v>43369</v>
      </c>
      <c r="B449" s="33" t="s">
        <v>318</v>
      </c>
      <c r="C449" s="23"/>
      <c r="D449" s="23"/>
      <c r="E449" s="24"/>
      <c r="F449" s="24"/>
      <c r="G449" s="24"/>
      <c r="H449" s="24"/>
      <c r="I449" s="24"/>
      <c r="J449" s="24"/>
      <c r="K449" s="24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>
        <v>25</v>
      </c>
      <c r="IV449" s="7"/>
      <c r="IW449" s="7"/>
      <c r="IX449" s="7"/>
      <c r="IY449" s="11">
        <f t="shared" si="6"/>
        <v>25</v>
      </c>
      <c r="IZ449" s="25" t="s">
        <v>83</v>
      </c>
    </row>
    <row r="450" spans="1:260" s="2" customFormat="1" ht="12.75" customHeight="1" x14ac:dyDescent="0.2">
      <c r="A450" s="28">
        <v>43369</v>
      </c>
      <c r="B450" s="31" t="s">
        <v>316</v>
      </c>
      <c r="C450" s="23"/>
      <c r="D450" s="23"/>
      <c r="E450" s="24"/>
      <c r="F450" s="24"/>
      <c r="G450" s="24"/>
      <c r="H450" s="24"/>
      <c r="I450" s="24"/>
      <c r="J450" s="24"/>
      <c r="K450" s="24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>
        <v>3</v>
      </c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/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/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11">
        <f t="shared" si="6"/>
        <v>3</v>
      </c>
      <c r="IZ450" s="25" t="s">
        <v>57</v>
      </c>
    </row>
    <row r="451" spans="1:260" s="2" customFormat="1" ht="12.75" customHeight="1" x14ac:dyDescent="0.2">
      <c r="A451" s="28">
        <v>43371</v>
      </c>
      <c r="B451" s="32" t="s">
        <v>175</v>
      </c>
      <c r="C451" s="23"/>
      <c r="D451" s="23"/>
      <c r="E451" s="24"/>
      <c r="F451" s="24"/>
      <c r="G451" s="24"/>
      <c r="H451" s="24"/>
      <c r="I451" s="24"/>
      <c r="J451" s="24"/>
      <c r="K451" s="24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>
        <v>4</v>
      </c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/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/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11">
        <f t="shared" si="6"/>
        <v>4</v>
      </c>
      <c r="IZ451" s="25" t="s">
        <v>25</v>
      </c>
    </row>
    <row r="452" spans="1:260" s="2" customFormat="1" ht="12.75" customHeight="1" x14ac:dyDescent="0.2">
      <c r="A452" s="28">
        <v>43374</v>
      </c>
      <c r="B452" s="32" t="s">
        <v>167</v>
      </c>
      <c r="C452" s="23"/>
      <c r="D452" s="23"/>
      <c r="E452" s="24"/>
      <c r="F452" s="24"/>
      <c r="G452" s="24"/>
      <c r="H452" s="24"/>
      <c r="I452" s="24"/>
      <c r="J452" s="24"/>
      <c r="K452" s="24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>
        <v>10</v>
      </c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>
        <v>10</v>
      </c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>
        <v>1</v>
      </c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11">
        <f t="shared" si="6"/>
        <v>21</v>
      </c>
      <c r="IZ452" s="25" t="s">
        <v>25</v>
      </c>
    </row>
    <row r="453" spans="1:260" s="2" customFormat="1" ht="12.75" customHeight="1" x14ac:dyDescent="0.2">
      <c r="A453" s="28">
        <v>43374</v>
      </c>
      <c r="B453" s="33" t="s">
        <v>29</v>
      </c>
      <c r="C453" s="23"/>
      <c r="D453" s="23"/>
      <c r="E453" s="24"/>
      <c r="F453" s="24"/>
      <c r="G453" s="24"/>
      <c r="H453" s="24"/>
      <c r="I453" s="24"/>
      <c r="J453" s="24"/>
      <c r="K453" s="24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>
        <v>20</v>
      </c>
      <c r="DU453" s="7"/>
      <c r="DV453" s="7">
        <v>10</v>
      </c>
      <c r="DW453" s="7"/>
      <c r="DX453" s="7"/>
      <c r="DY453" s="7"/>
      <c r="DZ453" s="7">
        <v>20</v>
      </c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/>
      <c r="EX453" s="7"/>
      <c r="EY453" s="7"/>
      <c r="EZ453" s="7"/>
      <c r="FA453" s="7">
        <v>33</v>
      </c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>
        <v>30</v>
      </c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11">
        <f t="shared" si="6"/>
        <v>113</v>
      </c>
      <c r="IZ453" s="25" t="s">
        <v>25</v>
      </c>
    </row>
    <row r="454" spans="1:260" s="2" customFormat="1" ht="12.75" customHeight="1" x14ac:dyDescent="0.2">
      <c r="A454" s="28">
        <v>43375</v>
      </c>
      <c r="B454" s="32" t="s">
        <v>136</v>
      </c>
      <c r="C454" s="23"/>
      <c r="D454" s="23"/>
      <c r="E454" s="24"/>
      <c r="F454" s="24"/>
      <c r="G454" s="24"/>
      <c r="H454" s="24"/>
      <c r="I454" s="24"/>
      <c r="J454" s="24"/>
      <c r="K454" s="24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>
        <v>20</v>
      </c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>
        <v>20</v>
      </c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/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11">
        <f t="shared" si="6"/>
        <v>40</v>
      </c>
      <c r="IZ454" s="25" t="s">
        <v>25</v>
      </c>
    </row>
    <row r="455" spans="1:260" s="2" customFormat="1" ht="12.75" customHeight="1" x14ac:dyDescent="0.2">
      <c r="A455" s="28">
        <v>43375</v>
      </c>
      <c r="B455" s="31" t="s">
        <v>43</v>
      </c>
      <c r="C455" s="23"/>
      <c r="D455" s="23"/>
      <c r="E455" s="24">
        <v>30</v>
      </c>
      <c r="F455" s="24"/>
      <c r="G455" s="24"/>
      <c r="H455" s="24">
        <v>10</v>
      </c>
      <c r="I455" s="24"/>
      <c r="J455" s="24"/>
      <c r="K455" s="24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>
        <v>10</v>
      </c>
      <c r="AN455" s="7"/>
      <c r="AO455" s="7"/>
      <c r="AP455" s="7"/>
      <c r="AQ455" s="7"/>
      <c r="AR455" s="7"/>
      <c r="AS455" s="7"/>
      <c r="AT455" s="7"/>
      <c r="AU455" s="7"/>
      <c r="AV455" s="7">
        <v>9</v>
      </c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>
        <v>20</v>
      </c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>
        <v>10</v>
      </c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>
        <v>20</v>
      </c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>
        <v>50</v>
      </c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>
        <v>20</v>
      </c>
      <c r="FX455" s="7"/>
      <c r="FY455" s="7"/>
      <c r="FZ455" s="7"/>
      <c r="GA455" s="7"/>
      <c r="GB455" s="7"/>
      <c r="GC455" s="7"/>
      <c r="GD455" s="7"/>
      <c r="GE455" s="7"/>
      <c r="GF455" s="7">
        <v>10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/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11">
        <f t="shared" si="6"/>
        <v>189</v>
      </c>
      <c r="IZ455" s="25" t="s">
        <v>25</v>
      </c>
    </row>
    <row r="456" spans="1:260" s="2" customFormat="1" ht="12.75" customHeight="1" x14ac:dyDescent="0.2">
      <c r="A456" s="28">
        <v>43375</v>
      </c>
      <c r="B456" s="33" t="s">
        <v>123</v>
      </c>
      <c r="C456" s="23"/>
      <c r="D456" s="23"/>
      <c r="E456" s="24"/>
      <c r="F456" s="24"/>
      <c r="G456" s="24"/>
      <c r="H456" s="24"/>
      <c r="I456" s="24"/>
      <c r="J456" s="24"/>
      <c r="K456" s="24"/>
      <c r="L456" s="7"/>
      <c r="M456" s="7"/>
      <c r="N456" s="7"/>
      <c r="O456" s="7"/>
      <c r="P456" s="7"/>
      <c r="Q456" s="7"/>
      <c r="R456" s="7"/>
      <c r="S456" s="7">
        <v>36</v>
      </c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>
        <v>30</v>
      </c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>
        <v>10</v>
      </c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11">
        <f t="shared" si="6"/>
        <v>76</v>
      </c>
      <c r="IZ456" s="25" t="s">
        <v>25</v>
      </c>
    </row>
    <row r="457" spans="1:260" s="2" customFormat="1" ht="12.75" customHeight="1" x14ac:dyDescent="0.2">
      <c r="A457" s="28">
        <v>43375</v>
      </c>
      <c r="B457" s="31" t="s">
        <v>181</v>
      </c>
      <c r="C457" s="23"/>
      <c r="D457" s="23"/>
      <c r="E457" s="24"/>
      <c r="F457" s="24"/>
      <c r="G457" s="24"/>
      <c r="H457" s="24"/>
      <c r="I457" s="24"/>
      <c r="J457" s="24"/>
      <c r="K457" s="24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>
        <v>1</v>
      </c>
      <c r="HH457" s="7"/>
      <c r="HI457" s="7"/>
      <c r="HJ457" s="7"/>
      <c r="HK457" s="7"/>
      <c r="HL457" s="7"/>
      <c r="HM457" s="7"/>
      <c r="HN457" s="7"/>
      <c r="HO457" s="7">
        <v>1</v>
      </c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11">
        <f t="shared" si="6"/>
        <v>2</v>
      </c>
      <c r="IZ457" s="25" t="s">
        <v>57</v>
      </c>
    </row>
    <row r="458" spans="1:260" s="2" customFormat="1" ht="12.75" customHeight="1" x14ac:dyDescent="0.2">
      <c r="A458" s="28">
        <v>43375</v>
      </c>
      <c r="B458" s="32" t="s">
        <v>255</v>
      </c>
      <c r="C458" s="23"/>
      <c r="D458" s="23"/>
      <c r="E458" s="24"/>
      <c r="F458" s="24"/>
      <c r="G458" s="24"/>
      <c r="H458" s="24"/>
      <c r="I458" s="24"/>
      <c r="J458" s="24"/>
      <c r="K458" s="24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/>
      <c r="DR458" s="7"/>
      <c r="DS458" s="7">
        <v>5</v>
      </c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11">
        <f t="shared" si="6"/>
        <v>5</v>
      </c>
      <c r="IZ458" s="25" t="s">
        <v>25</v>
      </c>
    </row>
    <row r="459" spans="1:260" s="2" customFormat="1" ht="12.75" customHeight="1" x14ac:dyDescent="0.2">
      <c r="A459" s="28">
        <v>43376</v>
      </c>
      <c r="B459" s="31" t="s">
        <v>43</v>
      </c>
      <c r="C459" s="23"/>
      <c r="D459" s="23"/>
      <c r="E459" s="24"/>
      <c r="F459" s="24"/>
      <c r="G459" s="24"/>
      <c r="H459" s="24"/>
      <c r="I459" s="24"/>
      <c r="J459" s="24"/>
      <c r="K459" s="24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>
        <v>9</v>
      </c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11">
        <f t="shared" si="6"/>
        <v>9</v>
      </c>
      <c r="IZ459" s="25" t="s">
        <v>25</v>
      </c>
    </row>
    <row r="460" spans="1:260" s="2" customFormat="1" ht="12.75" customHeight="1" x14ac:dyDescent="0.2">
      <c r="A460" s="28">
        <v>43377</v>
      </c>
      <c r="B460" s="31" t="s">
        <v>154</v>
      </c>
      <c r="C460" s="23"/>
      <c r="D460" s="23"/>
      <c r="E460" s="24"/>
      <c r="F460" s="24"/>
      <c r="G460" s="24"/>
      <c r="H460" s="24"/>
      <c r="I460" s="24"/>
      <c r="J460" s="24"/>
      <c r="K460" s="24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>
        <v>2</v>
      </c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/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11">
        <f t="shared" si="6"/>
        <v>2</v>
      </c>
      <c r="IZ460" s="25" t="s">
        <v>25</v>
      </c>
    </row>
    <row r="461" spans="1:260" s="2" customFormat="1" ht="12.75" customHeight="1" x14ac:dyDescent="0.2">
      <c r="A461" s="28">
        <v>43378</v>
      </c>
      <c r="B461" s="32" t="s">
        <v>143</v>
      </c>
      <c r="C461" s="23"/>
      <c r="D461" s="23"/>
      <c r="E461" s="24"/>
      <c r="F461" s="24"/>
      <c r="G461" s="24"/>
      <c r="H461" s="24">
        <v>1</v>
      </c>
      <c r="I461" s="24"/>
      <c r="J461" s="24"/>
      <c r="K461" s="24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>
        <v>1</v>
      </c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/>
      <c r="FM461" s="7"/>
      <c r="FN461" s="7"/>
      <c r="FO461" s="7"/>
      <c r="FP461" s="7"/>
      <c r="FQ461" s="7"/>
      <c r="FR461" s="7"/>
      <c r="FS461" s="7"/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>
        <v>1</v>
      </c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11">
        <f t="shared" si="6"/>
        <v>3</v>
      </c>
      <c r="IZ461" s="25" t="s">
        <v>25</v>
      </c>
    </row>
    <row r="462" spans="1:260" s="2" customFormat="1" ht="12.75" customHeight="1" x14ac:dyDescent="0.2">
      <c r="A462" s="28">
        <v>43381</v>
      </c>
      <c r="B462" s="31" t="s">
        <v>43</v>
      </c>
      <c r="C462" s="23"/>
      <c r="D462" s="23"/>
      <c r="E462" s="24"/>
      <c r="F462" s="24"/>
      <c r="G462" s="24"/>
      <c r="H462" s="24"/>
      <c r="I462" s="24"/>
      <c r="J462" s="24"/>
      <c r="K462" s="24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>
        <v>30</v>
      </c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>
        <v>50</v>
      </c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>
        <v>30</v>
      </c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>
        <v>27</v>
      </c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/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>
        <v>10</v>
      </c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/>
      <c r="IB462" s="7"/>
      <c r="IC462" s="7"/>
      <c r="ID462" s="7"/>
      <c r="IE462" s="7"/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11">
        <f t="shared" si="6"/>
        <v>147</v>
      </c>
      <c r="IZ462" s="25" t="s">
        <v>25</v>
      </c>
    </row>
    <row r="463" spans="1:260" s="2" customFormat="1" ht="12.75" customHeight="1" x14ac:dyDescent="0.2">
      <c r="A463" s="28">
        <v>43382</v>
      </c>
      <c r="B463" s="33" t="s">
        <v>29</v>
      </c>
      <c r="C463" s="23"/>
      <c r="D463" s="23"/>
      <c r="E463" s="24"/>
      <c r="F463" s="24"/>
      <c r="G463" s="24"/>
      <c r="H463" s="24"/>
      <c r="I463" s="24"/>
      <c r="J463" s="24"/>
      <c r="K463" s="24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/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>
        <v>80</v>
      </c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11">
        <f t="shared" si="6"/>
        <v>80</v>
      </c>
      <c r="IZ463" s="25" t="s">
        <v>25</v>
      </c>
    </row>
    <row r="464" spans="1:260" s="2" customFormat="1" ht="12.75" customHeight="1" x14ac:dyDescent="0.2">
      <c r="A464" s="28">
        <v>43382</v>
      </c>
      <c r="B464" s="31" t="s">
        <v>79</v>
      </c>
      <c r="C464" s="23"/>
      <c r="D464" s="23"/>
      <c r="E464" s="24"/>
      <c r="F464" s="24"/>
      <c r="G464" s="24"/>
      <c r="H464" s="24"/>
      <c r="I464" s="24"/>
      <c r="J464" s="24"/>
      <c r="K464" s="24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>
        <v>30</v>
      </c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>
        <v>1</v>
      </c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/>
      <c r="IW464" s="7"/>
      <c r="IX464" s="7"/>
      <c r="IY464" s="11">
        <f t="shared" si="6"/>
        <v>31</v>
      </c>
      <c r="IZ464" s="25" t="s">
        <v>25</v>
      </c>
    </row>
    <row r="465" spans="1:260" s="2" customFormat="1" ht="12.75" customHeight="1" x14ac:dyDescent="0.2">
      <c r="A465" s="28">
        <v>43382</v>
      </c>
      <c r="B465" s="31" t="s">
        <v>211</v>
      </c>
      <c r="C465" s="23"/>
      <c r="D465" s="23"/>
      <c r="E465" s="24"/>
      <c r="F465" s="24"/>
      <c r="G465" s="24"/>
      <c r="H465" s="24"/>
      <c r="I465" s="24">
        <v>19.7</v>
      </c>
      <c r="J465" s="24"/>
      <c r="K465" s="24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/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11">
        <f t="shared" si="6"/>
        <v>19.7</v>
      </c>
      <c r="IZ465" s="25" t="s">
        <v>25</v>
      </c>
    </row>
    <row r="466" spans="1:260" s="2" customFormat="1" ht="12.75" customHeight="1" x14ac:dyDescent="0.2">
      <c r="A466" s="28">
        <v>43382</v>
      </c>
      <c r="B466" s="32" t="s">
        <v>278</v>
      </c>
      <c r="C466" s="23"/>
      <c r="D466" s="23"/>
      <c r="E466" s="24"/>
      <c r="F466" s="24"/>
      <c r="G466" s="24"/>
      <c r="H466" s="24"/>
      <c r="I466" s="24"/>
      <c r="J466" s="24"/>
      <c r="K466" s="24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>
        <v>10</v>
      </c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>
        <v>10</v>
      </c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/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11">
        <f t="shared" si="6"/>
        <v>20</v>
      </c>
      <c r="IZ466" s="25" t="s">
        <v>25</v>
      </c>
    </row>
    <row r="467" spans="1:260" s="2" customFormat="1" ht="12.75" customHeight="1" x14ac:dyDescent="0.2">
      <c r="A467" s="28">
        <v>43382</v>
      </c>
      <c r="B467" s="32" t="s">
        <v>190</v>
      </c>
      <c r="C467" s="23"/>
      <c r="D467" s="23"/>
      <c r="E467" s="24"/>
      <c r="F467" s="24"/>
      <c r="G467" s="24"/>
      <c r="H467" s="24"/>
      <c r="I467" s="24"/>
      <c r="J467" s="24"/>
      <c r="K467" s="24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>
        <v>10</v>
      </c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>
        <v>10</v>
      </c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/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11">
        <f t="shared" si="6"/>
        <v>20</v>
      </c>
      <c r="IZ467" s="25" t="s">
        <v>25</v>
      </c>
    </row>
    <row r="468" spans="1:260" s="2" customFormat="1" ht="12.75" customHeight="1" x14ac:dyDescent="0.2">
      <c r="A468" s="28">
        <v>43382</v>
      </c>
      <c r="B468" s="33" t="s">
        <v>30</v>
      </c>
      <c r="C468" s="23"/>
      <c r="D468" s="23"/>
      <c r="E468" s="24"/>
      <c r="F468" s="24"/>
      <c r="G468" s="24"/>
      <c r="H468" s="24"/>
      <c r="I468" s="24"/>
      <c r="J468" s="24"/>
      <c r="K468" s="24"/>
      <c r="L468" s="7"/>
      <c r="M468" s="7"/>
      <c r="N468" s="7"/>
      <c r="O468" s="7"/>
      <c r="P468" s="7"/>
      <c r="Q468" s="7"/>
      <c r="R468" s="7"/>
      <c r="S468" s="7">
        <v>9</v>
      </c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>
        <v>10</v>
      </c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11">
        <f t="shared" si="6"/>
        <v>19</v>
      </c>
      <c r="IZ468" s="25" t="s">
        <v>25</v>
      </c>
    </row>
    <row r="469" spans="1:260" s="2" customFormat="1" ht="12.75" customHeight="1" x14ac:dyDescent="0.2">
      <c r="A469" s="28">
        <v>43382</v>
      </c>
      <c r="B469" s="32" t="s">
        <v>146</v>
      </c>
      <c r="C469" s="23"/>
      <c r="D469" s="23"/>
      <c r="E469" s="24"/>
      <c r="F469" s="24"/>
      <c r="G469" s="24"/>
      <c r="H469" s="24"/>
      <c r="I469" s="24"/>
      <c r="J469" s="24"/>
      <c r="K469" s="24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>
        <v>18</v>
      </c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11">
        <f t="shared" si="6"/>
        <v>18</v>
      </c>
      <c r="IZ469" s="25" t="s">
        <v>25</v>
      </c>
    </row>
    <row r="470" spans="1:260" s="2" customFormat="1" ht="12.75" customHeight="1" x14ac:dyDescent="0.2">
      <c r="A470" s="28">
        <v>43383</v>
      </c>
      <c r="B470" s="32" t="s">
        <v>69</v>
      </c>
      <c r="C470" s="23"/>
      <c r="D470" s="23"/>
      <c r="E470" s="24"/>
      <c r="F470" s="24"/>
      <c r="G470" s="24"/>
      <c r="H470" s="24"/>
      <c r="I470" s="24"/>
      <c r="J470" s="24"/>
      <c r="K470" s="24"/>
      <c r="L470" s="7"/>
      <c r="M470" s="7"/>
      <c r="N470" s="7"/>
      <c r="O470" s="7"/>
      <c r="P470" s="7"/>
      <c r="Q470" s="7">
        <v>8</v>
      </c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>
        <v>10</v>
      </c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>
        <v>11</v>
      </c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11">
        <f t="shared" si="6"/>
        <v>29</v>
      </c>
      <c r="IZ470" s="25" t="s">
        <v>25</v>
      </c>
    </row>
    <row r="471" spans="1:260" s="2" customFormat="1" ht="12.75" customHeight="1" x14ac:dyDescent="0.2">
      <c r="A471" s="28">
        <v>43383</v>
      </c>
      <c r="B471" s="32" t="s">
        <v>143</v>
      </c>
      <c r="C471" s="23"/>
      <c r="D471" s="23"/>
      <c r="E471" s="24"/>
      <c r="F471" s="24"/>
      <c r="G471" s="24"/>
      <c r="H471" s="24"/>
      <c r="I471" s="24"/>
      <c r="J471" s="24"/>
      <c r="K471" s="24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>
        <v>0.9</v>
      </c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/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11">
        <f t="shared" si="6"/>
        <v>0.9</v>
      </c>
      <c r="IZ471" s="25" t="s">
        <v>25</v>
      </c>
    </row>
    <row r="472" spans="1:260" s="2" customFormat="1" ht="12.75" customHeight="1" x14ac:dyDescent="0.2">
      <c r="A472" s="28">
        <v>43383</v>
      </c>
      <c r="B472" s="32" t="s">
        <v>250</v>
      </c>
      <c r="C472" s="23"/>
      <c r="D472" s="23"/>
      <c r="E472" s="24"/>
      <c r="F472" s="24"/>
      <c r="G472" s="24"/>
      <c r="H472" s="24"/>
      <c r="I472" s="24"/>
      <c r="J472" s="24"/>
      <c r="K472" s="24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>
        <v>60</v>
      </c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/>
      <c r="FQ472" s="7"/>
      <c r="FR472" s="7"/>
      <c r="FS472" s="7"/>
      <c r="FT472" s="7"/>
      <c r="FU472" s="7"/>
      <c r="FV472" s="7"/>
      <c r="FW472" s="7"/>
      <c r="FX472" s="7"/>
      <c r="FY472" s="7"/>
      <c r="FZ472" s="7"/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/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11">
        <f t="shared" si="6"/>
        <v>60</v>
      </c>
      <c r="IZ472" s="25" t="s">
        <v>25</v>
      </c>
    </row>
    <row r="473" spans="1:260" s="2" customFormat="1" ht="12.75" customHeight="1" x14ac:dyDescent="0.2">
      <c r="A473" s="28">
        <v>43391</v>
      </c>
      <c r="B473" s="33" t="s">
        <v>51</v>
      </c>
      <c r="C473" s="23"/>
      <c r="D473" s="23"/>
      <c r="E473" s="24"/>
      <c r="F473" s="24"/>
      <c r="G473" s="24"/>
      <c r="H473" s="24"/>
      <c r="I473" s="24"/>
      <c r="J473" s="24"/>
      <c r="K473" s="24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/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/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>
        <v>40</v>
      </c>
      <c r="IT473" s="7"/>
      <c r="IU473" s="7"/>
      <c r="IV473" s="7"/>
      <c r="IW473" s="7"/>
      <c r="IX473" s="7"/>
      <c r="IY473" s="11">
        <f t="shared" ref="IY473" si="7">SUBTOTAL(9,C473:IX473)</f>
        <v>40</v>
      </c>
      <c r="IZ473" s="25" t="s">
        <v>198</v>
      </c>
    </row>
    <row r="474" spans="1:260" s="2" customFormat="1" ht="12.75" customHeight="1" x14ac:dyDescent="0.2">
      <c r="A474" s="28">
        <v>43395</v>
      </c>
      <c r="B474" s="31" t="s">
        <v>173</v>
      </c>
      <c r="C474" s="23"/>
      <c r="D474" s="23"/>
      <c r="E474" s="24"/>
      <c r="F474" s="24"/>
      <c r="G474" s="24"/>
      <c r="H474" s="24"/>
      <c r="I474" s="24"/>
      <c r="J474" s="24"/>
      <c r="K474" s="24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>
        <v>15</v>
      </c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/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11">
        <f t="shared" si="6"/>
        <v>15</v>
      </c>
      <c r="IZ474" s="25" t="s">
        <v>25</v>
      </c>
    </row>
    <row r="475" spans="1:260" s="2" customFormat="1" ht="12.75" customHeight="1" x14ac:dyDescent="0.2">
      <c r="A475" s="28">
        <v>43395</v>
      </c>
      <c r="B475" s="31" t="s">
        <v>43</v>
      </c>
      <c r="C475" s="23"/>
      <c r="D475" s="23"/>
      <c r="E475" s="24"/>
      <c r="F475" s="24"/>
      <c r="G475" s="24"/>
      <c r="H475" s="24"/>
      <c r="I475" s="24"/>
      <c r="J475" s="24"/>
      <c r="K475" s="24"/>
      <c r="L475" s="7"/>
      <c r="M475" s="7"/>
      <c r="N475" s="7">
        <v>10</v>
      </c>
      <c r="O475" s="7"/>
      <c r="P475" s="7"/>
      <c r="Q475" s="7"/>
      <c r="R475" s="7"/>
      <c r="S475" s="7"/>
      <c r="T475" s="7"/>
      <c r="U475" s="7"/>
      <c r="V475" s="7">
        <v>20</v>
      </c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>
        <v>10</v>
      </c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>
        <v>10</v>
      </c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>
        <v>70</v>
      </c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>
        <v>20</v>
      </c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/>
      <c r="EN475" s="7"/>
      <c r="EO475" s="7"/>
      <c r="EP475" s="7"/>
      <c r="EQ475" s="7"/>
      <c r="ER475" s="7">
        <v>18</v>
      </c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>
        <v>40</v>
      </c>
      <c r="FU475" s="7"/>
      <c r="FV475" s="7"/>
      <c r="FW475" s="7">
        <v>30</v>
      </c>
      <c r="FX475" s="7"/>
      <c r="FY475" s="7">
        <v>10</v>
      </c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11">
        <f t="shared" si="6"/>
        <v>238</v>
      </c>
      <c r="IZ475" s="25" t="s">
        <v>25</v>
      </c>
    </row>
    <row r="476" spans="1:260" s="2" customFormat="1" ht="12.75" customHeight="1" x14ac:dyDescent="0.2">
      <c r="A476" s="28">
        <v>43395</v>
      </c>
      <c r="B476" s="33" t="s">
        <v>51</v>
      </c>
      <c r="C476" s="23"/>
      <c r="D476" s="23"/>
      <c r="E476" s="24"/>
      <c r="F476" s="24"/>
      <c r="G476" s="24"/>
      <c r="H476" s="24"/>
      <c r="I476" s="24"/>
      <c r="J476" s="24"/>
      <c r="K476" s="24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/>
      <c r="FJ476" s="7"/>
      <c r="FK476" s="7"/>
      <c r="FL476" s="7">
        <v>90</v>
      </c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>
        <v>25</v>
      </c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11">
        <f t="shared" si="6"/>
        <v>115</v>
      </c>
      <c r="IZ476" s="25" t="s">
        <v>25</v>
      </c>
    </row>
    <row r="477" spans="1:260" s="2" customFormat="1" ht="12.75" customHeight="1" x14ac:dyDescent="0.2">
      <c r="A477" s="28">
        <v>43395</v>
      </c>
      <c r="B477" s="31" t="s">
        <v>181</v>
      </c>
      <c r="C477" s="23"/>
      <c r="D477" s="23"/>
      <c r="E477" s="24"/>
      <c r="F477" s="24"/>
      <c r="G477" s="24"/>
      <c r="H477" s="24"/>
      <c r="I477" s="24"/>
      <c r="J477" s="24"/>
      <c r="K477" s="24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/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>
        <v>1</v>
      </c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11">
        <f t="shared" si="6"/>
        <v>1</v>
      </c>
      <c r="IZ477" s="25" t="s">
        <v>57</v>
      </c>
    </row>
    <row r="478" spans="1:260" s="2" customFormat="1" ht="13.5" customHeight="1" x14ac:dyDescent="0.2">
      <c r="A478" s="28">
        <v>43395</v>
      </c>
      <c r="B478" s="32" t="s">
        <v>248</v>
      </c>
      <c r="C478" s="23"/>
      <c r="D478" s="23"/>
      <c r="E478" s="24"/>
      <c r="F478" s="24"/>
      <c r="G478" s="24"/>
      <c r="H478" s="24"/>
      <c r="I478" s="24"/>
      <c r="J478" s="24"/>
      <c r="K478" s="24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>
        <v>1</v>
      </c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/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11">
        <f t="shared" si="6"/>
        <v>1</v>
      </c>
      <c r="IZ478" s="25" t="s">
        <v>25</v>
      </c>
    </row>
    <row r="479" spans="1:260" s="2" customFormat="1" ht="12.75" customHeight="1" x14ac:dyDescent="0.2">
      <c r="A479" s="28">
        <v>43396</v>
      </c>
      <c r="B479" s="31" t="s">
        <v>79</v>
      </c>
      <c r="C479" s="23"/>
      <c r="D479" s="23"/>
      <c r="E479" s="24"/>
      <c r="F479" s="24"/>
      <c r="G479" s="24"/>
      <c r="H479" s="24"/>
      <c r="I479" s="24"/>
      <c r="J479" s="24"/>
      <c r="K479" s="24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>
        <v>20</v>
      </c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11">
        <f t="shared" si="6"/>
        <v>20</v>
      </c>
      <c r="IZ479" s="25" t="s">
        <v>25</v>
      </c>
    </row>
    <row r="480" spans="1:260" s="2" customFormat="1" ht="12.75" customHeight="1" x14ac:dyDescent="0.2">
      <c r="A480" s="28">
        <v>43396</v>
      </c>
      <c r="B480" s="33" t="s">
        <v>29</v>
      </c>
      <c r="C480" s="23"/>
      <c r="D480" s="23"/>
      <c r="E480" s="24"/>
      <c r="F480" s="24"/>
      <c r="G480" s="24"/>
      <c r="H480" s="24"/>
      <c r="I480" s="24"/>
      <c r="J480" s="24"/>
      <c r="K480" s="24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>
        <v>10</v>
      </c>
      <c r="DU480" s="7"/>
      <c r="DV480" s="7"/>
      <c r="DW480" s="7"/>
      <c r="DX480" s="7"/>
      <c r="DY480" s="7"/>
      <c r="DZ480" s="7">
        <v>10</v>
      </c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>
        <v>11</v>
      </c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>
        <v>20</v>
      </c>
      <c r="FT480" s="7"/>
      <c r="FU480" s="7"/>
      <c r="FV480" s="7"/>
      <c r="FW480" s="7">
        <v>10</v>
      </c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>
        <v>20</v>
      </c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11">
        <f t="shared" si="6"/>
        <v>81</v>
      </c>
      <c r="IZ480" s="25" t="s">
        <v>25</v>
      </c>
    </row>
    <row r="481" spans="1:260" s="2" customFormat="1" ht="12.75" customHeight="1" x14ac:dyDescent="0.2">
      <c r="A481" s="28">
        <v>43396</v>
      </c>
      <c r="B481" s="31" t="s">
        <v>173</v>
      </c>
      <c r="C481" s="23"/>
      <c r="D481" s="23"/>
      <c r="E481" s="24"/>
      <c r="F481" s="24"/>
      <c r="G481" s="24"/>
      <c r="H481" s="24"/>
      <c r="I481" s="24"/>
      <c r="J481" s="24"/>
      <c r="K481" s="24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>
        <v>25</v>
      </c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11">
        <f t="shared" si="6"/>
        <v>25</v>
      </c>
      <c r="IZ481" s="25" t="s">
        <v>25</v>
      </c>
    </row>
    <row r="482" spans="1:260" s="2" customFormat="1" ht="12.75" customHeight="1" x14ac:dyDescent="0.2">
      <c r="A482" s="28">
        <v>43397</v>
      </c>
      <c r="B482" s="33" t="s">
        <v>22</v>
      </c>
      <c r="C482" s="23"/>
      <c r="D482" s="23"/>
      <c r="E482" s="24"/>
      <c r="F482" s="24"/>
      <c r="G482" s="24"/>
      <c r="H482" s="24"/>
      <c r="I482" s="24"/>
      <c r="J482" s="24"/>
      <c r="K482" s="24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>
        <v>5</v>
      </c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11">
        <f t="shared" si="6"/>
        <v>5</v>
      </c>
      <c r="IZ482" s="25" t="s">
        <v>57</v>
      </c>
    </row>
    <row r="483" spans="1:260" s="2" customFormat="1" ht="12.75" customHeight="1" x14ac:dyDescent="0.2">
      <c r="A483" s="28">
        <v>43397</v>
      </c>
      <c r="B483" s="32" t="s">
        <v>167</v>
      </c>
      <c r="C483" s="23"/>
      <c r="D483" s="23"/>
      <c r="E483" s="24"/>
      <c r="F483" s="24"/>
      <c r="G483" s="24"/>
      <c r="H483" s="24"/>
      <c r="I483" s="24"/>
      <c r="J483" s="24"/>
      <c r="K483" s="24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>
        <v>2</v>
      </c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/>
      <c r="FQ483" s="7"/>
      <c r="FR483" s="7"/>
      <c r="FS483" s="7"/>
      <c r="FT483" s="7"/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/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/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11">
        <f t="shared" si="6"/>
        <v>2</v>
      </c>
      <c r="IZ483" s="25" t="s">
        <v>25</v>
      </c>
    </row>
    <row r="484" spans="1:260" s="2" customFormat="1" ht="12.75" customHeight="1" x14ac:dyDescent="0.2">
      <c r="A484" s="28">
        <v>43397</v>
      </c>
      <c r="B484" s="32" t="s">
        <v>321</v>
      </c>
      <c r="C484" s="23"/>
      <c r="D484" s="23"/>
      <c r="E484" s="24"/>
      <c r="F484" s="24"/>
      <c r="G484" s="24"/>
      <c r="H484" s="24"/>
      <c r="I484" s="24"/>
      <c r="J484" s="24"/>
      <c r="K484" s="24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>
        <v>1</v>
      </c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11">
        <f t="shared" si="6"/>
        <v>1</v>
      </c>
      <c r="IZ484" s="25" t="s">
        <v>25</v>
      </c>
    </row>
    <row r="485" spans="1:260" s="2" customFormat="1" ht="12.75" customHeight="1" x14ac:dyDescent="0.2">
      <c r="A485" s="28">
        <v>43397</v>
      </c>
      <c r="B485" s="31" t="s">
        <v>249</v>
      </c>
      <c r="C485" s="23"/>
      <c r="D485" s="23"/>
      <c r="E485" s="24"/>
      <c r="F485" s="24"/>
      <c r="G485" s="24"/>
      <c r="H485" s="24"/>
      <c r="I485" s="24"/>
      <c r="J485" s="24"/>
      <c r="K485" s="24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>
        <v>20</v>
      </c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>
        <v>0.8</v>
      </c>
      <c r="FQ485" s="7"/>
      <c r="FR485" s="7"/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>
        <v>1</v>
      </c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11">
        <f t="shared" si="6"/>
        <v>21.8</v>
      </c>
      <c r="IZ485" s="25" t="s">
        <v>25</v>
      </c>
    </row>
    <row r="486" spans="1:260" s="2" customFormat="1" ht="12.75" customHeight="1" x14ac:dyDescent="0.2">
      <c r="A486" s="28">
        <v>43398</v>
      </c>
      <c r="B486" s="32" t="s">
        <v>136</v>
      </c>
      <c r="C486" s="23"/>
      <c r="D486" s="23"/>
      <c r="E486" s="24"/>
      <c r="F486" s="24"/>
      <c r="G486" s="24"/>
      <c r="H486" s="24"/>
      <c r="I486" s="24"/>
      <c r="J486" s="24"/>
      <c r="K486" s="24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>
        <v>30</v>
      </c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/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/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/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11">
        <f t="shared" si="6"/>
        <v>30</v>
      </c>
      <c r="IZ486" s="25" t="s">
        <v>25</v>
      </c>
    </row>
    <row r="487" spans="1:260" s="2" customFormat="1" ht="12.75" customHeight="1" x14ac:dyDescent="0.2">
      <c r="A487" s="28">
        <v>43398</v>
      </c>
      <c r="B487" s="32" t="s">
        <v>77</v>
      </c>
      <c r="C487" s="23"/>
      <c r="D487" s="23"/>
      <c r="E487" s="24"/>
      <c r="F487" s="24"/>
      <c r="G487" s="24"/>
      <c r="H487" s="24"/>
      <c r="I487" s="24"/>
      <c r="J487" s="24"/>
      <c r="K487" s="24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>
        <v>1</v>
      </c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>
        <v>0.8</v>
      </c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>
        <v>2</v>
      </c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11">
        <f t="shared" si="6"/>
        <v>3.8</v>
      </c>
      <c r="IZ487" s="25" t="s">
        <v>25</v>
      </c>
    </row>
    <row r="488" spans="1:260" s="2" customFormat="1" ht="12.75" customHeight="1" x14ac:dyDescent="0.2">
      <c r="A488" s="28">
        <v>43398</v>
      </c>
      <c r="B488" s="32" t="s">
        <v>250</v>
      </c>
      <c r="C488" s="23"/>
      <c r="D488" s="23"/>
      <c r="E488" s="24"/>
      <c r="F488" s="24"/>
      <c r="G488" s="24"/>
      <c r="H488" s="24"/>
      <c r="I488" s="24"/>
      <c r="J488" s="24"/>
      <c r="K488" s="24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>
        <v>80</v>
      </c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11">
        <f t="shared" si="6"/>
        <v>80</v>
      </c>
      <c r="IZ488" s="25" t="s">
        <v>25</v>
      </c>
    </row>
    <row r="489" spans="1:260" s="2" customFormat="1" ht="12.75" customHeight="1" x14ac:dyDescent="0.2">
      <c r="A489" s="28">
        <v>43398</v>
      </c>
      <c r="B489" s="31" t="s">
        <v>78</v>
      </c>
      <c r="C489" s="23"/>
      <c r="D489" s="23"/>
      <c r="E489" s="24"/>
      <c r="F489" s="24"/>
      <c r="G489" s="24"/>
      <c r="H489" s="24"/>
      <c r="I489" s="24"/>
      <c r="J489" s="24"/>
      <c r="K489" s="24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>
        <v>3.6</v>
      </c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11">
        <f t="shared" si="6"/>
        <v>3.6</v>
      </c>
      <c r="IZ489" s="25" t="s">
        <v>25</v>
      </c>
    </row>
    <row r="490" spans="1:260" s="2" customFormat="1" ht="12.75" customHeight="1" x14ac:dyDescent="0.2">
      <c r="A490" s="28">
        <v>43398</v>
      </c>
      <c r="B490" s="32" t="s">
        <v>62</v>
      </c>
      <c r="C490" s="23"/>
      <c r="D490" s="23"/>
      <c r="E490" s="24"/>
      <c r="F490" s="24"/>
      <c r="G490" s="24"/>
      <c r="H490" s="24"/>
      <c r="I490" s="24"/>
      <c r="J490" s="24"/>
      <c r="K490" s="24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>
        <v>1.8</v>
      </c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11">
        <f t="shared" si="6"/>
        <v>1.8</v>
      </c>
      <c r="IZ490" s="25" t="s">
        <v>25</v>
      </c>
    </row>
    <row r="491" spans="1:260" s="2" customFormat="1" ht="12.75" customHeight="1" x14ac:dyDescent="0.2">
      <c r="A491" s="28">
        <v>43398</v>
      </c>
      <c r="B491" s="32" t="s">
        <v>143</v>
      </c>
      <c r="C491" s="23"/>
      <c r="D491" s="23"/>
      <c r="E491" s="24">
        <v>40</v>
      </c>
      <c r="F491" s="24"/>
      <c r="G491" s="24"/>
      <c r="H491" s="24">
        <v>1</v>
      </c>
      <c r="I491" s="24"/>
      <c r="J491" s="24"/>
      <c r="K491" s="24"/>
      <c r="L491" s="7"/>
      <c r="M491" s="7">
        <v>9</v>
      </c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>
        <v>5</v>
      </c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>
        <v>1</v>
      </c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>
        <v>1</v>
      </c>
      <c r="DO491" s="7"/>
      <c r="DP491" s="7">
        <v>30</v>
      </c>
      <c r="DQ491" s="7"/>
      <c r="DR491" s="7"/>
      <c r="DS491" s="7"/>
      <c r="DT491" s="7"/>
      <c r="DU491" s="7"/>
      <c r="DV491" s="7"/>
      <c r="DW491" s="7"/>
      <c r="DX491" s="7"/>
      <c r="DY491" s="7"/>
      <c r="DZ491" s="7">
        <v>1</v>
      </c>
      <c r="EA491" s="7"/>
      <c r="EB491" s="7"/>
      <c r="EC491" s="7"/>
      <c r="ED491" s="7"/>
      <c r="EE491" s="7"/>
      <c r="EF491" s="7"/>
      <c r="EG491" s="7"/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/>
      <c r="GF491" s="7"/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11">
        <f t="shared" si="6"/>
        <v>88</v>
      </c>
      <c r="IZ491" s="25" t="s">
        <v>25</v>
      </c>
    </row>
    <row r="492" spans="1:260" s="2" customFormat="1" ht="12.75" customHeight="1" x14ac:dyDescent="0.2">
      <c r="A492" s="28">
        <v>43398</v>
      </c>
      <c r="B492" s="32" t="s">
        <v>175</v>
      </c>
      <c r="C492" s="23"/>
      <c r="D492" s="23"/>
      <c r="E492" s="24"/>
      <c r="F492" s="24"/>
      <c r="G492" s="24"/>
      <c r="H492" s="24"/>
      <c r="I492" s="24"/>
      <c r="J492" s="24"/>
      <c r="K492" s="24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>
        <v>1</v>
      </c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/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/>
      <c r="IP492" s="7"/>
      <c r="IQ492" s="7"/>
      <c r="IR492" s="7"/>
      <c r="IS492" s="7"/>
      <c r="IT492" s="7"/>
      <c r="IU492" s="7"/>
      <c r="IV492" s="7"/>
      <c r="IW492" s="7"/>
      <c r="IX492" s="7"/>
      <c r="IY492" s="11">
        <f t="shared" si="6"/>
        <v>1</v>
      </c>
      <c r="IZ492" s="25" t="s">
        <v>25</v>
      </c>
    </row>
    <row r="493" spans="1:260" s="2" customFormat="1" ht="12.75" customHeight="1" x14ac:dyDescent="0.2">
      <c r="A493" s="28">
        <v>43399</v>
      </c>
      <c r="B493" s="32" t="s">
        <v>44</v>
      </c>
      <c r="C493" s="23"/>
      <c r="D493" s="23"/>
      <c r="E493" s="24"/>
      <c r="F493" s="24"/>
      <c r="G493" s="24"/>
      <c r="H493" s="24"/>
      <c r="I493" s="24"/>
      <c r="J493" s="24"/>
      <c r="K493" s="24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>
        <v>10</v>
      </c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>
        <v>3</v>
      </c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>
        <v>5</v>
      </c>
      <c r="HT493" s="7"/>
      <c r="HU493" s="7"/>
      <c r="HV493" s="7"/>
      <c r="HW493" s="7"/>
      <c r="HX493" s="7"/>
      <c r="HY493" s="7">
        <v>1</v>
      </c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11">
        <f t="shared" si="6"/>
        <v>19</v>
      </c>
      <c r="IZ493" s="25" t="s">
        <v>25</v>
      </c>
    </row>
    <row r="494" spans="1:260" s="2" customFormat="1" ht="12.75" customHeight="1" x14ac:dyDescent="0.2">
      <c r="A494" s="28">
        <v>43402</v>
      </c>
      <c r="B494" s="31" t="s">
        <v>43</v>
      </c>
      <c r="C494" s="23"/>
      <c r="D494" s="23"/>
      <c r="E494" s="24"/>
      <c r="F494" s="24"/>
      <c r="G494" s="24"/>
      <c r="H494" s="24"/>
      <c r="I494" s="24"/>
      <c r="J494" s="24"/>
      <c r="K494" s="24"/>
      <c r="L494" s="7"/>
      <c r="M494" s="7"/>
      <c r="N494" s="7"/>
      <c r="O494" s="7"/>
      <c r="P494" s="7"/>
      <c r="Q494" s="7"/>
      <c r="R494" s="7"/>
      <c r="S494" s="7"/>
      <c r="T494" s="7">
        <v>27</v>
      </c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>
        <v>20</v>
      </c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>
        <v>10</v>
      </c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>
        <v>10</v>
      </c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/>
      <c r="EG494" s="7"/>
      <c r="EH494" s="7"/>
      <c r="EI494" s="7"/>
      <c r="EJ494" s="7"/>
      <c r="EK494" s="7"/>
      <c r="EL494" s="7"/>
      <c r="EM494" s="7"/>
      <c r="EN494" s="7"/>
      <c r="EO494" s="7"/>
      <c r="EP494" s="7"/>
      <c r="EQ494" s="7"/>
      <c r="ER494" s="7">
        <v>36</v>
      </c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11">
        <f t="shared" si="6"/>
        <v>103</v>
      </c>
      <c r="IZ494" s="25" t="s">
        <v>25</v>
      </c>
    </row>
    <row r="495" spans="1:260" s="2" customFormat="1" ht="12.75" customHeight="1" x14ac:dyDescent="0.2">
      <c r="A495" s="28">
        <v>43402</v>
      </c>
      <c r="B495" s="31" t="s">
        <v>256</v>
      </c>
      <c r="C495" s="23"/>
      <c r="D495" s="23"/>
      <c r="E495" s="24"/>
      <c r="F495" s="24"/>
      <c r="G495" s="24"/>
      <c r="H495" s="24"/>
      <c r="I495" s="24"/>
      <c r="J495" s="24"/>
      <c r="K495" s="24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>
        <v>20</v>
      </c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11">
        <f t="shared" si="6"/>
        <v>20</v>
      </c>
      <c r="IZ495" s="25" t="s">
        <v>25</v>
      </c>
    </row>
    <row r="496" spans="1:260" s="2" customFormat="1" ht="12.75" customHeight="1" x14ac:dyDescent="0.2">
      <c r="A496" s="28">
        <v>43403</v>
      </c>
      <c r="B496" s="32" t="s">
        <v>44</v>
      </c>
      <c r="C496" s="23"/>
      <c r="D496" s="23"/>
      <c r="E496" s="24"/>
      <c r="F496" s="24"/>
      <c r="G496" s="24"/>
      <c r="H496" s="24"/>
      <c r="I496" s="24"/>
      <c r="J496" s="24"/>
      <c r="K496" s="24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>
        <v>10</v>
      </c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/>
      <c r="EB496" s="7"/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/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/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/>
      <c r="HQ496" s="7"/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11">
        <f t="shared" si="6"/>
        <v>10</v>
      </c>
      <c r="IZ496" s="25" t="s">
        <v>25</v>
      </c>
    </row>
    <row r="497" spans="1:260" s="2" customFormat="1" ht="12.75" customHeight="1" x14ac:dyDescent="0.2">
      <c r="A497" s="28">
        <v>43403</v>
      </c>
      <c r="B497" s="32" t="s">
        <v>136</v>
      </c>
      <c r="C497" s="23"/>
      <c r="D497" s="23"/>
      <c r="E497" s="24"/>
      <c r="F497" s="24"/>
      <c r="G497" s="24"/>
      <c r="H497" s="24"/>
      <c r="I497" s="24"/>
      <c r="J497" s="24"/>
      <c r="K497" s="24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>
        <v>5</v>
      </c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11">
        <f t="shared" si="6"/>
        <v>5</v>
      </c>
      <c r="IZ497" s="25" t="s">
        <v>57</v>
      </c>
    </row>
    <row r="498" spans="1:260" s="2" customFormat="1" ht="12.75" customHeight="1" x14ac:dyDescent="0.2">
      <c r="A498" s="28">
        <v>43403</v>
      </c>
      <c r="B498" s="31" t="s">
        <v>79</v>
      </c>
      <c r="C498" s="23"/>
      <c r="D498" s="23"/>
      <c r="E498" s="24"/>
      <c r="F498" s="24"/>
      <c r="G498" s="24"/>
      <c r="H498" s="24"/>
      <c r="I498" s="24"/>
      <c r="J498" s="24"/>
      <c r="K498" s="24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>
        <v>1</v>
      </c>
      <c r="AD498" s="7"/>
      <c r="AE498" s="7"/>
      <c r="AF498" s="7">
        <v>30</v>
      </c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>
        <v>1</v>
      </c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>
        <v>1</v>
      </c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/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11">
        <f t="shared" si="6"/>
        <v>33</v>
      </c>
      <c r="IZ498" s="25" t="s">
        <v>25</v>
      </c>
    </row>
    <row r="499" spans="1:260" s="2" customFormat="1" ht="12.75" customHeight="1" x14ac:dyDescent="0.2">
      <c r="A499" s="28">
        <v>43403</v>
      </c>
      <c r="B499" s="32" t="s">
        <v>64</v>
      </c>
      <c r="C499" s="23"/>
      <c r="D499" s="23">
        <v>30</v>
      </c>
      <c r="E499" s="24"/>
      <c r="F499" s="24"/>
      <c r="G499" s="24"/>
      <c r="H499" s="24"/>
      <c r="I499" s="24"/>
      <c r="J499" s="24"/>
      <c r="K499" s="24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/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11">
        <f t="shared" si="6"/>
        <v>30</v>
      </c>
      <c r="IZ499" s="25" t="s">
        <v>25</v>
      </c>
    </row>
    <row r="500" spans="1:260" s="2" customFormat="1" ht="12.75" customHeight="1" x14ac:dyDescent="0.2">
      <c r="A500" s="28">
        <v>43403</v>
      </c>
      <c r="B500" s="32" t="s">
        <v>64</v>
      </c>
      <c r="C500" s="23"/>
      <c r="D500" s="23"/>
      <c r="E500" s="24"/>
      <c r="F500" s="24"/>
      <c r="G500" s="24"/>
      <c r="H500" s="24"/>
      <c r="I500" s="24"/>
      <c r="J500" s="24"/>
      <c r="K500" s="24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>
        <v>105</v>
      </c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/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/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11">
        <f t="shared" si="6"/>
        <v>105</v>
      </c>
      <c r="IZ500" s="25" t="s">
        <v>25</v>
      </c>
    </row>
    <row r="501" spans="1:260" s="2" customFormat="1" ht="12.75" customHeight="1" x14ac:dyDescent="0.2">
      <c r="A501" s="28">
        <v>43403</v>
      </c>
      <c r="B501" s="32" t="s">
        <v>322</v>
      </c>
      <c r="C501" s="23"/>
      <c r="D501" s="23"/>
      <c r="E501" s="24"/>
      <c r="F501" s="24"/>
      <c r="G501" s="24"/>
      <c r="H501" s="24"/>
      <c r="I501" s="24"/>
      <c r="J501" s="24"/>
      <c r="K501" s="24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>
        <v>0.9</v>
      </c>
      <c r="CM501" s="7"/>
      <c r="CN501" s="7"/>
      <c r="CO501" s="7"/>
      <c r="CP501" s="7"/>
      <c r="CQ501" s="7"/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>
        <v>1</v>
      </c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>
        <v>1</v>
      </c>
      <c r="IC501" s="7">
        <v>1</v>
      </c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11">
        <f t="shared" si="6"/>
        <v>3.9</v>
      </c>
      <c r="IZ501" s="25" t="s">
        <v>25</v>
      </c>
    </row>
    <row r="502" spans="1:260" s="2" customFormat="1" ht="12.75" customHeight="1" x14ac:dyDescent="0.2">
      <c r="A502" s="28">
        <v>43403</v>
      </c>
      <c r="B502" s="32" t="s">
        <v>69</v>
      </c>
      <c r="C502" s="23"/>
      <c r="D502" s="23"/>
      <c r="E502" s="24"/>
      <c r="F502" s="24"/>
      <c r="G502" s="24"/>
      <c r="H502" s="24"/>
      <c r="I502" s="24"/>
      <c r="J502" s="24"/>
      <c r="K502" s="24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>
        <v>2</v>
      </c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11">
        <f t="shared" si="6"/>
        <v>2</v>
      </c>
      <c r="IZ502" s="25" t="s">
        <v>25</v>
      </c>
    </row>
    <row r="503" spans="1:260" s="2" customFormat="1" ht="12.75" customHeight="1" x14ac:dyDescent="0.2">
      <c r="A503" s="28">
        <v>43403</v>
      </c>
      <c r="B503" s="32" t="s">
        <v>190</v>
      </c>
      <c r="C503" s="23"/>
      <c r="D503" s="23"/>
      <c r="E503" s="24"/>
      <c r="F503" s="24"/>
      <c r="G503" s="24"/>
      <c r="H503" s="24"/>
      <c r="I503" s="24"/>
      <c r="J503" s="24"/>
      <c r="K503" s="24"/>
      <c r="L503" s="7"/>
      <c r="M503" s="7"/>
      <c r="N503" s="7"/>
      <c r="O503" s="7">
        <v>10</v>
      </c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>
        <v>10</v>
      </c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/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>
        <v>10</v>
      </c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11">
        <f t="shared" si="6"/>
        <v>30</v>
      </c>
      <c r="IZ503" s="25" t="s">
        <v>25</v>
      </c>
    </row>
    <row r="504" spans="1:260" s="2" customFormat="1" ht="12.75" customHeight="1" x14ac:dyDescent="0.2">
      <c r="A504" s="28">
        <v>43404</v>
      </c>
      <c r="B504" s="32" t="s">
        <v>143</v>
      </c>
      <c r="C504" s="23"/>
      <c r="D504" s="23"/>
      <c r="E504" s="24"/>
      <c r="F504" s="24"/>
      <c r="G504" s="24"/>
      <c r="H504" s="24"/>
      <c r="I504" s="24"/>
      <c r="J504" s="24"/>
      <c r="K504" s="24"/>
      <c r="L504" s="7"/>
      <c r="M504" s="7">
        <v>27</v>
      </c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/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11">
        <f t="shared" si="6"/>
        <v>27</v>
      </c>
      <c r="IZ504" s="25" t="s">
        <v>25</v>
      </c>
    </row>
    <row r="505" spans="1:260" s="2" customFormat="1" ht="12.75" customHeight="1" x14ac:dyDescent="0.2">
      <c r="A505" s="28">
        <v>43405</v>
      </c>
      <c r="B505" s="33" t="s">
        <v>22</v>
      </c>
      <c r="C505" s="23"/>
      <c r="D505" s="23"/>
      <c r="E505" s="24"/>
      <c r="F505" s="24"/>
      <c r="G505" s="24"/>
      <c r="H505" s="24"/>
      <c r="I505" s="24"/>
      <c r="J505" s="24"/>
      <c r="K505" s="24">
        <v>120</v>
      </c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/>
      <c r="BZ505" s="7">
        <v>40</v>
      </c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100</v>
      </c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>
        <v>20</v>
      </c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/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/>
      <c r="IW505" s="7"/>
      <c r="IX505" s="7"/>
      <c r="IY505" s="11">
        <f t="shared" si="6"/>
        <v>280</v>
      </c>
      <c r="IZ505" s="25" t="s">
        <v>25</v>
      </c>
    </row>
    <row r="506" spans="1:260" s="2" customFormat="1" ht="12.75" customHeight="1" x14ac:dyDescent="0.2">
      <c r="A506" s="28">
        <v>43405</v>
      </c>
      <c r="B506" s="31" t="s">
        <v>251</v>
      </c>
      <c r="C506" s="23"/>
      <c r="D506" s="23"/>
      <c r="E506" s="24"/>
      <c r="F506" s="24"/>
      <c r="G506" s="24"/>
      <c r="H506" s="24"/>
      <c r="I506" s="24"/>
      <c r="J506" s="24"/>
      <c r="K506" s="24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>
        <v>5</v>
      </c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/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11">
        <f t="shared" si="6"/>
        <v>5</v>
      </c>
      <c r="IZ506" s="25" t="s">
        <v>25</v>
      </c>
    </row>
    <row r="507" spans="1:260" s="2" customFormat="1" ht="12.75" customHeight="1" x14ac:dyDescent="0.2">
      <c r="A507" s="28">
        <v>43405</v>
      </c>
      <c r="B507" s="33" t="s">
        <v>30</v>
      </c>
      <c r="C507" s="23"/>
      <c r="D507" s="23"/>
      <c r="E507" s="24"/>
      <c r="F507" s="24"/>
      <c r="G507" s="24"/>
      <c r="H507" s="24"/>
      <c r="I507" s="24"/>
      <c r="J507" s="24"/>
      <c r="K507" s="24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>
        <v>10</v>
      </c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>
        <v>9</v>
      </c>
      <c r="AS507" s="7">
        <v>9</v>
      </c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10</v>
      </c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>
        <v>9</v>
      </c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/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11">
        <f t="shared" si="6"/>
        <v>47</v>
      </c>
      <c r="IZ507" s="25" t="s">
        <v>25</v>
      </c>
    </row>
    <row r="508" spans="1:260" s="2" customFormat="1" ht="12.75" customHeight="1" x14ac:dyDescent="0.2">
      <c r="A508" s="28">
        <v>43405</v>
      </c>
      <c r="B508" s="32" t="s">
        <v>250</v>
      </c>
      <c r="C508" s="23"/>
      <c r="D508" s="23"/>
      <c r="E508" s="24"/>
      <c r="F508" s="24"/>
      <c r="G508" s="24"/>
      <c r="H508" s="24"/>
      <c r="I508" s="24"/>
      <c r="J508" s="24"/>
      <c r="K508" s="24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>
        <v>60</v>
      </c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/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11">
        <f t="shared" si="6"/>
        <v>60</v>
      </c>
      <c r="IZ508" s="25" t="s">
        <v>25</v>
      </c>
    </row>
    <row r="509" spans="1:260" s="2" customFormat="1" ht="12.75" customHeight="1" x14ac:dyDescent="0.2">
      <c r="A509" s="28">
        <v>43409</v>
      </c>
      <c r="B509" s="31" t="s">
        <v>256</v>
      </c>
      <c r="C509" s="23"/>
      <c r="D509" s="23"/>
      <c r="E509" s="24"/>
      <c r="F509" s="24"/>
      <c r="G509" s="24"/>
      <c r="H509" s="24"/>
      <c r="I509" s="24"/>
      <c r="J509" s="24"/>
      <c r="K509" s="24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>
        <v>9</v>
      </c>
      <c r="CX509" s="7">
        <v>54</v>
      </c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/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11">
        <f t="shared" si="6"/>
        <v>63</v>
      </c>
      <c r="IZ509" s="25" t="s">
        <v>25</v>
      </c>
    </row>
    <row r="510" spans="1:260" s="2" customFormat="1" ht="12.75" customHeight="1" x14ac:dyDescent="0.2">
      <c r="A510" s="28">
        <v>43410</v>
      </c>
      <c r="B510" s="32" t="s">
        <v>317</v>
      </c>
      <c r="C510" s="23"/>
      <c r="D510" s="23"/>
      <c r="E510" s="24"/>
      <c r="F510" s="24"/>
      <c r="G510" s="24"/>
      <c r="H510" s="24"/>
      <c r="I510" s="24"/>
      <c r="J510" s="24"/>
      <c r="K510" s="24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>
        <v>2</v>
      </c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/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11">
        <f t="shared" si="6"/>
        <v>2</v>
      </c>
      <c r="IZ510" s="25" t="s">
        <v>25</v>
      </c>
    </row>
    <row r="511" spans="1:260" s="2" customFormat="1" ht="12.75" customHeight="1" x14ac:dyDescent="0.2">
      <c r="A511" s="28">
        <v>43410</v>
      </c>
      <c r="B511" s="32" t="s">
        <v>316</v>
      </c>
      <c r="C511" s="23"/>
      <c r="D511" s="23"/>
      <c r="E511" s="24"/>
      <c r="F511" s="24"/>
      <c r="G511" s="24"/>
      <c r="H511" s="24"/>
      <c r="I511" s="24"/>
      <c r="J511" s="24"/>
      <c r="K511" s="24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>
        <v>1</v>
      </c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/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11">
        <f t="shared" si="6"/>
        <v>1</v>
      </c>
      <c r="IZ511" s="25" t="s">
        <v>57</v>
      </c>
    </row>
    <row r="512" spans="1:260" s="2" customFormat="1" ht="12.75" customHeight="1" x14ac:dyDescent="0.2">
      <c r="A512" s="28">
        <v>43410</v>
      </c>
      <c r="B512" s="32" t="s">
        <v>77</v>
      </c>
      <c r="C512" s="23"/>
      <c r="D512" s="23"/>
      <c r="E512" s="24"/>
      <c r="F512" s="24"/>
      <c r="G512" s="24"/>
      <c r="H512" s="24"/>
      <c r="I512" s="24"/>
      <c r="J512" s="24"/>
      <c r="K512" s="24"/>
      <c r="L512" s="7">
        <v>1.6</v>
      </c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>
        <v>3</v>
      </c>
      <c r="BG512" s="7"/>
      <c r="BH512" s="7"/>
      <c r="BI512" s="7"/>
      <c r="BJ512" s="7">
        <v>1</v>
      </c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>
        <v>0.8</v>
      </c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/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>
        <v>0.9</v>
      </c>
      <c r="ES512" s="7"/>
      <c r="ET512" s="7"/>
      <c r="EU512" s="7"/>
      <c r="EV512" s="7"/>
      <c r="EW512" s="7">
        <v>3</v>
      </c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>
        <v>2</v>
      </c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11">
        <f t="shared" si="6"/>
        <v>12.3</v>
      </c>
      <c r="IZ512" s="25" t="s">
        <v>25</v>
      </c>
    </row>
    <row r="513" spans="1:260" s="2" customFormat="1" ht="12.75" customHeight="1" x14ac:dyDescent="0.2">
      <c r="A513" s="28">
        <v>43410</v>
      </c>
      <c r="B513" s="32" t="s">
        <v>175</v>
      </c>
      <c r="C513" s="23"/>
      <c r="D513" s="23"/>
      <c r="E513" s="24"/>
      <c r="F513" s="24"/>
      <c r="G513" s="24"/>
      <c r="H513" s="24"/>
      <c r="I513" s="24"/>
      <c r="J513" s="24"/>
      <c r="K513" s="24"/>
      <c r="L513" s="7"/>
      <c r="M513" s="7"/>
      <c r="N513" s="7">
        <v>1</v>
      </c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>
        <v>12</v>
      </c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/>
      <c r="EP513" s="7"/>
      <c r="EQ513" s="7"/>
      <c r="ER513" s="7"/>
      <c r="ES513" s="7"/>
      <c r="ET513" s="7"/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/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11">
        <f t="shared" si="6"/>
        <v>13</v>
      </c>
      <c r="IZ513" s="25" t="s">
        <v>25</v>
      </c>
    </row>
    <row r="514" spans="1:260" s="2" customFormat="1" ht="12.75" customHeight="1" x14ac:dyDescent="0.2">
      <c r="A514" s="28">
        <v>43410</v>
      </c>
      <c r="B514" s="31" t="s">
        <v>331</v>
      </c>
      <c r="C514" s="23"/>
      <c r="D514" s="23"/>
      <c r="E514" s="24"/>
      <c r="F514" s="24"/>
      <c r="G514" s="24"/>
      <c r="H514" s="24"/>
      <c r="I514" s="24"/>
      <c r="J514" s="24"/>
      <c r="K514" s="24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>
        <v>0.8</v>
      </c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11">
        <f t="shared" si="6"/>
        <v>0.8</v>
      </c>
      <c r="IZ514" s="25" t="s">
        <v>25</v>
      </c>
    </row>
    <row r="515" spans="1:260" s="2" customFormat="1" ht="12.75" customHeight="1" x14ac:dyDescent="0.2">
      <c r="A515" s="28">
        <v>43409</v>
      </c>
      <c r="B515" s="31" t="s">
        <v>43</v>
      </c>
      <c r="C515" s="23"/>
      <c r="D515" s="23"/>
      <c r="E515" s="24"/>
      <c r="F515" s="24"/>
      <c r="G515" s="24"/>
      <c r="H515" s="24"/>
      <c r="I515" s="24"/>
      <c r="J515" s="24"/>
      <c r="K515" s="24"/>
      <c r="L515" s="7"/>
      <c r="M515" s="7"/>
      <c r="N515" s="7">
        <v>20</v>
      </c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>
        <v>30</v>
      </c>
      <c r="AN515" s="7"/>
      <c r="AO515" s="7"/>
      <c r="AP515" s="7"/>
      <c r="AQ515" s="7"/>
      <c r="AR515" s="7"/>
      <c r="AS515" s="7"/>
      <c r="AT515" s="7"/>
      <c r="AU515" s="7"/>
      <c r="AV515" s="7">
        <v>27</v>
      </c>
      <c r="AW515" s="7"/>
      <c r="AX515" s="7"/>
      <c r="AY515" s="7"/>
      <c r="AZ515" s="7"/>
      <c r="BA515" s="7"/>
      <c r="BB515" s="7"/>
      <c r="BC515" s="7"/>
      <c r="BD515" s="7"/>
      <c r="BE515" s="7"/>
      <c r="BF515" s="7">
        <v>10</v>
      </c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>
        <v>10</v>
      </c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>
        <v>10</v>
      </c>
      <c r="DQ515" s="7"/>
      <c r="DR515" s="7"/>
      <c r="DS515" s="7"/>
      <c r="DT515" s="7"/>
      <c r="DU515" s="7"/>
      <c r="DV515" s="7">
        <v>30</v>
      </c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/>
      <c r="EL515" s="7"/>
      <c r="EM515" s="7"/>
      <c r="EN515" s="7"/>
      <c r="EO515" s="7"/>
      <c r="EP515" s="7"/>
      <c r="EQ515" s="7">
        <v>30</v>
      </c>
      <c r="ER515" s="7">
        <v>27</v>
      </c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>
        <v>10</v>
      </c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>
        <v>20</v>
      </c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11">
        <f t="shared" si="6"/>
        <v>224</v>
      </c>
      <c r="IZ515" s="25" t="s">
        <v>25</v>
      </c>
    </row>
    <row r="516" spans="1:260" s="2" customFormat="1" ht="12.75" customHeight="1" x14ac:dyDescent="0.2">
      <c r="A516" s="28">
        <v>43410</v>
      </c>
      <c r="B516" s="32" t="s">
        <v>69</v>
      </c>
      <c r="C516" s="23"/>
      <c r="D516" s="23"/>
      <c r="E516" s="24"/>
      <c r="F516" s="24"/>
      <c r="G516" s="24"/>
      <c r="H516" s="24"/>
      <c r="I516" s="24"/>
      <c r="J516" s="24"/>
      <c r="K516" s="24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>
        <v>9</v>
      </c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>
        <v>10</v>
      </c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11">
        <f t="shared" si="6"/>
        <v>19</v>
      </c>
      <c r="IZ516" s="25" t="s">
        <v>25</v>
      </c>
    </row>
    <row r="517" spans="1:260" s="2" customFormat="1" ht="12.75" customHeight="1" x14ac:dyDescent="0.2">
      <c r="A517" s="28">
        <v>43412</v>
      </c>
      <c r="B517" s="31" t="s">
        <v>273</v>
      </c>
      <c r="C517" s="23"/>
      <c r="D517" s="23"/>
      <c r="E517" s="24"/>
      <c r="F517" s="24"/>
      <c r="G517" s="24"/>
      <c r="H517" s="24"/>
      <c r="I517" s="24"/>
      <c r="J517" s="24"/>
      <c r="K517" s="24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>
        <v>3</v>
      </c>
      <c r="IR517" s="7"/>
      <c r="IS517" s="7"/>
      <c r="IT517" s="7"/>
      <c r="IU517" s="7"/>
      <c r="IV517" s="7"/>
      <c r="IW517" s="7"/>
      <c r="IX517" s="7"/>
      <c r="IY517" s="11">
        <f t="shared" si="6"/>
        <v>3</v>
      </c>
      <c r="IZ517" s="25" t="s">
        <v>25</v>
      </c>
    </row>
    <row r="518" spans="1:260" s="2" customFormat="1" ht="12.75" customHeight="1" x14ac:dyDescent="0.2">
      <c r="A518" s="28">
        <v>43416</v>
      </c>
      <c r="B518" s="32" t="s">
        <v>167</v>
      </c>
      <c r="C518" s="23"/>
      <c r="D518" s="23"/>
      <c r="E518" s="24"/>
      <c r="F518" s="24"/>
      <c r="G518" s="24"/>
      <c r="H518" s="24"/>
      <c r="I518" s="24"/>
      <c r="J518" s="24"/>
      <c r="K518" s="24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>
        <v>60</v>
      </c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/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11">
        <f t="shared" si="6"/>
        <v>60</v>
      </c>
      <c r="IZ518" s="25" t="s">
        <v>25</v>
      </c>
    </row>
    <row r="519" spans="1:260" s="2" customFormat="1" ht="12.75" customHeight="1" x14ac:dyDescent="0.2">
      <c r="A519" s="28">
        <v>43418</v>
      </c>
      <c r="B519" s="31" t="s">
        <v>340</v>
      </c>
      <c r="C519" s="23"/>
      <c r="D519" s="23"/>
      <c r="E519" s="24"/>
      <c r="F519" s="24"/>
      <c r="G519" s="24"/>
      <c r="H519" s="24"/>
      <c r="I519" s="24">
        <v>1</v>
      </c>
      <c r="J519" s="24"/>
      <c r="K519" s="24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>
        <v>1</v>
      </c>
      <c r="AZ519" s="7">
        <v>20</v>
      </c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>
        <v>2</v>
      </c>
      <c r="CB519" s="7"/>
      <c r="CC519" s="7"/>
      <c r="CD519" s="7"/>
      <c r="CE519" s="7"/>
      <c r="CF519" s="7">
        <v>2</v>
      </c>
      <c r="CG519" s="7"/>
      <c r="CH519" s="7"/>
      <c r="CI519" s="7"/>
      <c r="CJ519" s="7">
        <v>6</v>
      </c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>
        <v>0.9</v>
      </c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>
        <v>8</v>
      </c>
      <c r="EQ519" s="7"/>
      <c r="ER519" s="7"/>
      <c r="ES519" s="7">
        <v>0.9</v>
      </c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>
        <v>4</v>
      </c>
      <c r="GB519" s="7"/>
      <c r="GC519" s="7">
        <v>10</v>
      </c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>
        <v>2</v>
      </c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>
        <v>3.3</v>
      </c>
      <c r="IE519" s="7"/>
      <c r="IF519" s="7"/>
      <c r="IG519" s="7">
        <v>1</v>
      </c>
      <c r="IH519" s="7"/>
      <c r="II519" s="7"/>
      <c r="IJ519" s="7"/>
      <c r="IK519" s="7"/>
      <c r="IL519" s="7"/>
      <c r="IM519" s="7"/>
      <c r="IN519" s="7">
        <v>2</v>
      </c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11">
        <f t="shared" si="6"/>
        <v>64.099999999999994</v>
      </c>
      <c r="IZ519" s="25" t="s">
        <v>25</v>
      </c>
    </row>
    <row r="520" spans="1:260" s="2" customFormat="1" ht="12.75" customHeight="1" x14ac:dyDescent="0.2">
      <c r="A520" s="28">
        <v>43419</v>
      </c>
      <c r="B520" s="33" t="s">
        <v>22</v>
      </c>
      <c r="C520" s="23"/>
      <c r="D520" s="23"/>
      <c r="E520" s="24"/>
      <c r="F520" s="24"/>
      <c r="G520" s="24"/>
      <c r="H520" s="24"/>
      <c r="I520" s="24"/>
      <c r="J520" s="24"/>
      <c r="K520" s="24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>
        <v>10</v>
      </c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50</v>
      </c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/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>
        <v>10</v>
      </c>
      <c r="IM520" s="7"/>
      <c r="IN520" s="7"/>
      <c r="IO520" s="7"/>
      <c r="IP520" s="7"/>
      <c r="IQ520" s="7"/>
      <c r="IR520" s="7"/>
      <c r="IS520" s="7"/>
      <c r="IT520" s="7">
        <v>50</v>
      </c>
      <c r="IU520" s="7"/>
      <c r="IV520" s="7"/>
      <c r="IW520" s="7"/>
      <c r="IX520" s="7"/>
      <c r="IY520" s="11">
        <f t="shared" si="6"/>
        <v>120</v>
      </c>
      <c r="IZ520" s="25" t="s">
        <v>25</v>
      </c>
    </row>
    <row r="521" spans="1:260" s="2" customFormat="1" ht="12.75" customHeight="1" x14ac:dyDescent="0.2">
      <c r="A521" s="28">
        <v>43419</v>
      </c>
      <c r="B521" s="32" t="s">
        <v>69</v>
      </c>
      <c r="C521" s="23"/>
      <c r="D521" s="23"/>
      <c r="E521" s="24"/>
      <c r="F521" s="24"/>
      <c r="G521" s="24"/>
      <c r="H521" s="24"/>
      <c r="I521" s="24"/>
      <c r="J521" s="24"/>
      <c r="K521" s="24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>
        <v>9</v>
      </c>
      <c r="EJ521" s="7"/>
      <c r="EK521" s="7"/>
      <c r="EL521" s="7"/>
      <c r="EM521" s="7"/>
      <c r="EN521" s="7">
        <v>10</v>
      </c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/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/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11">
        <f t="shared" si="6"/>
        <v>19</v>
      </c>
      <c r="IZ521" s="25" t="s">
        <v>25</v>
      </c>
    </row>
    <row r="522" spans="1:260" s="2" customFormat="1" ht="12.75" customHeight="1" x14ac:dyDescent="0.2">
      <c r="A522" s="28">
        <v>43420</v>
      </c>
      <c r="B522" s="31" t="s">
        <v>43</v>
      </c>
      <c r="C522" s="23"/>
      <c r="D522" s="23"/>
      <c r="E522" s="24"/>
      <c r="F522" s="24"/>
      <c r="G522" s="24"/>
      <c r="H522" s="24">
        <v>20</v>
      </c>
      <c r="I522" s="24"/>
      <c r="J522" s="24"/>
      <c r="K522" s="24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>
        <v>10</v>
      </c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>
        <v>9</v>
      </c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>
        <v>30</v>
      </c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>
        <v>3.3</v>
      </c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/>
      <c r="GN522" s="7"/>
      <c r="GO522" s="7"/>
      <c r="GP522" s="7"/>
      <c r="GQ522" s="7"/>
      <c r="GR522" s="7">
        <v>20</v>
      </c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11">
        <f t="shared" si="6"/>
        <v>92.3</v>
      </c>
      <c r="IZ522" s="25" t="s">
        <v>25</v>
      </c>
    </row>
    <row r="523" spans="1:260" s="2" customFormat="1" ht="12.75" customHeight="1" x14ac:dyDescent="0.2">
      <c r="A523" s="28">
        <v>43420</v>
      </c>
      <c r="B523" s="32" t="s">
        <v>64</v>
      </c>
      <c r="C523" s="23"/>
      <c r="D523" s="23">
        <v>20</v>
      </c>
      <c r="E523" s="24"/>
      <c r="F523" s="24"/>
      <c r="G523" s="24"/>
      <c r="H523" s="24"/>
      <c r="I523" s="24"/>
      <c r="J523" s="24"/>
      <c r="K523" s="24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7"/>
      <c r="BT523" s="7"/>
      <c r="BU523" s="7"/>
      <c r="BV523" s="7"/>
      <c r="BW523" s="7"/>
      <c r="BX523" s="7"/>
      <c r="BY523" s="7"/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/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/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/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/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/>
      <c r="HE523" s="7"/>
      <c r="HF523" s="7"/>
      <c r="HG523" s="7"/>
      <c r="HH523" s="7"/>
      <c r="HI523" s="7"/>
      <c r="HJ523" s="7"/>
      <c r="HK523" s="7"/>
      <c r="HL523" s="7"/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/>
      <c r="IG523" s="7"/>
      <c r="IH523" s="7"/>
      <c r="II523" s="7"/>
      <c r="IJ523" s="7"/>
      <c r="IK523" s="7"/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11">
        <f t="shared" si="6"/>
        <v>20</v>
      </c>
      <c r="IZ523" s="25" t="s">
        <v>25</v>
      </c>
    </row>
    <row r="524" spans="1:260" s="2" customFormat="1" ht="12.75" customHeight="1" x14ac:dyDescent="0.2">
      <c r="A524" s="28">
        <v>43420</v>
      </c>
      <c r="B524" s="31" t="s">
        <v>316</v>
      </c>
      <c r="C524" s="23"/>
      <c r="D524" s="23"/>
      <c r="E524" s="24"/>
      <c r="F524" s="24"/>
      <c r="G524" s="24"/>
      <c r="H524" s="24"/>
      <c r="I524" s="24"/>
      <c r="J524" s="24"/>
      <c r="K524" s="24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>
        <v>4</v>
      </c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11">
        <f t="shared" si="6"/>
        <v>4</v>
      </c>
      <c r="IZ524" s="25" t="s">
        <v>57</v>
      </c>
    </row>
    <row r="525" spans="1:260" s="2" customFormat="1" ht="12.75" customHeight="1" x14ac:dyDescent="0.2">
      <c r="A525" s="28">
        <v>43420</v>
      </c>
      <c r="B525" s="32" t="s">
        <v>77</v>
      </c>
      <c r="C525" s="23"/>
      <c r="D525" s="23"/>
      <c r="E525" s="24"/>
      <c r="F525" s="24"/>
      <c r="G525" s="24"/>
      <c r="H525" s="24"/>
      <c r="I525" s="24"/>
      <c r="J525" s="24"/>
      <c r="K525" s="24"/>
      <c r="L525" s="7">
        <v>1.6</v>
      </c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>
        <v>3</v>
      </c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/>
      <c r="BY525" s="7"/>
      <c r="BZ525" s="7"/>
      <c r="CA525" s="7"/>
      <c r="CB525" s="7"/>
      <c r="CC525" s="7"/>
      <c r="CD525" s="7">
        <v>1</v>
      </c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/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/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>
        <v>3</v>
      </c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11">
        <f t="shared" si="6"/>
        <v>8.6</v>
      </c>
      <c r="IZ525" s="25" t="s">
        <v>25</v>
      </c>
    </row>
    <row r="526" spans="1:260" s="2" customFormat="1" ht="12.75" customHeight="1" x14ac:dyDescent="0.2">
      <c r="A526" s="28">
        <v>43420</v>
      </c>
      <c r="B526" s="32" t="s">
        <v>190</v>
      </c>
      <c r="C526" s="23"/>
      <c r="D526" s="23"/>
      <c r="E526" s="24"/>
      <c r="F526" s="24"/>
      <c r="G526" s="24"/>
      <c r="H526" s="24"/>
      <c r="I526" s="24"/>
      <c r="J526" s="24"/>
      <c r="K526" s="24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>
        <v>10</v>
      </c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/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11">
        <f t="shared" si="6"/>
        <v>10</v>
      </c>
      <c r="IZ526" s="25" t="s">
        <v>25</v>
      </c>
    </row>
    <row r="527" spans="1:260" s="2" customFormat="1" ht="12.75" customHeight="1" x14ac:dyDescent="0.2">
      <c r="A527" s="28">
        <v>43420</v>
      </c>
      <c r="B527" s="33" t="s">
        <v>29</v>
      </c>
      <c r="C527" s="23"/>
      <c r="D527" s="23"/>
      <c r="E527" s="24"/>
      <c r="F527" s="24"/>
      <c r="G527" s="24"/>
      <c r="H527" s="24"/>
      <c r="I527" s="24"/>
      <c r="J527" s="24"/>
      <c r="K527" s="24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>
        <v>20</v>
      </c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>
        <v>22</v>
      </c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>
        <v>80</v>
      </c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11">
        <f t="shared" si="6"/>
        <v>132</v>
      </c>
      <c r="IZ527" s="25" t="s">
        <v>25</v>
      </c>
    </row>
    <row r="528" spans="1:260" s="2" customFormat="1" ht="12.75" customHeight="1" x14ac:dyDescent="0.2">
      <c r="A528" s="28">
        <v>43423</v>
      </c>
      <c r="B528" s="31" t="s">
        <v>79</v>
      </c>
      <c r="C528" s="23"/>
      <c r="D528" s="23"/>
      <c r="E528" s="24"/>
      <c r="F528" s="24"/>
      <c r="G528" s="24"/>
      <c r="H528" s="24"/>
      <c r="I528" s="24"/>
      <c r="J528" s="24"/>
      <c r="K528" s="24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>
        <v>50</v>
      </c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/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>
        <v>2</v>
      </c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/>
      <c r="GN528" s="7"/>
      <c r="GO528" s="7"/>
      <c r="GP528" s="7"/>
      <c r="GQ528" s="7"/>
      <c r="GR528" s="7"/>
      <c r="GS528" s="7">
        <v>1</v>
      </c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11">
        <f t="shared" si="6"/>
        <v>53</v>
      </c>
      <c r="IZ528" s="25" t="s">
        <v>25</v>
      </c>
    </row>
    <row r="529" spans="1:260" s="2" customFormat="1" ht="12.75" customHeight="1" x14ac:dyDescent="0.2">
      <c r="A529" s="28">
        <v>43423</v>
      </c>
      <c r="B529" s="31" t="s">
        <v>173</v>
      </c>
      <c r="C529" s="23"/>
      <c r="D529" s="23"/>
      <c r="E529" s="24"/>
      <c r="F529" s="24"/>
      <c r="G529" s="24"/>
      <c r="H529" s="24"/>
      <c r="I529" s="24"/>
      <c r="J529" s="24"/>
      <c r="K529" s="24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>
        <v>40</v>
      </c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/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/>
      <c r="FO529" s="7"/>
      <c r="FP529" s="7"/>
      <c r="FQ529" s="7"/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/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/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11">
        <f t="shared" si="6"/>
        <v>40</v>
      </c>
      <c r="IZ529" s="25" t="s">
        <v>25</v>
      </c>
    </row>
    <row r="530" spans="1:260" s="2" customFormat="1" ht="12.75" customHeight="1" x14ac:dyDescent="0.2">
      <c r="A530" s="28">
        <v>43423</v>
      </c>
      <c r="B530" s="31" t="s">
        <v>257</v>
      </c>
      <c r="C530" s="23"/>
      <c r="D530" s="23"/>
      <c r="E530" s="24">
        <v>1</v>
      </c>
      <c r="F530" s="24"/>
      <c r="G530" s="24"/>
      <c r="H530" s="24"/>
      <c r="I530" s="24"/>
      <c r="J530" s="24"/>
      <c r="K530" s="24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/>
      <c r="EA530" s="7"/>
      <c r="EB530" s="7"/>
      <c r="EC530" s="7"/>
      <c r="ED530" s="7"/>
      <c r="EE530" s="7"/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/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/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11">
        <f t="shared" si="6"/>
        <v>1</v>
      </c>
      <c r="IZ530" s="25" t="s">
        <v>25</v>
      </c>
    </row>
    <row r="531" spans="1:260" s="2" customFormat="1" ht="12.75" customHeight="1" x14ac:dyDescent="0.2">
      <c r="A531" s="28">
        <v>43424</v>
      </c>
      <c r="B531" s="31" t="s">
        <v>249</v>
      </c>
      <c r="C531" s="23"/>
      <c r="D531" s="23"/>
      <c r="E531" s="24"/>
      <c r="F531" s="24"/>
      <c r="G531" s="24"/>
      <c r="H531" s="24"/>
      <c r="I531" s="24"/>
      <c r="J531" s="24"/>
      <c r="K531" s="24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>
        <v>10</v>
      </c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>
        <v>10</v>
      </c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>
        <v>0.9</v>
      </c>
      <c r="ES531" s="7"/>
      <c r="ET531" s="7"/>
      <c r="EU531" s="7"/>
      <c r="EV531" s="7"/>
      <c r="EW531" s="7"/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11">
        <f t="shared" si="6"/>
        <v>20.9</v>
      </c>
      <c r="IZ531" s="25" t="s">
        <v>25</v>
      </c>
    </row>
    <row r="532" spans="1:260" s="2" customFormat="1" ht="12.75" customHeight="1" x14ac:dyDescent="0.2">
      <c r="A532" s="28">
        <v>43424</v>
      </c>
      <c r="B532" s="31" t="s">
        <v>256</v>
      </c>
      <c r="C532" s="23"/>
      <c r="D532" s="23"/>
      <c r="E532" s="24"/>
      <c r="F532" s="24"/>
      <c r="G532" s="24"/>
      <c r="H532" s="24"/>
      <c r="I532" s="24"/>
      <c r="J532" s="24"/>
      <c r="K532" s="24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>
        <v>11</v>
      </c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11">
        <f t="shared" si="6"/>
        <v>11</v>
      </c>
      <c r="IZ532" s="25" t="s">
        <v>25</v>
      </c>
    </row>
    <row r="533" spans="1:260" s="2" customFormat="1" ht="12.75" customHeight="1" x14ac:dyDescent="0.2">
      <c r="A533" s="28">
        <v>43424</v>
      </c>
      <c r="B533" s="31" t="s">
        <v>341</v>
      </c>
      <c r="C533" s="23"/>
      <c r="D533" s="23"/>
      <c r="E533" s="24"/>
      <c r="F533" s="24"/>
      <c r="G533" s="24"/>
      <c r="H533" s="24"/>
      <c r="I533" s="24"/>
      <c r="J533" s="24"/>
      <c r="K533" s="24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>
        <v>1</v>
      </c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11">
        <f t="shared" si="6"/>
        <v>1</v>
      </c>
      <c r="IZ533" s="25" t="s">
        <v>57</v>
      </c>
    </row>
    <row r="534" spans="1:260" s="2" customFormat="1" ht="12.75" customHeight="1" x14ac:dyDescent="0.2">
      <c r="A534" s="28">
        <v>43425</v>
      </c>
      <c r="B534" s="32" t="s">
        <v>250</v>
      </c>
      <c r="C534" s="23"/>
      <c r="D534" s="23"/>
      <c r="E534" s="24"/>
      <c r="F534" s="24"/>
      <c r="G534" s="24"/>
      <c r="H534" s="24"/>
      <c r="I534" s="24"/>
      <c r="J534" s="24"/>
      <c r="K534" s="24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>
        <v>60</v>
      </c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/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11">
        <f t="shared" si="6"/>
        <v>60</v>
      </c>
      <c r="IZ534" s="25" t="s">
        <v>25</v>
      </c>
    </row>
    <row r="535" spans="1:260" s="2" customFormat="1" ht="12.75" customHeight="1" x14ac:dyDescent="0.2">
      <c r="A535" s="28">
        <v>43430</v>
      </c>
      <c r="B535" s="31" t="s">
        <v>58</v>
      </c>
      <c r="C535" s="23"/>
      <c r="D535" s="23"/>
      <c r="E535" s="24"/>
      <c r="F535" s="24"/>
      <c r="G535" s="24"/>
      <c r="H535" s="24"/>
      <c r="I535" s="24"/>
      <c r="J535" s="24"/>
      <c r="K535" s="24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>
        <v>10</v>
      </c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/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/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/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>
        <v>10</v>
      </c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11">
        <f t="shared" ref="IY535:IY609" si="8">SUBTOTAL(9,C535:IX535)</f>
        <v>20</v>
      </c>
      <c r="IZ535" s="25" t="s">
        <v>25</v>
      </c>
    </row>
    <row r="536" spans="1:260" s="2" customFormat="1" ht="12.75" customHeight="1" x14ac:dyDescent="0.2">
      <c r="A536" s="28">
        <v>43430</v>
      </c>
      <c r="B536" s="33" t="s">
        <v>51</v>
      </c>
      <c r="C536" s="23"/>
      <c r="D536" s="23"/>
      <c r="E536" s="24"/>
      <c r="F536" s="24"/>
      <c r="G536" s="24"/>
      <c r="H536" s="24"/>
      <c r="I536" s="24"/>
      <c r="J536" s="24"/>
      <c r="K536" s="24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>
        <v>70</v>
      </c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/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11">
        <f t="shared" si="8"/>
        <v>70</v>
      </c>
      <c r="IZ536" s="25" t="s">
        <v>25</v>
      </c>
    </row>
    <row r="537" spans="1:260" s="2" customFormat="1" ht="12.75" customHeight="1" x14ac:dyDescent="0.2">
      <c r="A537" s="28">
        <v>43430</v>
      </c>
      <c r="B537" s="31" t="s">
        <v>43</v>
      </c>
      <c r="C537" s="23"/>
      <c r="D537" s="23"/>
      <c r="E537" s="24"/>
      <c r="F537" s="24"/>
      <c r="G537" s="24"/>
      <c r="H537" s="24"/>
      <c r="I537" s="24"/>
      <c r="J537" s="24"/>
      <c r="K537" s="24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>
        <v>30</v>
      </c>
      <c r="AN537" s="7"/>
      <c r="AO537" s="7"/>
      <c r="AP537" s="7"/>
      <c r="AQ537" s="7"/>
      <c r="AR537" s="7"/>
      <c r="AS537" s="7"/>
      <c r="AT537" s="7"/>
      <c r="AU537" s="7"/>
      <c r="AV537" s="7">
        <v>44.1</v>
      </c>
      <c r="AW537" s="7"/>
      <c r="AX537" s="7"/>
      <c r="AY537" s="7"/>
      <c r="AZ537" s="7"/>
      <c r="BA537" s="7"/>
      <c r="BB537" s="7">
        <v>10</v>
      </c>
      <c r="BC537" s="7"/>
      <c r="BD537" s="7"/>
      <c r="BE537" s="7"/>
      <c r="BF537" s="7">
        <v>1</v>
      </c>
      <c r="BG537" s="7">
        <v>4</v>
      </c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/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>
        <v>10</v>
      </c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>
        <v>30</v>
      </c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11">
        <f t="shared" si="8"/>
        <v>129.1</v>
      </c>
      <c r="IZ537" s="25" t="s">
        <v>25</v>
      </c>
    </row>
    <row r="538" spans="1:260" s="2" customFormat="1" ht="12.75" customHeight="1" x14ac:dyDescent="0.2">
      <c r="A538" s="28">
        <v>43430</v>
      </c>
      <c r="B538" s="32" t="s">
        <v>278</v>
      </c>
      <c r="C538" s="23"/>
      <c r="D538" s="23"/>
      <c r="E538" s="24"/>
      <c r="F538" s="24"/>
      <c r="G538" s="24"/>
      <c r="H538" s="24"/>
      <c r="I538" s="24"/>
      <c r="J538" s="24"/>
      <c r="K538" s="24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>
        <v>10</v>
      </c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>
        <v>10</v>
      </c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/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11">
        <f t="shared" si="8"/>
        <v>20</v>
      </c>
      <c r="IZ538" s="25" t="s">
        <v>25</v>
      </c>
    </row>
    <row r="539" spans="1:260" s="2" customFormat="1" ht="12.75" customHeight="1" x14ac:dyDescent="0.2">
      <c r="A539" s="28">
        <v>43430</v>
      </c>
      <c r="B539" s="32" t="s">
        <v>314</v>
      </c>
      <c r="C539" s="23"/>
      <c r="D539" s="23"/>
      <c r="E539" s="24"/>
      <c r="F539" s="24"/>
      <c r="G539" s="24"/>
      <c r="H539" s="24"/>
      <c r="I539" s="24"/>
      <c r="J539" s="24"/>
      <c r="K539" s="24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>
        <v>1</v>
      </c>
      <c r="CV539" s="7"/>
      <c r="CW539" s="7"/>
      <c r="CX539" s="7"/>
      <c r="CY539" s="7"/>
      <c r="CZ539" s="7"/>
      <c r="DA539" s="7"/>
      <c r="DB539" s="7"/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/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11">
        <f t="shared" si="8"/>
        <v>1</v>
      </c>
      <c r="IZ539" s="25" t="s">
        <v>25</v>
      </c>
    </row>
    <row r="540" spans="1:260" s="2" customFormat="1" ht="12.75" customHeight="1" x14ac:dyDescent="0.2">
      <c r="A540" s="28">
        <v>43431</v>
      </c>
      <c r="B540" s="31" t="s">
        <v>216</v>
      </c>
      <c r="C540" s="23"/>
      <c r="D540" s="23"/>
      <c r="E540" s="24"/>
      <c r="F540" s="24"/>
      <c r="G540" s="24"/>
      <c r="H540" s="24"/>
      <c r="I540" s="24"/>
      <c r="J540" s="24"/>
      <c r="K540" s="24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>
        <v>300</v>
      </c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/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11">
        <f t="shared" si="8"/>
        <v>300</v>
      </c>
      <c r="IZ540" s="25" t="s">
        <v>25</v>
      </c>
    </row>
    <row r="541" spans="1:260" s="2" customFormat="1" ht="12.75" customHeight="1" x14ac:dyDescent="0.2">
      <c r="A541" s="28">
        <v>43431</v>
      </c>
      <c r="B541" s="31" t="s">
        <v>269</v>
      </c>
      <c r="C541" s="23"/>
      <c r="D541" s="23"/>
      <c r="E541" s="24"/>
      <c r="F541" s="24"/>
      <c r="G541" s="24"/>
      <c r="H541" s="24"/>
      <c r="I541" s="24"/>
      <c r="J541" s="24"/>
      <c r="K541" s="24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>
        <v>1</v>
      </c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>
        <v>2</v>
      </c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11">
        <f t="shared" si="8"/>
        <v>3</v>
      </c>
      <c r="IZ541" s="25" t="s">
        <v>25</v>
      </c>
    </row>
    <row r="542" spans="1:260" s="2" customFormat="1" ht="12.75" customHeight="1" x14ac:dyDescent="0.2">
      <c r="A542" s="28">
        <v>43431</v>
      </c>
      <c r="B542" s="32" t="s">
        <v>175</v>
      </c>
      <c r="C542" s="23"/>
      <c r="D542" s="23"/>
      <c r="E542" s="24"/>
      <c r="F542" s="24">
        <v>1</v>
      </c>
      <c r="G542" s="24"/>
      <c r="H542" s="24"/>
      <c r="I542" s="24"/>
      <c r="J542" s="24"/>
      <c r="K542" s="24"/>
      <c r="L542" s="7"/>
      <c r="M542" s="7"/>
      <c r="N542" s="7">
        <v>1</v>
      </c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>
        <v>18</v>
      </c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>
        <v>1</v>
      </c>
      <c r="GN542" s="7"/>
      <c r="GO542" s="7"/>
      <c r="GP542" s="7"/>
      <c r="GQ542" s="7"/>
      <c r="GR542" s="7"/>
      <c r="GS542" s="7"/>
      <c r="GT542" s="7"/>
      <c r="GU542" s="7"/>
      <c r="GV542" s="7">
        <v>1</v>
      </c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/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11">
        <f t="shared" si="8"/>
        <v>22</v>
      </c>
      <c r="IZ542" s="25" t="s">
        <v>25</v>
      </c>
    </row>
    <row r="543" spans="1:260" s="2" customFormat="1" ht="12.75" customHeight="1" x14ac:dyDescent="0.2">
      <c r="A543" s="28">
        <v>43431</v>
      </c>
      <c r="B543" s="32" t="s">
        <v>190</v>
      </c>
      <c r="C543" s="23"/>
      <c r="D543" s="23"/>
      <c r="E543" s="24"/>
      <c r="F543" s="24"/>
      <c r="G543" s="24"/>
      <c r="H543" s="24"/>
      <c r="I543" s="24"/>
      <c r="J543" s="24"/>
      <c r="K543" s="24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>
        <v>3</v>
      </c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>
        <v>10</v>
      </c>
      <c r="DM543" s="7"/>
      <c r="DN543" s="7"/>
      <c r="DO543" s="7"/>
      <c r="DP543" s="7"/>
      <c r="DQ543" s="7"/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11">
        <f t="shared" si="8"/>
        <v>13</v>
      </c>
      <c r="IZ543" s="25" t="s">
        <v>25</v>
      </c>
    </row>
    <row r="544" spans="1:260" s="2" customFormat="1" ht="12.75" customHeight="1" x14ac:dyDescent="0.2">
      <c r="A544" s="28">
        <v>43432</v>
      </c>
      <c r="B544" s="31" t="s">
        <v>303</v>
      </c>
      <c r="C544" s="23"/>
      <c r="D544" s="23"/>
      <c r="E544" s="24"/>
      <c r="F544" s="24"/>
      <c r="G544" s="24"/>
      <c r="H544" s="24"/>
      <c r="I544" s="24"/>
      <c r="J544" s="24"/>
      <c r="K544" s="24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>
        <v>1</v>
      </c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>
        <v>1</v>
      </c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>
        <v>25</v>
      </c>
      <c r="IS544" s="7"/>
      <c r="IT544" s="7"/>
      <c r="IU544" s="7"/>
      <c r="IV544" s="7"/>
      <c r="IW544" s="7"/>
      <c r="IX544" s="7"/>
      <c r="IY544" s="11">
        <f t="shared" si="8"/>
        <v>27</v>
      </c>
      <c r="IZ544" s="25" t="s">
        <v>83</v>
      </c>
    </row>
    <row r="545" spans="1:260" s="2" customFormat="1" ht="12.75" customHeight="1" x14ac:dyDescent="0.2">
      <c r="A545" s="28">
        <v>43432</v>
      </c>
      <c r="B545" s="32" t="s">
        <v>143</v>
      </c>
      <c r="C545" s="23"/>
      <c r="D545" s="23"/>
      <c r="E545" s="24">
        <v>10</v>
      </c>
      <c r="F545" s="24"/>
      <c r="G545" s="24"/>
      <c r="H545" s="24">
        <v>2</v>
      </c>
      <c r="I545" s="24"/>
      <c r="J545" s="24"/>
      <c r="K545" s="24"/>
      <c r="L545" s="7"/>
      <c r="M545" s="7">
        <v>9</v>
      </c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>
        <v>1.8</v>
      </c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>
        <v>0.9</v>
      </c>
      <c r="BF545" s="7"/>
      <c r="BG545" s="7"/>
      <c r="BH545" s="7"/>
      <c r="BI545" s="7"/>
      <c r="BJ545" s="7">
        <v>5</v>
      </c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>
        <v>20</v>
      </c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11">
        <f t="shared" si="8"/>
        <v>48.7</v>
      </c>
      <c r="IZ545" s="25" t="s">
        <v>25</v>
      </c>
    </row>
    <row r="546" spans="1:260" s="2" customFormat="1" ht="12.75" customHeight="1" x14ac:dyDescent="0.2">
      <c r="A546" s="28">
        <v>43433</v>
      </c>
      <c r="B546" s="32" t="s">
        <v>250</v>
      </c>
      <c r="C546" s="23"/>
      <c r="D546" s="23"/>
      <c r="E546" s="24"/>
      <c r="F546" s="24"/>
      <c r="G546" s="24"/>
      <c r="H546" s="24"/>
      <c r="I546" s="24"/>
      <c r="J546" s="24"/>
      <c r="K546" s="24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>
        <v>60</v>
      </c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11">
        <f t="shared" si="8"/>
        <v>60</v>
      </c>
      <c r="IZ546" s="25" t="s">
        <v>25</v>
      </c>
    </row>
    <row r="547" spans="1:260" s="2" customFormat="1" ht="12.75" customHeight="1" x14ac:dyDescent="0.2">
      <c r="A547" s="28">
        <v>43433</v>
      </c>
      <c r="B547" s="32" t="s">
        <v>167</v>
      </c>
      <c r="C547" s="23"/>
      <c r="D547" s="23"/>
      <c r="E547" s="24"/>
      <c r="F547" s="24"/>
      <c r="G547" s="24"/>
      <c r="H547" s="24"/>
      <c r="I547" s="24"/>
      <c r="J547" s="24"/>
      <c r="K547" s="24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>
        <v>20</v>
      </c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/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/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>
        <v>30</v>
      </c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11">
        <f t="shared" si="8"/>
        <v>50</v>
      </c>
      <c r="IZ547" s="25" t="s">
        <v>25</v>
      </c>
    </row>
    <row r="548" spans="1:260" s="2" customFormat="1" ht="12.75" customHeight="1" x14ac:dyDescent="0.2">
      <c r="A548" s="28">
        <v>43433</v>
      </c>
      <c r="B548" s="32" t="s">
        <v>64</v>
      </c>
      <c r="C548" s="23"/>
      <c r="D548" s="23">
        <v>60</v>
      </c>
      <c r="E548" s="24"/>
      <c r="F548" s="24"/>
      <c r="G548" s="24"/>
      <c r="H548" s="24"/>
      <c r="I548" s="24"/>
      <c r="J548" s="24"/>
      <c r="K548" s="24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/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11">
        <f t="shared" si="8"/>
        <v>60</v>
      </c>
      <c r="IZ548" s="25" t="s">
        <v>25</v>
      </c>
    </row>
    <row r="549" spans="1:260" s="2" customFormat="1" ht="12.75" customHeight="1" x14ac:dyDescent="0.2">
      <c r="A549" s="28">
        <v>43434</v>
      </c>
      <c r="B549" s="33" t="s">
        <v>22</v>
      </c>
      <c r="C549" s="23"/>
      <c r="D549" s="23"/>
      <c r="E549" s="24"/>
      <c r="F549" s="24"/>
      <c r="G549" s="24"/>
      <c r="H549" s="24"/>
      <c r="I549" s="24"/>
      <c r="J549" s="24"/>
      <c r="K549" s="24">
        <v>30</v>
      </c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>
        <v>30</v>
      </c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100</v>
      </c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>
        <v>30</v>
      </c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>
        <v>20</v>
      </c>
      <c r="IG549" s="7"/>
      <c r="IH549" s="7"/>
      <c r="II549" s="7"/>
      <c r="IJ549" s="7"/>
      <c r="IK549" s="7"/>
      <c r="IL549" s="7">
        <v>10</v>
      </c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11">
        <f t="shared" si="8"/>
        <v>220</v>
      </c>
      <c r="IZ549" s="25" t="s">
        <v>25</v>
      </c>
    </row>
    <row r="550" spans="1:260" s="2" customFormat="1" ht="12.75" customHeight="1" x14ac:dyDescent="0.2">
      <c r="A550" s="28">
        <v>43437</v>
      </c>
      <c r="B550" s="32" t="s">
        <v>62</v>
      </c>
      <c r="C550" s="23"/>
      <c r="D550" s="23"/>
      <c r="E550" s="24"/>
      <c r="F550" s="24"/>
      <c r="G550" s="24"/>
      <c r="H550" s="24"/>
      <c r="I550" s="24"/>
      <c r="J550" s="24"/>
      <c r="K550" s="24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>
        <v>1.8</v>
      </c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11">
        <f t="shared" si="8"/>
        <v>1.8</v>
      </c>
      <c r="IZ550" s="25" t="s">
        <v>25</v>
      </c>
    </row>
    <row r="551" spans="1:260" s="2" customFormat="1" ht="12.75" customHeight="1" x14ac:dyDescent="0.2">
      <c r="A551" s="28">
        <v>43437</v>
      </c>
      <c r="B551" s="31" t="s">
        <v>43</v>
      </c>
      <c r="C551" s="23"/>
      <c r="D551" s="23"/>
      <c r="E551" s="24"/>
      <c r="F551" s="24"/>
      <c r="G551" s="24"/>
      <c r="H551" s="24"/>
      <c r="I551" s="24"/>
      <c r="J551" s="24"/>
      <c r="K551" s="24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>
        <v>0.9</v>
      </c>
      <c r="AW551" s="7"/>
      <c r="AX551" s="7"/>
      <c r="AY551" s="7"/>
      <c r="AZ551" s="7"/>
      <c r="BA551" s="7"/>
      <c r="BB551" s="7"/>
      <c r="BC551" s="7"/>
      <c r="BD551" s="7"/>
      <c r="BE551" s="7"/>
      <c r="BF551" s="7">
        <v>20</v>
      </c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>
        <v>20</v>
      </c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>
        <v>20</v>
      </c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/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>
        <v>1.1000000000000001</v>
      </c>
      <c r="FY551" s="7"/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/>
      <c r="GQ551" s="7"/>
      <c r="GR551" s="7"/>
      <c r="GS551" s="7"/>
      <c r="GT551" s="7"/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11">
        <f t="shared" si="8"/>
        <v>62</v>
      </c>
      <c r="IZ551" s="25" t="s">
        <v>25</v>
      </c>
    </row>
    <row r="552" spans="1:260" s="2" customFormat="1" ht="12.75" customHeight="1" x14ac:dyDescent="0.2">
      <c r="A552" s="28">
        <v>43437</v>
      </c>
      <c r="B552" s="32" t="s">
        <v>69</v>
      </c>
      <c r="C552" s="23"/>
      <c r="D552" s="23"/>
      <c r="E552" s="24"/>
      <c r="F552" s="24"/>
      <c r="G552" s="24"/>
      <c r="H552" s="24"/>
      <c r="I552" s="24"/>
      <c r="J552" s="24"/>
      <c r="K552" s="24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/>
      <c r="DD552" s="7"/>
      <c r="DE552" s="7"/>
      <c r="DF552" s="7">
        <v>8</v>
      </c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11">
        <f t="shared" si="8"/>
        <v>8</v>
      </c>
      <c r="IZ552" s="25" t="s">
        <v>25</v>
      </c>
    </row>
    <row r="553" spans="1:260" s="2" customFormat="1" ht="12.75" customHeight="1" x14ac:dyDescent="0.2">
      <c r="A553" s="28">
        <v>43437</v>
      </c>
      <c r="B553" s="32" t="s">
        <v>248</v>
      </c>
      <c r="C553" s="23"/>
      <c r="D553" s="23"/>
      <c r="E553" s="24"/>
      <c r="F553" s="24"/>
      <c r="G553" s="24"/>
      <c r="H553" s="24"/>
      <c r="I553" s="24"/>
      <c r="J553" s="24"/>
      <c r="K553" s="24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/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>
        <v>4.5</v>
      </c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11">
        <f t="shared" si="8"/>
        <v>4.5</v>
      </c>
      <c r="IZ553" s="25" t="s">
        <v>57</v>
      </c>
    </row>
    <row r="554" spans="1:260" s="2" customFormat="1" ht="12.75" customHeight="1" x14ac:dyDescent="0.2">
      <c r="A554" s="28">
        <v>43438</v>
      </c>
      <c r="B554" s="32" t="s">
        <v>208</v>
      </c>
      <c r="C554" s="23"/>
      <c r="D554" s="23"/>
      <c r="E554" s="24"/>
      <c r="F554" s="24"/>
      <c r="G554" s="24"/>
      <c r="H554" s="24"/>
      <c r="I554" s="24"/>
      <c r="J554" s="24"/>
      <c r="K554" s="24"/>
      <c r="L554" s="7"/>
      <c r="M554" s="7"/>
      <c r="N554" s="7"/>
      <c r="O554" s="7"/>
      <c r="P554" s="7"/>
      <c r="Q554" s="7"/>
      <c r="R554" s="7">
        <v>10</v>
      </c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/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11">
        <f t="shared" si="8"/>
        <v>10</v>
      </c>
      <c r="IZ554" s="25" t="s">
        <v>25</v>
      </c>
    </row>
    <row r="555" spans="1:260" s="2" customFormat="1" ht="12.75" customHeight="1" x14ac:dyDescent="0.2">
      <c r="A555" s="28">
        <v>43439</v>
      </c>
      <c r="B555" s="32" t="s">
        <v>143</v>
      </c>
      <c r="C555" s="23"/>
      <c r="D555" s="23"/>
      <c r="E555" s="24"/>
      <c r="F555" s="24"/>
      <c r="G555" s="24"/>
      <c r="H555" s="24"/>
      <c r="I555" s="24"/>
      <c r="J555" s="24"/>
      <c r="K555" s="24"/>
      <c r="L555" s="7"/>
      <c r="M555" s="7">
        <v>9</v>
      </c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>
        <v>10</v>
      </c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>
        <v>3</v>
      </c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>
        <v>1.1000000000000001</v>
      </c>
      <c r="CD555" s="7"/>
      <c r="CE555" s="7"/>
      <c r="CF555" s="7"/>
      <c r="CG555" s="7">
        <v>10</v>
      </c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>
        <v>1</v>
      </c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>
        <v>1</v>
      </c>
      <c r="FU555" s="7"/>
      <c r="FV555" s="7"/>
      <c r="FW555" s="7"/>
      <c r="FX555" s="7"/>
      <c r="FY555" s="7"/>
      <c r="FZ555" s="7"/>
      <c r="GA555" s="7"/>
      <c r="GB555" s="7"/>
      <c r="GC555" s="7"/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>
        <v>2</v>
      </c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11">
        <f t="shared" si="8"/>
        <v>37.1</v>
      </c>
      <c r="IZ555" s="25" t="s">
        <v>25</v>
      </c>
    </row>
    <row r="556" spans="1:260" s="2" customFormat="1" ht="12.75" customHeight="1" x14ac:dyDescent="0.2">
      <c r="A556" s="28">
        <v>43439</v>
      </c>
      <c r="B556" s="31" t="s">
        <v>177</v>
      </c>
      <c r="C556" s="23"/>
      <c r="D556" s="23"/>
      <c r="E556" s="24"/>
      <c r="F556" s="24"/>
      <c r="G556" s="24"/>
      <c r="H556" s="24"/>
      <c r="I556" s="24"/>
      <c r="J556" s="24"/>
      <c r="K556" s="24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/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>
        <v>1</v>
      </c>
      <c r="HU556" s="7">
        <v>1</v>
      </c>
      <c r="HV556" s="7"/>
      <c r="HW556" s="7"/>
      <c r="HX556" s="7">
        <v>1</v>
      </c>
      <c r="HY556" s="7">
        <v>1</v>
      </c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11">
        <f t="shared" si="8"/>
        <v>4</v>
      </c>
      <c r="IZ556" s="25" t="s">
        <v>57</v>
      </c>
    </row>
    <row r="557" spans="1:260" s="2" customFormat="1" ht="12.75" customHeight="1" x14ac:dyDescent="0.2">
      <c r="A557" s="28">
        <v>43439</v>
      </c>
      <c r="B557" s="32" t="s">
        <v>250</v>
      </c>
      <c r="C557" s="23"/>
      <c r="D557" s="23"/>
      <c r="E557" s="24"/>
      <c r="F557" s="24"/>
      <c r="G557" s="24"/>
      <c r="H557" s="24"/>
      <c r="I557" s="24"/>
      <c r="J557" s="24"/>
      <c r="K557" s="24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>
        <v>60</v>
      </c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/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11">
        <f t="shared" si="8"/>
        <v>60</v>
      </c>
      <c r="IZ557" s="25" t="s">
        <v>25</v>
      </c>
    </row>
    <row r="558" spans="1:260" s="2" customFormat="1" ht="12.75" customHeight="1" x14ac:dyDescent="0.2">
      <c r="A558" s="28">
        <v>43444</v>
      </c>
      <c r="B558" s="31" t="s">
        <v>79</v>
      </c>
      <c r="C558" s="23"/>
      <c r="D558" s="23"/>
      <c r="E558" s="24"/>
      <c r="F558" s="24"/>
      <c r="G558" s="24"/>
      <c r="H558" s="24"/>
      <c r="I558" s="24"/>
      <c r="J558" s="24"/>
      <c r="K558" s="24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>
        <v>50</v>
      </c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>
        <v>1</v>
      </c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>
        <v>1</v>
      </c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>
        <v>2</v>
      </c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/>
      <c r="II558" s="7"/>
      <c r="IJ558" s="7"/>
      <c r="IK558" s="7"/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/>
      <c r="IX558" s="7"/>
      <c r="IY558" s="11">
        <f t="shared" si="8"/>
        <v>54</v>
      </c>
      <c r="IZ558" s="25" t="s">
        <v>25</v>
      </c>
    </row>
    <row r="559" spans="1:260" s="2" customFormat="1" ht="12.75" customHeight="1" x14ac:dyDescent="0.2">
      <c r="A559" s="28">
        <v>43444</v>
      </c>
      <c r="B559" s="32" t="s">
        <v>246</v>
      </c>
      <c r="C559" s="23"/>
      <c r="D559" s="23"/>
      <c r="E559" s="24"/>
      <c r="F559" s="24"/>
      <c r="G559" s="24"/>
      <c r="H559" s="24"/>
      <c r="I559" s="24"/>
      <c r="J559" s="24"/>
      <c r="K559" s="24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>
        <v>40</v>
      </c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11">
        <f t="shared" si="8"/>
        <v>40</v>
      </c>
      <c r="IZ559" s="25" t="s">
        <v>25</v>
      </c>
    </row>
    <row r="560" spans="1:260" s="2" customFormat="1" ht="12.75" customHeight="1" x14ac:dyDescent="0.2">
      <c r="A560" s="28">
        <v>43444</v>
      </c>
      <c r="B560" s="32" t="s">
        <v>278</v>
      </c>
      <c r="C560" s="23"/>
      <c r="D560" s="23"/>
      <c r="E560" s="24"/>
      <c r="F560" s="24"/>
      <c r="G560" s="24"/>
      <c r="H560" s="24"/>
      <c r="I560" s="24"/>
      <c r="J560" s="24"/>
      <c r="K560" s="24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>
        <v>20</v>
      </c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>
        <v>10</v>
      </c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11">
        <f t="shared" si="8"/>
        <v>30</v>
      </c>
      <c r="IZ560" s="25" t="s">
        <v>25</v>
      </c>
    </row>
    <row r="561" spans="1:260" s="2" customFormat="1" ht="12.75" customHeight="1" x14ac:dyDescent="0.2">
      <c r="A561" s="28">
        <v>43444</v>
      </c>
      <c r="B561" s="32" t="s">
        <v>69</v>
      </c>
      <c r="C561" s="23"/>
      <c r="D561" s="23"/>
      <c r="E561" s="24"/>
      <c r="F561" s="24"/>
      <c r="G561" s="24"/>
      <c r="H561" s="24"/>
      <c r="I561" s="24"/>
      <c r="J561" s="24"/>
      <c r="K561" s="24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>
        <v>10</v>
      </c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>
        <v>10</v>
      </c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11">
        <f t="shared" si="8"/>
        <v>20</v>
      </c>
      <c r="IZ561" s="25" t="s">
        <v>25</v>
      </c>
    </row>
    <row r="562" spans="1:260" s="2" customFormat="1" ht="12.75" customHeight="1" x14ac:dyDescent="0.2">
      <c r="A562" s="28">
        <v>43445</v>
      </c>
      <c r="B562" s="33" t="s">
        <v>29</v>
      </c>
      <c r="C562" s="23"/>
      <c r="D562" s="23"/>
      <c r="E562" s="24"/>
      <c r="F562" s="24"/>
      <c r="G562" s="24"/>
      <c r="H562" s="24"/>
      <c r="I562" s="24"/>
      <c r="J562" s="24"/>
      <c r="K562" s="24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>
        <v>30</v>
      </c>
      <c r="DU562" s="7"/>
      <c r="DV562" s="7">
        <v>20</v>
      </c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>
        <v>22</v>
      </c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>
        <v>20</v>
      </c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>
        <v>80</v>
      </c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11">
        <f t="shared" si="8"/>
        <v>172</v>
      </c>
      <c r="IZ562" s="25" t="s">
        <v>25</v>
      </c>
    </row>
    <row r="563" spans="1:260" s="2" customFormat="1" ht="12.75" customHeight="1" x14ac:dyDescent="0.2">
      <c r="A563" s="28">
        <v>43445</v>
      </c>
      <c r="B563" s="31" t="s">
        <v>216</v>
      </c>
      <c r="C563" s="23"/>
      <c r="D563" s="23"/>
      <c r="E563" s="24"/>
      <c r="F563" s="24"/>
      <c r="G563" s="24"/>
      <c r="H563" s="24"/>
      <c r="I563" s="24"/>
      <c r="J563" s="24"/>
      <c r="K563" s="24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>
        <v>300</v>
      </c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11">
        <f t="shared" si="8"/>
        <v>300</v>
      </c>
      <c r="IZ563" s="25" t="s">
        <v>25</v>
      </c>
    </row>
    <row r="564" spans="1:260" s="2" customFormat="1" ht="12.75" customHeight="1" x14ac:dyDescent="0.2">
      <c r="A564" s="28">
        <v>43445</v>
      </c>
      <c r="B564" s="31" t="s">
        <v>43</v>
      </c>
      <c r="C564" s="23"/>
      <c r="D564" s="23"/>
      <c r="E564" s="24"/>
      <c r="F564" s="24"/>
      <c r="G564" s="24"/>
      <c r="H564" s="24"/>
      <c r="I564" s="24"/>
      <c r="J564" s="24"/>
      <c r="K564" s="24"/>
      <c r="L564" s="7"/>
      <c r="M564" s="7"/>
      <c r="N564" s="7">
        <v>40</v>
      </c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>
        <v>6</v>
      </c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>
        <v>10</v>
      </c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>
        <v>20</v>
      </c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>
        <v>40</v>
      </c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/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>
        <v>20</v>
      </c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11">
        <f t="shared" si="8"/>
        <v>136</v>
      </c>
      <c r="IZ564" s="25" t="s">
        <v>25</v>
      </c>
    </row>
    <row r="565" spans="1:260" s="2" customFormat="1" ht="12.75" customHeight="1" x14ac:dyDescent="0.2">
      <c r="A565" s="28">
        <v>43446</v>
      </c>
      <c r="B565" s="32" t="s">
        <v>77</v>
      </c>
      <c r="C565" s="23"/>
      <c r="D565" s="23"/>
      <c r="E565" s="24"/>
      <c r="F565" s="24"/>
      <c r="G565" s="24"/>
      <c r="H565" s="24"/>
      <c r="I565" s="24"/>
      <c r="J565" s="24"/>
      <c r="K565" s="24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>
        <v>1</v>
      </c>
      <c r="AY565" s="7"/>
      <c r="AZ565" s="7"/>
      <c r="BA565" s="7"/>
      <c r="BB565" s="7"/>
      <c r="BC565" s="7"/>
      <c r="BD565" s="7"/>
      <c r="BE565" s="7"/>
      <c r="BF565" s="7">
        <v>3</v>
      </c>
      <c r="BG565" s="7"/>
      <c r="BH565" s="7"/>
      <c r="BI565" s="7"/>
      <c r="BJ565" s="7">
        <v>1</v>
      </c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>
        <v>0.9</v>
      </c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/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>
        <v>7</v>
      </c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/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/>
      <c r="IY565" s="11">
        <f t="shared" si="8"/>
        <v>12.9</v>
      </c>
      <c r="IZ565" s="25" t="s">
        <v>25</v>
      </c>
    </row>
    <row r="566" spans="1:260" s="2" customFormat="1" ht="12.75" customHeight="1" x14ac:dyDescent="0.2">
      <c r="A566" s="28">
        <v>43446</v>
      </c>
      <c r="B566" s="32" t="s">
        <v>250</v>
      </c>
      <c r="C566" s="23"/>
      <c r="D566" s="23"/>
      <c r="E566" s="24"/>
      <c r="F566" s="24"/>
      <c r="G566" s="24"/>
      <c r="H566" s="24"/>
      <c r="I566" s="24"/>
      <c r="J566" s="24"/>
      <c r="K566" s="24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>
        <v>60</v>
      </c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/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/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11">
        <f t="shared" si="8"/>
        <v>60</v>
      </c>
      <c r="IZ566" s="25" t="s">
        <v>25</v>
      </c>
    </row>
    <row r="567" spans="1:260" s="2" customFormat="1" ht="12.75" customHeight="1" x14ac:dyDescent="0.2">
      <c r="A567" s="28">
        <v>43446</v>
      </c>
      <c r="B567" s="31" t="s">
        <v>215</v>
      </c>
      <c r="C567" s="23"/>
      <c r="D567" s="23"/>
      <c r="E567" s="24"/>
      <c r="F567" s="24"/>
      <c r="G567" s="24"/>
      <c r="H567" s="24"/>
      <c r="I567" s="24"/>
      <c r="J567" s="24">
        <v>30</v>
      </c>
      <c r="K567" s="24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/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/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/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11">
        <f t="shared" si="8"/>
        <v>30</v>
      </c>
      <c r="IZ567" s="25" t="s">
        <v>25</v>
      </c>
    </row>
    <row r="568" spans="1:260" s="2" customFormat="1" ht="12.75" customHeight="1" x14ac:dyDescent="0.2">
      <c r="A568" s="28">
        <v>43447</v>
      </c>
      <c r="B568" s="32" t="s">
        <v>143</v>
      </c>
      <c r="C568" s="23"/>
      <c r="D568" s="23"/>
      <c r="E568" s="24"/>
      <c r="F568" s="24"/>
      <c r="G568" s="24"/>
      <c r="H568" s="24"/>
      <c r="I568" s="24"/>
      <c r="J568" s="24"/>
      <c r="K568" s="24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>
        <v>9</v>
      </c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/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11">
        <f t="shared" si="8"/>
        <v>9</v>
      </c>
      <c r="IZ568" s="25" t="s">
        <v>25</v>
      </c>
    </row>
    <row r="569" spans="1:260" s="2" customFormat="1" ht="12.75" customHeight="1" x14ac:dyDescent="0.2">
      <c r="A569" s="28">
        <v>43447</v>
      </c>
      <c r="B569" s="31" t="s">
        <v>256</v>
      </c>
      <c r="C569" s="23"/>
      <c r="D569" s="23"/>
      <c r="E569" s="24"/>
      <c r="F569" s="24"/>
      <c r="G569" s="24"/>
      <c r="H569" s="24"/>
      <c r="I569" s="24"/>
      <c r="J569" s="24"/>
      <c r="K569" s="24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>
        <v>40</v>
      </c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/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/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11">
        <f t="shared" si="8"/>
        <v>40</v>
      </c>
      <c r="IZ569" s="25" t="s">
        <v>25</v>
      </c>
    </row>
    <row r="570" spans="1:260" s="2" customFormat="1" ht="12.75" customHeight="1" x14ac:dyDescent="0.2">
      <c r="A570" s="28">
        <v>43447</v>
      </c>
      <c r="B570" s="32" t="s">
        <v>190</v>
      </c>
      <c r="C570" s="23"/>
      <c r="D570" s="23"/>
      <c r="E570" s="24"/>
      <c r="F570" s="24"/>
      <c r="G570" s="24"/>
      <c r="H570" s="24"/>
      <c r="I570" s="24"/>
      <c r="J570" s="24"/>
      <c r="K570" s="24"/>
      <c r="L570" s="7"/>
      <c r="M570" s="7"/>
      <c r="N570" s="7"/>
      <c r="O570" s="7"/>
      <c r="P570" s="7"/>
      <c r="Q570" s="7"/>
      <c r="R570" s="7">
        <v>20</v>
      </c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>
        <v>10</v>
      </c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/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11">
        <f t="shared" si="8"/>
        <v>30</v>
      </c>
      <c r="IZ570" s="25" t="s">
        <v>25</v>
      </c>
    </row>
    <row r="571" spans="1:260" s="2" customFormat="1" ht="12.75" customHeight="1" x14ac:dyDescent="0.2">
      <c r="A571" s="28">
        <v>43448</v>
      </c>
      <c r="B571" s="33" t="s">
        <v>22</v>
      </c>
      <c r="C571" s="23"/>
      <c r="D571" s="23"/>
      <c r="E571" s="24"/>
      <c r="F571" s="24"/>
      <c r="G571" s="24"/>
      <c r="H571" s="24"/>
      <c r="I571" s="24"/>
      <c r="J571" s="24"/>
      <c r="K571" s="24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>
        <v>40</v>
      </c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160</v>
      </c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>
        <v>30</v>
      </c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>
        <v>75</v>
      </c>
      <c r="IU571" s="7"/>
      <c r="IV571" s="7"/>
      <c r="IW571" s="7"/>
      <c r="IX571" s="7"/>
      <c r="IY571" s="11">
        <f t="shared" si="8"/>
        <v>305</v>
      </c>
      <c r="IZ571" s="25" t="s">
        <v>25</v>
      </c>
    </row>
    <row r="572" spans="1:260" s="2" customFormat="1" ht="12.75" customHeight="1" x14ac:dyDescent="0.2">
      <c r="A572" s="28">
        <v>43448</v>
      </c>
      <c r="B572" s="32" t="s">
        <v>146</v>
      </c>
      <c r="C572" s="23"/>
      <c r="D572" s="23"/>
      <c r="E572" s="24"/>
      <c r="F572" s="24"/>
      <c r="G572" s="24"/>
      <c r="H572" s="24"/>
      <c r="I572" s="24"/>
      <c r="J572" s="24"/>
      <c r="K572" s="24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/>
      <c r="DM572" s="7"/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>
        <v>2.7</v>
      </c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>
        <v>9</v>
      </c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11">
        <f t="shared" si="8"/>
        <v>11.7</v>
      </c>
      <c r="IZ572" s="25" t="s">
        <v>25</v>
      </c>
    </row>
    <row r="573" spans="1:260" s="2" customFormat="1" ht="12.75" customHeight="1" x14ac:dyDescent="0.2">
      <c r="A573" s="28">
        <v>43451</v>
      </c>
      <c r="B573" s="32" t="s">
        <v>175</v>
      </c>
      <c r="C573" s="23"/>
      <c r="D573" s="23"/>
      <c r="E573" s="24"/>
      <c r="F573" s="24">
        <v>1</v>
      </c>
      <c r="G573" s="24"/>
      <c r="H573" s="24"/>
      <c r="I573" s="24"/>
      <c r="J573" s="24"/>
      <c r="K573" s="24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>
        <v>10</v>
      </c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/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11">
        <f t="shared" si="8"/>
        <v>11</v>
      </c>
      <c r="IZ573" s="25" t="s">
        <v>25</v>
      </c>
    </row>
    <row r="574" spans="1:260" s="2" customFormat="1" ht="12.75" customHeight="1" x14ac:dyDescent="0.2">
      <c r="A574" s="28">
        <v>43451</v>
      </c>
      <c r="B574" s="32" t="s">
        <v>208</v>
      </c>
      <c r="C574" s="23"/>
      <c r="D574" s="23"/>
      <c r="E574" s="24"/>
      <c r="F574" s="24"/>
      <c r="G574" s="24"/>
      <c r="H574" s="24"/>
      <c r="I574" s="24"/>
      <c r="J574" s="24"/>
      <c r="K574" s="24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>
        <v>8</v>
      </c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11">
        <f t="shared" si="8"/>
        <v>8</v>
      </c>
      <c r="IZ574" s="25" t="s">
        <v>25</v>
      </c>
    </row>
    <row r="575" spans="1:260" s="2" customFormat="1" ht="12.75" customHeight="1" x14ac:dyDescent="0.2">
      <c r="A575" s="28">
        <v>43451</v>
      </c>
      <c r="B575" s="31" t="s">
        <v>173</v>
      </c>
      <c r="C575" s="23"/>
      <c r="D575" s="23"/>
      <c r="E575" s="24"/>
      <c r="F575" s="24"/>
      <c r="G575" s="24"/>
      <c r="H575" s="24"/>
      <c r="I575" s="24"/>
      <c r="J575" s="24"/>
      <c r="K575" s="24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>
        <v>20</v>
      </c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>
        <v>0.8</v>
      </c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/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11">
        <f t="shared" si="8"/>
        <v>20.8</v>
      </c>
      <c r="IZ575" s="25" t="s">
        <v>25</v>
      </c>
    </row>
    <row r="576" spans="1:260" s="2" customFormat="1" ht="12.75" customHeight="1" x14ac:dyDescent="0.2">
      <c r="A576" s="28">
        <v>43451</v>
      </c>
      <c r="B576" s="31" t="s">
        <v>43</v>
      </c>
      <c r="C576" s="23"/>
      <c r="D576" s="23"/>
      <c r="E576" s="24"/>
      <c r="F576" s="24"/>
      <c r="G576" s="24"/>
      <c r="H576" s="24"/>
      <c r="I576" s="24"/>
      <c r="J576" s="24"/>
      <c r="K576" s="24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>
        <v>10</v>
      </c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>
        <v>20</v>
      </c>
      <c r="BX576" s="7"/>
      <c r="BY576" s="7">
        <v>10</v>
      </c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>
        <v>10</v>
      </c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>
        <v>10</v>
      </c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>
        <v>6</v>
      </c>
      <c r="GS576" s="7"/>
      <c r="GT576" s="7"/>
      <c r="GU576" s="7"/>
      <c r="GV576" s="7"/>
      <c r="GW576" s="7"/>
      <c r="GX576" s="7"/>
      <c r="GY576" s="7"/>
      <c r="GZ576" s="7"/>
      <c r="HA576" s="7"/>
      <c r="HB576" s="7"/>
      <c r="HC576" s="7"/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11">
        <f t="shared" si="8"/>
        <v>66</v>
      </c>
      <c r="IZ576" s="25" t="s">
        <v>25</v>
      </c>
    </row>
    <row r="577" spans="1:260" s="2" customFormat="1" ht="12.75" customHeight="1" x14ac:dyDescent="0.2">
      <c r="A577" s="28">
        <v>43451</v>
      </c>
      <c r="B577" s="31" t="s">
        <v>48</v>
      </c>
      <c r="C577" s="23"/>
      <c r="D577" s="23"/>
      <c r="E577" s="24"/>
      <c r="F577" s="24"/>
      <c r="G577" s="24"/>
      <c r="H577" s="24"/>
      <c r="I577" s="24"/>
      <c r="J577" s="24"/>
      <c r="K577" s="24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>
        <v>352</v>
      </c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/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11">
        <f t="shared" si="8"/>
        <v>352</v>
      </c>
      <c r="IZ577" s="25" t="s">
        <v>25</v>
      </c>
    </row>
    <row r="578" spans="1:260" s="2" customFormat="1" ht="12.75" customHeight="1" x14ac:dyDescent="0.2">
      <c r="A578" s="28">
        <v>43452</v>
      </c>
      <c r="B578" s="31" t="s">
        <v>79</v>
      </c>
      <c r="C578" s="23"/>
      <c r="D578" s="23"/>
      <c r="E578" s="24"/>
      <c r="F578" s="24"/>
      <c r="G578" s="24"/>
      <c r="H578" s="24"/>
      <c r="I578" s="24"/>
      <c r="J578" s="24"/>
      <c r="K578" s="24"/>
      <c r="L578" s="7"/>
      <c r="M578" s="7"/>
      <c r="N578" s="7"/>
      <c r="O578" s="7"/>
      <c r="P578" s="7"/>
      <c r="Q578" s="7"/>
      <c r="R578" s="7"/>
      <c r="S578" s="7"/>
      <c r="T578" s="7"/>
      <c r="U578" s="7">
        <v>0.9</v>
      </c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>
        <v>20</v>
      </c>
      <c r="AG578" s="7"/>
      <c r="AH578" s="7">
        <v>1</v>
      </c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>
        <v>1</v>
      </c>
      <c r="BL578" s="7"/>
      <c r="BM578" s="7"/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/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>
        <v>1</v>
      </c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>
        <v>1</v>
      </c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11">
        <f t="shared" si="8"/>
        <v>24.9</v>
      </c>
      <c r="IZ578" s="25" t="s">
        <v>25</v>
      </c>
    </row>
    <row r="579" spans="1:260" s="2" customFormat="1" ht="12.75" customHeight="1" x14ac:dyDescent="0.2">
      <c r="A579" s="28">
        <v>43452</v>
      </c>
      <c r="B579" s="32" t="s">
        <v>69</v>
      </c>
      <c r="C579" s="23"/>
      <c r="D579" s="23"/>
      <c r="E579" s="24"/>
      <c r="F579" s="24"/>
      <c r="G579" s="24"/>
      <c r="H579" s="24"/>
      <c r="I579" s="24"/>
      <c r="J579" s="24"/>
      <c r="K579" s="24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>
        <v>10</v>
      </c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>
        <v>10</v>
      </c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>
        <v>10</v>
      </c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11">
        <f t="shared" si="8"/>
        <v>30</v>
      </c>
      <c r="IZ579" s="25" t="s">
        <v>25</v>
      </c>
    </row>
    <row r="580" spans="1:260" s="2" customFormat="1" ht="12.75" customHeight="1" x14ac:dyDescent="0.2">
      <c r="A580" s="28">
        <v>43452</v>
      </c>
      <c r="B580" s="31" t="s">
        <v>322</v>
      </c>
      <c r="C580" s="23"/>
      <c r="D580" s="23"/>
      <c r="E580" s="24"/>
      <c r="F580" s="24"/>
      <c r="G580" s="24"/>
      <c r="H580" s="24"/>
      <c r="I580" s="24"/>
      <c r="J580" s="24"/>
      <c r="K580" s="24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>
        <v>1</v>
      </c>
      <c r="II580" s="7"/>
      <c r="IJ580" s="7"/>
      <c r="IK580" s="7"/>
      <c r="IL580" s="7"/>
      <c r="IM580" s="7">
        <v>0.8</v>
      </c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11">
        <f t="shared" si="8"/>
        <v>1.8</v>
      </c>
      <c r="IZ580" s="25" t="s">
        <v>57</v>
      </c>
    </row>
    <row r="581" spans="1:260" s="2" customFormat="1" ht="12.75" customHeight="1" x14ac:dyDescent="0.2">
      <c r="A581" s="28">
        <v>43452</v>
      </c>
      <c r="B581" s="31" t="s">
        <v>263</v>
      </c>
      <c r="C581" s="23"/>
      <c r="D581" s="23"/>
      <c r="E581" s="24"/>
      <c r="F581" s="24"/>
      <c r="G581" s="24"/>
      <c r="H581" s="24"/>
      <c r="I581" s="24"/>
      <c r="J581" s="24"/>
      <c r="K581" s="24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/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>
        <v>17</v>
      </c>
      <c r="IV581" s="7"/>
      <c r="IW581" s="7"/>
      <c r="IX581" s="7"/>
      <c r="IY581" s="11">
        <f t="shared" si="8"/>
        <v>17</v>
      </c>
      <c r="IZ581" s="25" t="s">
        <v>83</v>
      </c>
    </row>
    <row r="582" spans="1:260" s="2" customFormat="1" ht="12.75" customHeight="1" x14ac:dyDescent="0.2">
      <c r="A582" s="28">
        <v>43452</v>
      </c>
      <c r="B582" s="31" t="s">
        <v>180</v>
      </c>
      <c r="C582" s="23"/>
      <c r="D582" s="23"/>
      <c r="E582" s="24"/>
      <c r="F582" s="24"/>
      <c r="G582" s="24"/>
      <c r="H582" s="24"/>
      <c r="I582" s="24"/>
      <c r="J582" s="24"/>
      <c r="K582" s="24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/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>
        <v>8</v>
      </c>
      <c r="IV582" s="7"/>
      <c r="IW582" s="7"/>
      <c r="IX582" s="7"/>
      <c r="IY582" s="11">
        <f t="shared" si="8"/>
        <v>8</v>
      </c>
      <c r="IZ582" s="25" t="s">
        <v>83</v>
      </c>
    </row>
    <row r="583" spans="1:260" s="2" customFormat="1" ht="12.75" customHeight="1" x14ac:dyDescent="0.2">
      <c r="A583" s="28">
        <v>43453</v>
      </c>
      <c r="B583" s="31" t="s">
        <v>243</v>
      </c>
      <c r="C583" s="23"/>
      <c r="D583" s="23"/>
      <c r="E583" s="24"/>
      <c r="F583" s="24"/>
      <c r="G583" s="24"/>
      <c r="H583" s="24"/>
      <c r="I583" s="24"/>
      <c r="J583" s="24"/>
      <c r="K583" s="24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>
        <v>10</v>
      </c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/>
      <c r="EP583" s="7"/>
      <c r="EQ583" s="7"/>
      <c r="ER583" s="7"/>
      <c r="ES583" s="7"/>
      <c r="ET583" s="7"/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/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11">
        <f t="shared" si="8"/>
        <v>10</v>
      </c>
      <c r="IZ583" s="25" t="s">
        <v>25</v>
      </c>
    </row>
    <row r="584" spans="1:260" s="2" customFormat="1" ht="12.75" customHeight="1" x14ac:dyDescent="0.2">
      <c r="A584" s="28">
        <v>43454</v>
      </c>
      <c r="B584" s="27" t="s">
        <v>261</v>
      </c>
      <c r="C584" s="23"/>
      <c r="D584" s="23"/>
      <c r="E584" s="24"/>
      <c r="F584" s="24"/>
      <c r="G584" s="24"/>
      <c r="H584" s="24"/>
      <c r="I584" s="24"/>
      <c r="J584" s="24"/>
      <c r="K584" s="24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>
        <v>16</v>
      </c>
      <c r="IX584" s="7"/>
      <c r="IY584" s="11">
        <f t="shared" si="8"/>
        <v>16</v>
      </c>
      <c r="IZ584" s="25" t="s">
        <v>266</v>
      </c>
    </row>
    <row r="585" spans="1:260" s="2" customFormat="1" ht="12.75" customHeight="1" x14ac:dyDescent="0.2">
      <c r="A585" s="28">
        <v>43454</v>
      </c>
      <c r="B585" s="32" t="s">
        <v>250</v>
      </c>
      <c r="C585" s="23"/>
      <c r="D585" s="23"/>
      <c r="E585" s="24"/>
      <c r="F585" s="24"/>
      <c r="G585" s="24"/>
      <c r="H585" s="24"/>
      <c r="I585" s="24"/>
      <c r="J585" s="24"/>
      <c r="K585" s="24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>
        <v>160</v>
      </c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/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/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11">
        <f t="shared" si="8"/>
        <v>160</v>
      </c>
      <c r="IZ585" s="25" t="s">
        <v>25</v>
      </c>
    </row>
    <row r="586" spans="1:260" s="2" customFormat="1" ht="12.75" customHeight="1" x14ac:dyDescent="0.2">
      <c r="A586" s="28">
        <v>43454</v>
      </c>
      <c r="B586" s="31" t="s">
        <v>123</v>
      </c>
      <c r="C586" s="23"/>
      <c r="D586" s="23"/>
      <c r="E586" s="24"/>
      <c r="F586" s="24"/>
      <c r="G586" s="24"/>
      <c r="H586" s="24"/>
      <c r="I586" s="24"/>
      <c r="J586" s="24"/>
      <c r="K586" s="24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>
        <v>10</v>
      </c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/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11">
        <f t="shared" si="8"/>
        <v>10</v>
      </c>
      <c r="IZ586" s="25" t="s">
        <v>25</v>
      </c>
    </row>
    <row r="587" spans="1:260" s="2" customFormat="1" ht="12.75" customHeight="1" x14ac:dyDescent="0.2">
      <c r="A587" s="28">
        <v>43455</v>
      </c>
      <c r="B587" s="31" t="s">
        <v>78</v>
      </c>
      <c r="C587" s="23"/>
      <c r="D587" s="23"/>
      <c r="E587" s="24"/>
      <c r="F587" s="24"/>
      <c r="G587" s="24"/>
      <c r="H587" s="24"/>
      <c r="I587" s="24"/>
      <c r="J587" s="24"/>
      <c r="K587" s="24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/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>
        <v>2.7</v>
      </c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11">
        <f t="shared" si="8"/>
        <v>2.7</v>
      </c>
      <c r="IZ587" s="25" t="s">
        <v>25</v>
      </c>
    </row>
    <row r="588" spans="1:260" s="2" customFormat="1" ht="12.75" customHeight="1" x14ac:dyDescent="0.2">
      <c r="A588" s="28">
        <v>43455</v>
      </c>
      <c r="B588" s="31" t="s">
        <v>249</v>
      </c>
      <c r="C588" s="23"/>
      <c r="D588" s="23"/>
      <c r="E588" s="24"/>
      <c r="F588" s="24"/>
      <c r="G588" s="24"/>
      <c r="H588" s="24"/>
      <c r="I588" s="24"/>
      <c r="J588" s="24"/>
      <c r="K588" s="24"/>
      <c r="L588" s="7"/>
      <c r="M588" s="7"/>
      <c r="N588" s="7"/>
      <c r="O588" s="7"/>
      <c r="P588" s="7"/>
      <c r="Q588" s="7"/>
      <c r="R588" s="7"/>
      <c r="S588" s="7"/>
      <c r="T588" s="7"/>
      <c r="U588" s="7">
        <v>0.9</v>
      </c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11">
        <f t="shared" si="8"/>
        <v>0.9</v>
      </c>
      <c r="IZ588" s="25" t="s">
        <v>25</v>
      </c>
    </row>
    <row r="589" spans="1:260" s="2" customFormat="1" ht="12.75" customHeight="1" x14ac:dyDescent="0.2">
      <c r="A589" s="28">
        <v>43455</v>
      </c>
      <c r="B589" s="31" t="s">
        <v>181</v>
      </c>
      <c r="C589" s="23"/>
      <c r="D589" s="23"/>
      <c r="E589" s="24"/>
      <c r="F589" s="24"/>
      <c r="G589" s="24"/>
      <c r="H589" s="24"/>
      <c r="I589" s="24"/>
      <c r="J589" s="24"/>
      <c r="K589" s="24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>
        <v>10</v>
      </c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>
        <v>9.9</v>
      </c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11">
        <f t="shared" si="8"/>
        <v>19.899999999999999</v>
      </c>
      <c r="IZ589" s="25" t="s">
        <v>25</v>
      </c>
    </row>
    <row r="590" spans="1:260" s="2" customFormat="1" ht="12.75" customHeight="1" x14ac:dyDescent="0.2">
      <c r="A590" s="28">
        <v>43460</v>
      </c>
      <c r="B590" s="33" t="s">
        <v>51</v>
      </c>
      <c r="C590" s="23"/>
      <c r="D590" s="23"/>
      <c r="E590" s="24"/>
      <c r="F590" s="24"/>
      <c r="G590" s="24"/>
      <c r="H590" s="24"/>
      <c r="I590" s="24"/>
      <c r="J590" s="24"/>
      <c r="K590" s="24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/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/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>
        <v>40</v>
      </c>
      <c r="IT590" s="7"/>
      <c r="IU590" s="7"/>
      <c r="IV590" s="7"/>
      <c r="IW590" s="7"/>
      <c r="IX590" s="7"/>
      <c r="IY590" s="11">
        <f t="shared" si="8"/>
        <v>40</v>
      </c>
      <c r="IZ590" s="25" t="s">
        <v>83</v>
      </c>
    </row>
    <row r="591" spans="1:260" s="2" customFormat="1" ht="12.75" customHeight="1" x14ac:dyDescent="0.2">
      <c r="A591" s="28">
        <v>43460</v>
      </c>
      <c r="B591" s="32" t="s">
        <v>62</v>
      </c>
      <c r="C591" s="23"/>
      <c r="D591" s="23"/>
      <c r="E591" s="24"/>
      <c r="F591" s="24"/>
      <c r="G591" s="24"/>
      <c r="H591" s="24"/>
      <c r="I591" s="24"/>
      <c r="J591" s="24"/>
      <c r="K591" s="24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>
        <v>1.8</v>
      </c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/>
      <c r="IA591" s="7"/>
      <c r="IB591" s="7"/>
      <c r="IC591" s="7"/>
      <c r="ID591" s="7"/>
      <c r="IE591" s="7"/>
      <c r="IF591" s="7"/>
      <c r="IG591" s="7"/>
      <c r="IH591" s="7"/>
      <c r="II591" s="7"/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11">
        <f t="shared" si="8"/>
        <v>1.8</v>
      </c>
      <c r="IZ591" s="25" t="s">
        <v>25</v>
      </c>
    </row>
    <row r="592" spans="1:260" s="2" customFormat="1" ht="12.75" customHeight="1" x14ac:dyDescent="0.2">
      <c r="A592" s="28">
        <v>43460</v>
      </c>
      <c r="B592" s="32" t="s">
        <v>167</v>
      </c>
      <c r="C592" s="23"/>
      <c r="D592" s="23"/>
      <c r="E592" s="24"/>
      <c r="F592" s="24"/>
      <c r="G592" s="24">
        <v>2.2000000000000002</v>
      </c>
      <c r="H592" s="24"/>
      <c r="I592" s="24"/>
      <c r="J592" s="24"/>
      <c r="K592" s="24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>
        <v>20</v>
      </c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>
        <v>40</v>
      </c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/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11">
        <f t="shared" si="8"/>
        <v>62.2</v>
      </c>
      <c r="IZ592" s="25" t="s">
        <v>25</v>
      </c>
    </row>
    <row r="593" spans="1:260" s="2" customFormat="1" ht="12.75" customHeight="1" x14ac:dyDescent="0.2">
      <c r="A593" s="28">
        <v>43460</v>
      </c>
      <c r="B593" s="32" t="s">
        <v>248</v>
      </c>
      <c r="C593" s="23"/>
      <c r="D593" s="23"/>
      <c r="E593" s="24"/>
      <c r="F593" s="24"/>
      <c r="G593" s="24"/>
      <c r="H593" s="24"/>
      <c r="I593" s="24"/>
      <c r="J593" s="24"/>
      <c r="K593" s="24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/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>
        <v>4.5</v>
      </c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11">
        <f t="shared" si="8"/>
        <v>4.5</v>
      </c>
      <c r="IZ593" s="25" t="s">
        <v>57</v>
      </c>
    </row>
    <row r="594" spans="1:260" s="2" customFormat="1" ht="12.75" customHeight="1" x14ac:dyDescent="0.2">
      <c r="A594" s="28">
        <v>43461</v>
      </c>
      <c r="B594" s="33" t="s">
        <v>22</v>
      </c>
      <c r="C594" s="23"/>
      <c r="D594" s="23"/>
      <c r="E594" s="24"/>
      <c r="F594" s="24"/>
      <c r="G594" s="24"/>
      <c r="H594" s="24"/>
      <c r="I594" s="24"/>
      <c r="J594" s="24"/>
      <c r="K594" s="24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>
        <v>20</v>
      </c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200</v>
      </c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/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>
        <v>30</v>
      </c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/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>
        <v>30</v>
      </c>
      <c r="IG594" s="7"/>
      <c r="IH594" s="7"/>
      <c r="II594" s="7"/>
      <c r="IJ594" s="7"/>
      <c r="IK594" s="7"/>
      <c r="IL594" s="7">
        <v>5</v>
      </c>
      <c r="IM594" s="7"/>
      <c r="IN594" s="7"/>
      <c r="IO594" s="7"/>
      <c r="IP594" s="7"/>
      <c r="IQ594" s="7"/>
      <c r="IR594" s="7"/>
      <c r="IS594" s="7"/>
      <c r="IT594" s="7">
        <v>25</v>
      </c>
      <c r="IU594" s="7"/>
      <c r="IV594" s="7"/>
      <c r="IW594" s="7"/>
      <c r="IX594" s="7"/>
      <c r="IY594" s="11">
        <f t="shared" si="8"/>
        <v>310</v>
      </c>
      <c r="IZ594" s="25" t="s">
        <v>25</v>
      </c>
    </row>
    <row r="595" spans="1:260" s="2" customFormat="1" ht="12.75" customHeight="1" x14ac:dyDescent="0.2">
      <c r="A595" s="28">
        <v>43461</v>
      </c>
      <c r="B595" s="31" t="s">
        <v>216</v>
      </c>
      <c r="C595" s="23"/>
      <c r="D595" s="23"/>
      <c r="E595" s="24"/>
      <c r="F595" s="24"/>
      <c r="G595" s="24"/>
      <c r="H595" s="24"/>
      <c r="I595" s="24"/>
      <c r="J595" s="24"/>
      <c r="K595" s="24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>
        <v>300</v>
      </c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/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11">
        <f t="shared" si="8"/>
        <v>300</v>
      </c>
      <c r="IZ595" s="25" t="s">
        <v>25</v>
      </c>
    </row>
    <row r="596" spans="1:260" s="2" customFormat="1" ht="12.75" customHeight="1" x14ac:dyDescent="0.2">
      <c r="A596" s="28">
        <v>43461</v>
      </c>
      <c r="B596" s="31" t="s">
        <v>29</v>
      </c>
      <c r="C596" s="23"/>
      <c r="D596" s="23"/>
      <c r="E596" s="24"/>
      <c r="F596" s="24"/>
      <c r="G596" s="24"/>
      <c r="H596" s="24"/>
      <c r="I596" s="24"/>
      <c r="J596" s="24"/>
      <c r="K596" s="24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>
        <v>10</v>
      </c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>
        <v>10</v>
      </c>
      <c r="FT596" s="7"/>
      <c r="FU596" s="7"/>
      <c r="FV596" s="7"/>
      <c r="FW596" s="7">
        <v>10</v>
      </c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/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11">
        <f t="shared" si="8"/>
        <v>30</v>
      </c>
      <c r="IZ596" s="25" t="s">
        <v>25</v>
      </c>
    </row>
    <row r="597" spans="1:260" s="2" customFormat="1" ht="12.75" customHeight="1" x14ac:dyDescent="0.2">
      <c r="A597" s="28">
        <v>43461</v>
      </c>
      <c r="B597" s="32" t="s">
        <v>153</v>
      </c>
      <c r="C597" s="23"/>
      <c r="D597" s="23"/>
      <c r="E597" s="24"/>
      <c r="F597" s="24"/>
      <c r="G597" s="24"/>
      <c r="H597" s="24"/>
      <c r="I597" s="24"/>
      <c r="J597" s="24"/>
      <c r="K597" s="24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>
        <v>3</v>
      </c>
      <c r="BN597" s="7">
        <v>48</v>
      </c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>
        <v>36</v>
      </c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>
        <v>6</v>
      </c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>
        <v>25</v>
      </c>
      <c r="IW597" s="7"/>
      <c r="IX597" s="7"/>
      <c r="IY597" s="11">
        <f t="shared" si="8"/>
        <v>118</v>
      </c>
      <c r="IZ597" s="25" t="s">
        <v>25</v>
      </c>
    </row>
    <row r="598" spans="1:260" s="2" customFormat="1" ht="12.75" customHeight="1" x14ac:dyDescent="0.2">
      <c r="A598" s="28">
        <v>43461</v>
      </c>
      <c r="B598" s="31" t="s">
        <v>43</v>
      </c>
      <c r="C598" s="23"/>
      <c r="D598" s="23"/>
      <c r="E598" s="24"/>
      <c r="F598" s="24"/>
      <c r="G598" s="24"/>
      <c r="H598" s="24">
        <v>10</v>
      </c>
      <c r="I598" s="24"/>
      <c r="J598" s="24"/>
      <c r="K598" s="24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>
        <v>9</v>
      </c>
      <c r="AW598" s="7"/>
      <c r="AX598" s="7"/>
      <c r="AY598" s="7"/>
      <c r="AZ598" s="7"/>
      <c r="BA598" s="7"/>
      <c r="BB598" s="7"/>
      <c r="BC598" s="7"/>
      <c r="BD598" s="7"/>
      <c r="BE598" s="7"/>
      <c r="BF598" s="7">
        <v>10</v>
      </c>
      <c r="BG598" s="7"/>
      <c r="BH598" s="7"/>
      <c r="BI598" s="7"/>
      <c r="BJ598" s="7">
        <v>10</v>
      </c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>
        <v>30</v>
      </c>
      <c r="BV598" s="7"/>
      <c r="BW598" s="7">
        <v>50</v>
      </c>
      <c r="BX598" s="7"/>
      <c r="BY598" s="7">
        <v>10</v>
      </c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>
        <v>60</v>
      </c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>
        <v>10</v>
      </c>
      <c r="FS598" s="7"/>
      <c r="FT598" s="7">
        <v>30</v>
      </c>
      <c r="FU598" s="7"/>
      <c r="FV598" s="7"/>
      <c r="FW598" s="7">
        <v>30</v>
      </c>
      <c r="FX598" s="7"/>
      <c r="FY598" s="7">
        <v>20</v>
      </c>
      <c r="FZ598" s="7"/>
      <c r="GA598" s="7"/>
      <c r="GB598" s="7"/>
      <c r="GC598" s="7"/>
      <c r="GD598" s="7"/>
      <c r="GE598" s="7"/>
      <c r="GF598" s="7">
        <v>10</v>
      </c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>
        <v>34</v>
      </c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11">
        <f t="shared" si="8"/>
        <v>323</v>
      </c>
      <c r="IZ598" s="25" t="s">
        <v>25</v>
      </c>
    </row>
    <row r="599" spans="1:260" s="2" customFormat="1" ht="12.75" customHeight="1" x14ac:dyDescent="0.2">
      <c r="A599" s="28">
        <v>43462</v>
      </c>
      <c r="B599" s="31" t="s">
        <v>211</v>
      </c>
      <c r="C599" s="23"/>
      <c r="D599" s="23"/>
      <c r="E599" s="24"/>
      <c r="F599" s="24"/>
      <c r="G599" s="24"/>
      <c r="H599" s="24"/>
      <c r="I599" s="24">
        <v>20</v>
      </c>
      <c r="J599" s="24"/>
      <c r="K599" s="24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/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11">
        <f t="shared" si="8"/>
        <v>20</v>
      </c>
      <c r="IZ599" s="25" t="s">
        <v>25</v>
      </c>
    </row>
    <row r="600" spans="1:260" s="2" customFormat="1" ht="12.75" customHeight="1" x14ac:dyDescent="0.2">
      <c r="A600" s="28">
        <v>43462</v>
      </c>
      <c r="B600" s="31" t="s">
        <v>341</v>
      </c>
      <c r="C600" s="23"/>
      <c r="D600" s="23"/>
      <c r="E600" s="24"/>
      <c r="F600" s="24"/>
      <c r="G600" s="24"/>
      <c r="H600" s="24"/>
      <c r="I600" s="24"/>
      <c r="J600" s="24"/>
      <c r="K600" s="24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/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/>
      <c r="DT600" s="7"/>
      <c r="DU600" s="7"/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>
        <v>1</v>
      </c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11">
        <f t="shared" si="8"/>
        <v>1</v>
      </c>
      <c r="IZ600" s="25" t="s">
        <v>25</v>
      </c>
    </row>
    <row r="601" spans="1:260" s="2" customFormat="1" ht="12.75" customHeight="1" x14ac:dyDescent="0.2">
      <c r="A601" s="28">
        <v>43462</v>
      </c>
      <c r="B601" s="32" t="s">
        <v>64</v>
      </c>
      <c r="C601" s="23"/>
      <c r="D601" s="23">
        <v>50</v>
      </c>
      <c r="E601" s="24"/>
      <c r="F601" s="24"/>
      <c r="G601" s="24"/>
      <c r="H601" s="24"/>
      <c r="I601" s="24"/>
      <c r="J601" s="24"/>
      <c r="K601" s="24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>
        <v>8</v>
      </c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>
        <v>10</v>
      </c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>
        <v>10</v>
      </c>
      <c r="GV601" s="7"/>
      <c r="GW601" s="7"/>
      <c r="GX601" s="7"/>
      <c r="GY601" s="7"/>
      <c r="GZ601" s="7"/>
      <c r="HA601" s="7"/>
      <c r="HB601" s="7"/>
      <c r="HC601" s="7"/>
      <c r="HD601" s="7"/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11">
        <f t="shared" si="8"/>
        <v>78</v>
      </c>
      <c r="IZ601" s="25" t="s">
        <v>25</v>
      </c>
    </row>
    <row r="602" spans="1:260" s="2" customFormat="1" ht="12.75" customHeight="1" x14ac:dyDescent="0.2">
      <c r="A602" s="28">
        <v>43462</v>
      </c>
      <c r="B602" s="32" t="s">
        <v>77</v>
      </c>
      <c r="C602" s="23"/>
      <c r="D602" s="23"/>
      <c r="E602" s="24"/>
      <c r="F602" s="24"/>
      <c r="G602" s="24"/>
      <c r="H602" s="24"/>
      <c r="I602" s="24"/>
      <c r="J602" s="24"/>
      <c r="K602" s="24"/>
      <c r="L602" s="7">
        <v>1.6</v>
      </c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>
        <v>1</v>
      </c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/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>
        <v>2</v>
      </c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>
        <v>4</v>
      </c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/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11">
        <f t="shared" si="8"/>
        <v>8.6</v>
      </c>
      <c r="IZ602" s="25" t="s">
        <v>25</v>
      </c>
    </row>
    <row r="603" spans="1:260" s="2" customFormat="1" ht="12.75" customHeight="1" x14ac:dyDescent="0.2">
      <c r="A603" s="28">
        <v>43462</v>
      </c>
      <c r="B603" s="31" t="s">
        <v>273</v>
      </c>
      <c r="C603" s="23"/>
      <c r="D603" s="23"/>
      <c r="E603" s="24"/>
      <c r="F603" s="24"/>
      <c r="G603" s="24"/>
      <c r="H603" s="24"/>
      <c r="I603" s="24"/>
      <c r="J603" s="24"/>
      <c r="K603" s="24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/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>
        <v>6</v>
      </c>
      <c r="IR603" s="7"/>
      <c r="IS603" s="7"/>
      <c r="IT603" s="7"/>
      <c r="IU603" s="7"/>
      <c r="IV603" s="7"/>
      <c r="IW603" s="7"/>
      <c r="IX603" s="7"/>
      <c r="IY603" s="11">
        <f t="shared" si="8"/>
        <v>6</v>
      </c>
      <c r="IZ603" s="25" t="s">
        <v>57</v>
      </c>
    </row>
    <row r="604" spans="1:260" s="2" customFormat="1" ht="12.75" customHeight="1" x14ac:dyDescent="0.2">
      <c r="A604" s="28">
        <v>43462</v>
      </c>
      <c r="B604" s="27" t="s">
        <v>352</v>
      </c>
      <c r="C604" s="23"/>
      <c r="D604" s="23"/>
      <c r="E604" s="24"/>
      <c r="F604" s="24"/>
      <c r="G604" s="24"/>
      <c r="H604" s="24"/>
      <c r="I604" s="24"/>
      <c r="J604" s="24"/>
      <c r="K604" s="24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>
        <v>100</v>
      </c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/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11">
        <f t="shared" si="8"/>
        <v>100</v>
      </c>
      <c r="IZ604" s="25" t="s">
        <v>25</v>
      </c>
    </row>
    <row r="605" spans="1:260" s="2" customFormat="1" ht="12.75" customHeight="1" x14ac:dyDescent="0.2">
      <c r="A605" s="28">
        <v>43462</v>
      </c>
      <c r="B605" s="32" t="s">
        <v>69</v>
      </c>
      <c r="C605" s="23"/>
      <c r="D605" s="23"/>
      <c r="E605" s="24"/>
      <c r="F605" s="24"/>
      <c r="G605" s="24"/>
      <c r="H605" s="24"/>
      <c r="I605" s="24"/>
      <c r="J605" s="24"/>
      <c r="K605" s="24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>
        <v>9</v>
      </c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>
        <v>10</v>
      </c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11">
        <f t="shared" si="8"/>
        <v>19</v>
      </c>
      <c r="IZ605" s="25" t="s">
        <v>25</v>
      </c>
    </row>
    <row r="606" spans="1:260" s="2" customFormat="1" ht="12.75" customHeight="1" x14ac:dyDescent="0.2">
      <c r="A606" s="28">
        <v>43462</v>
      </c>
      <c r="B606" s="31" t="s">
        <v>256</v>
      </c>
      <c r="C606" s="23"/>
      <c r="D606" s="23"/>
      <c r="E606" s="24"/>
      <c r="F606" s="24"/>
      <c r="G606" s="24"/>
      <c r="H606" s="24"/>
      <c r="I606" s="24"/>
      <c r="J606" s="24"/>
      <c r="K606" s="24"/>
      <c r="L606" s="7"/>
      <c r="M606" s="7"/>
      <c r="N606" s="7"/>
      <c r="O606" s="7">
        <v>10</v>
      </c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>
        <v>5</v>
      </c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/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/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11">
        <f t="shared" si="8"/>
        <v>15</v>
      </c>
      <c r="IZ606" s="25" t="s">
        <v>25</v>
      </c>
    </row>
    <row r="607" spans="1:260" s="2" customFormat="1" ht="12.75" customHeight="1" x14ac:dyDescent="0.2">
      <c r="A607" s="28">
        <v>43462</v>
      </c>
      <c r="B607" s="33" t="s">
        <v>29</v>
      </c>
      <c r="C607" s="23"/>
      <c r="D607" s="23"/>
      <c r="E607" s="24"/>
      <c r="F607" s="24"/>
      <c r="G607" s="24"/>
      <c r="H607" s="24"/>
      <c r="I607" s="24"/>
      <c r="J607" s="24"/>
      <c r="K607" s="24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>
        <v>20</v>
      </c>
      <c r="DU607" s="7"/>
      <c r="DV607" s="7"/>
      <c r="DW607" s="7"/>
      <c r="DX607" s="7"/>
      <c r="DY607" s="7"/>
      <c r="DZ607" s="7">
        <v>20</v>
      </c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>
        <v>22</v>
      </c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/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11">
        <f t="shared" si="8"/>
        <v>62</v>
      </c>
      <c r="IZ607" s="25" t="s">
        <v>25</v>
      </c>
    </row>
    <row r="608" spans="1:260" s="2" customFormat="1" ht="12.75" customHeight="1" x14ac:dyDescent="0.2">
      <c r="A608" s="28">
        <v>43463</v>
      </c>
      <c r="B608" s="31" t="s">
        <v>316</v>
      </c>
      <c r="C608" s="23"/>
      <c r="D608" s="23"/>
      <c r="E608" s="24"/>
      <c r="F608" s="24"/>
      <c r="G608" s="24"/>
      <c r="H608" s="24"/>
      <c r="I608" s="24"/>
      <c r="J608" s="24"/>
      <c r="K608" s="24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/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>
        <v>5</v>
      </c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11">
        <f t="shared" si="8"/>
        <v>5</v>
      </c>
      <c r="IZ608" s="25" t="s">
        <v>57</v>
      </c>
    </row>
    <row r="609" spans="1:260" s="2" customFormat="1" ht="12.75" customHeight="1" x14ac:dyDescent="0.2">
      <c r="A609" s="28">
        <v>43463</v>
      </c>
      <c r="B609" s="32" t="s">
        <v>297</v>
      </c>
      <c r="C609" s="23"/>
      <c r="D609" s="23"/>
      <c r="E609" s="24"/>
      <c r="F609" s="24"/>
      <c r="G609" s="24"/>
      <c r="H609" s="24"/>
      <c r="I609" s="24"/>
      <c r="J609" s="24"/>
      <c r="K609" s="24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>
        <v>1</v>
      </c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>
        <v>1.1000000000000001</v>
      </c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/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11">
        <f t="shared" si="8"/>
        <v>2.1</v>
      </c>
      <c r="IZ609" s="25" t="s">
        <v>25</v>
      </c>
    </row>
    <row r="610" spans="1:260" s="14" customFormat="1" ht="12" customHeight="1" x14ac:dyDescent="0.2">
      <c r="A610" s="20" t="s">
        <v>140</v>
      </c>
      <c r="B610" s="13"/>
      <c r="C610" s="30">
        <f>SUBTOTAL(9,C2:C604)</f>
        <v>0</v>
      </c>
      <c r="D610" s="30">
        <f>SUBTOTAL(9,D2:D604)</f>
        <v>310</v>
      </c>
      <c r="E610" s="30">
        <f>SUBTOTAL(9,E2:E604)</f>
        <v>628</v>
      </c>
      <c r="F610" s="30">
        <f>SUBTOTAL(9,F2:F604)</f>
        <v>4</v>
      </c>
      <c r="G610" s="30">
        <f>SUBTOTAL(9,G2:G604)</f>
        <v>13.2</v>
      </c>
      <c r="H610" s="30">
        <f>SUBTOTAL(9,H2:H604)</f>
        <v>44</v>
      </c>
      <c r="I610" s="30">
        <f>SUBTOTAL(9,I2:I604)</f>
        <v>160.69999999999999</v>
      </c>
      <c r="J610" s="30">
        <f>SUBTOTAL(9,J2:J604)</f>
        <v>80</v>
      </c>
      <c r="K610" s="30">
        <f>SUBTOTAL(9,K2:K604)</f>
        <v>1710</v>
      </c>
      <c r="L610" s="30">
        <f>SUBTOTAL(9,L2:L604)</f>
        <v>126.39999999999998</v>
      </c>
      <c r="M610" s="30">
        <f>SUBTOTAL(9,M2:M604)</f>
        <v>166.5</v>
      </c>
      <c r="N610" s="30">
        <f>SUBTOTAL(9,N2:N604)</f>
        <v>74</v>
      </c>
      <c r="O610" s="30">
        <f>SUBTOTAL(9,O2:O604)</f>
        <v>10</v>
      </c>
      <c r="P610" s="30">
        <f>SUBTOTAL(9,P2:P604)</f>
        <v>8</v>
      </c>
      <c r="Q610" s="30">
        <f>SUBTOTAL(9,Q2:Q604)</f>
        <v>52.8</v>
      </c>
      <c r="R610" s="30">
        <f>SUBTOTAL(9,R2:R604)</f>
        <v>314</v>
      </c>
      <c r="S610" s="30">
        <f>SUBTOTAL(9,S2:S604)</f>
        <v>216</v>
      </c>
      <c r="T610" s="30">
        <f>SUBTOTAL(9,T2:T604)</f>
        <v>36</v>
      </c>
      <c r="U610" s="30">
        <f>SUBTOTAL(9,U2:U604)</f>
        <v>39.599999999999994</v>
      </c>
      <c r="V610" s="30">
        <f>SUBTOTAL(9,V2:V604)</f>
        <v>70</v>
      </c>
      <c r="W610" s="30">
        <f>SUBTOTAL(9,W2:W604)</f>
        <v>12</v>
      </c>
      <c r="X610" s="30">
        <f>SUBTOTAL(9,X2:X604)</f>
        <v>309</v>
      </c>
      <c r="Y610" s="30">
        <f>SUBTOTAL(9,Y2:Y604)</f>
        <v>125</v>
      </c>
      <c r="Z610" s="30">
        <f>SUBTOTAL(9,Z2:Z604)</f>
        <v>60</v>
      </c>
      <c r="AA610" s="30">
        <f>SUBTOTAL(9,AA2:AA604)</f>
        <v>1</v>
      </c>
      <c r="AB610" s="30">
        <f>SUBTOTAL(9,AB2:AB604)</f>
        <v>2</v>
      </c>
      <c r="AC610" s="30">
        <f>SUBTOTAL(9,AC2:AC604)</f>
        <v>5</v>
      </c>
      <c r="AD610" s="30">
        <f>SUBTOTAL(9,AD2:AD604)</f>
        <v>12</v>
      </c>
      <c r="AE610" s="30">
        <f>SUBTOTAL(9,AE2:AE604)</f>
        <v>1</v>
      </c>
      <c r="AF610" s="30">
        <f>SUBTOTAL(9,AF2:AF604)</f>
        <v>262</v>
      </c>
      <c r="AG610" s="30">
        <f>SUBTOTAL(9,AG2:AG604)</f>
        <v>380</v>
      </c>
      <c r="AH610" s="30">
        <f>SUBTOTAL(9,AH2:AH604)</f>
        <v>334</v>
      </c>
      <c r="AI610" s="30">
        <f>SUBTOTAL(9,AI2:AI604)</f>
        <v>1</v>
      </c>
      <c r="AJ610" s="30">
        <f>SUBTOTAL(9,AJ2:AJ604)</f>
        <v>11</v>
      </c>
      <c r="AK610" s="30">
        <f>SUBTOTAL(9,AK2:AK604)</f>
        <v>15</v>
      </c>
      <c r="AL610" s="30">
        <f>SUBTOTAL(9,AL2:AL604)</f>
        <v>0</v>
      </c>
      <c r="AM610" s="30">
        <f>SUBTOTAL(9,AM2:AM604)</f>
        <v>271</v>
      </c>
      <c r="AN610" s="30">
        <f>SUBTOTAL(9,AN2:AN604)</f>
        <v>40</v>
      </c>
      <c r="AO610" s="30">
        <f>SUBTOTAL(9,AO2:AO604)</f>
        <v>1</v>
      </c>
      <c r="AP610" s="30">
        <f>SUBTOTAL(9,AP2:AP604)</f>
        <v>10</v>
      </c>
      <c r="AQ610" s="30">
        <f>SUBTOTAL(9,AQ2:AQ604)</f>
        <v>1</v>
      </c>
      <c r="AR610" s="30">
        <f>SUBTOTAL(9,AR2:AR604)</f>
        <v>189.00000000000003</v>
      </c>
      <c r="AS610" s="30">
        <f>SUBTOTAL(9,AS2:AS604)</f>
        <v>45</v>
      </c>
      <c r="AT610" s="30">
        <f>SUBTOTAL(9,AT2:AT604)</f>
        <v>1532</v>
      </c>
      <c r="AU610" s="30">
        <f>SUBTOTAL(9,AU2:AU604)</f>
        <v>0</v>
      </c>
      <c r="AV610" s="30">
        <f>SUBTOTAL(9,AV2:AV604)</f>
        <v>297.89999999999998</v>
      </c>
      <c r="AW610" s="30">
        <f>SUBTOTAL(9,AW2:AW604)</f>
        <v>0.9</v>
      </c>
      <c r="AX610" s="30">
        <f>SUBTOTAL(9,AX2:AX604)</f>
        <v>19</v>
      </c>
      <c r="AY610" s="30">
        <f>SUBTOTAL(9,AY2:AY604)</f>
        <v>1</v>
      </c>
      <c r="AZ610" s="30">
        <f>SUBTOTAL(9,AZ2:AZ604)</f>
        <v>20</v>
      </c>
      <c r="BA610" s="30">
        <f>SUBTOTAL(9,BA2:BA604)</f>
        <v>1</v>
      </c>
      <c r="BB610" s="30">
        <f>SUBTOTAL(9,BB2:BB604)</f>
        <v>60</v>
      </c>
      <c r="BC610" s="30">
        <f>SUBTOTAL(9,BC2:BC604)</f>
        <v>30</v>
      </c>
      <c r="BD610" s="30">
        <f>SUBTOTAL(9,BD2:BD604)</f>
        <v>0</v>
      </c>
      <c r="BE610" s="30">
        <f>SUBTOTAL(9,BE2:BE604)</f>
        <v>24.3</v>
      </c>
      <c r="BF610" s="30">
        <f>SUBTOTAL(9,BF2:BF604)</f>
        <v>303</v>
      </c>
      <c r="BG610" s="30">
        <f>SUBTOTAL(9,BG2:BG604)</f>
        <v>11</v>
      </c>
      <c r="BH610" s="30">
        <f>SUBTOTAL(9,BH2:BH604)</f>
        <v>2</v>
      </c>
      <c r="BI610" s="30">
        <f>SUBTOTAL(9,BI2:BI604)</f>
        <v>3</v>
      </c>
      <c r="BJ610" s="30">
        <f>SUBTOTAL(9,BJ2:BJ604)</f>
        <v>18</v>
      </c>
      <c r="BK610" s="30">
        <f>SUBTOTAL(9,BK2:BK604)</f>
        <v>1</v>
      </c>
      <c r="BL610" s="30">
        <f>SUBTOTAL(9,BL2:BL604)</f>
        <v>50</v>
      </c>
      <c r="BM610" s="30">
        <f>SUBTOTAL(9,BM2:BM604)</f>
        <v>13</v>
      </c>
      <c r="BN610" s="30">
        <f>SUBTOTAL(9,BN2:BN604)</f>
        <v>96</v>
      </c>
      <c r="BO610" s="30">
        <f>SUBTOTAL(9,BO2:BO604)</f>
        <v>8</v>
      </c>
      <c r="BP610" s="30">
        <f>SUBTOTAL(9,BP2:BP604)</f>
        <v>0</v>
      </c>
      <c r="BQ610" s="30">
        <f>SUBTOTAL(9,BQ2:BQ604)</f>
        <v>141</v>
      </c>
      <c r="BR610" s="30">
        <f>SUBTOTAL(9,BR2:BR604)</f>
        <v>64</v>
      </c>
      <c r="BS610" s="30">
        <f>SUBTOTAL(9,BS2:BS604)</f>
        <v>1</v>
      </c>
      <c r="BT610" s="30">
        <f>SUBTOTAL(9,BT2:BT604)</f>
        <v>20</v>
      </c>
      <c r="BU610" s="30">
        <f>SUBTOTAL(9,BU2:BU604)</f>
        <v>111</v>
      </c>
      <c r="BV610" s="30">
        <f>SUBTOTAL(9,BV2:BV604)</f>
        <v>5</v>
      </c>
      <c r="BW610" s="30">
        <f>SUBTOTAL(9,BW2:BW604)</f>
        <v>70</v>
      </c>
      <c r="BX610" s="30">
        <f>SUBTOTAL(9,BX2:BX604)</f>
        <v>18</v>
      </c>
      <c r="BY610" s="30">
        <f>SUBTOTAL(9,BY2:BY604)</f>
        <v>280</v>
      </c>
      <c r="BZ610" s="30">
        <f>SUBTOTAL(9,BZ2:BZ604)</f>
        <v>1100</v>
      </c>
      <c r="CA610" s="30">
        <f>SUBTOTAL(9,CA2:CA604)</f>
        <v>2</v>
      </c>
      <c r="CB610" s="30">
        <f>SUBTOTAL(9,CB2:CB604)</f>
        <v>2</v>
      </c>
      <c r="CC610" s="30">
        <f>SUBTOTAL(9,CC2:CC604)</f>
        <v>1.1000000000000001</v>
      </c>
      <c r="CD610" s="30">
        <f>SUBTOTAL(9,CD2:CD604)</f>
        <v>3</v>
      </c>
      <c r="CE610" s="30">
        <f>SUBTOTAL(9,CE2:CE604)</f>
        <v>1</v>
      </c>
      <c r="CF610" s="30">
        <f>SUBTOTAL(9,CF2:CF604)</f>
        <v>2</v>
      </c>
      <c r="CG610" s="30">
        <f>SUBTOTAL(9,CG2:CG604)</f>
        <v>111</v>
      </c>
      <c r="CH610" s="30">
        <f>SUBTOTAL(9,CH2:CH604)</f>
        <v>10</v>
      </c>
      <c r="CI610" s="30">
        <f>SUBTOTAL(9,CI2:CI604)</f>
        <v>10</v>
      </c>
      <c r="CJ610" s="30">
        <f>SUBTOTAL(9,CJ2:CJ604)</f>
        <v>111.6</v>
      </c>
      <c r="CK610" s="30">
        <f>SUBTOTAL(9,CK2:CK604)</f>
        <v>0</v>
      </c>
      <c r="CL610" s="30">
        <f>SUBTOTAL(9,CL2:CL604)</f>
        <v>0.9</v>
      </c>
      <c r="CM610" s="30">
        <f>SUBTOTAL(9,CM2:CM604)</f>
        <v>2068</v>
      </c>
      <c r="CN610" s="30">
        <f>SUBTOTAL(9,CN2:CN604)</f>
        <v>3</v>
      </c>
      <c r="CO610" s="30">
        <f>SUBTOTAL(9,CO2:CO604)</f>
        <v>4</v>
      </c>
      <c r="CP610" s="30">
        <f>SUBTOTAL(9,CP2:CP604)</f>
        <v>3905</v>
      </c>
      <c r="CQ610" s="30">
        <f>SUBTOTAL(9,CQ2:CQ604)</f>
        <v>80</v>
      </c>
      <c r="CR610" s="30">
        <f>SUBTOTAL(9,CR2:CR604)</f>
        <v>9</v>
      </c>
      <c r="CS610" s="30">
        <f>SUBTOTAL(9,CS2:CS604)</f>
        <v>5</v>
      </c>
      <c r="CT610" s="30">
        <f>SUBTOTAL(9,CT2:CT604)</f>
        <v>2</v>
      </c>
      <c r="CU610" s="30">
        <f>SUBTOTAL(9,CU2:CU604)</f>
        <v>1</v>
      </c>
      <c r="CV610" s="30">
        <f>SUBTOTAL(9,CV2:CV604)</f>
        <v>11</v>
      </c>
      <c r="CW610" s="30">
        <f>SUBTOTAL(9,CW2:CW604)</f>
        <v>283</v>
      </c>
      <c r="CX610" s="30">
        <f>SUBTOTAL(9,CX2:CX604)</f>
        <v>234.9</v>
      </c>
      <c r="CY610" s="30">
        <f>SUBTOTAL(9,CY2:CY604)</f>
        <v>56.8</v>
      </c>
      <c r="CZ610" s="30">
        <f>SUBTOTAL(9,CZ2:CZ604)</f>
        <v>63.999999999999986</v>
      </c>
      <c r="DA610" s="30">
        <f>SUBTOTAL(9,DA2:DA604)</f>
        <v>59</v>
      </c>
      <c r="DB610" s="30">
        <f>SUBTOTAL(9,DB2:DB604)</f>
        <v>32</v>
      </c>
      <c r="DC610" s="30">
        <f>SUBTOTAL(9,DC2:DC604)</f>
        <v>0</v>
      </c>
      <c r="DD610" s="30">
        <f>SUBTOTAL(9,DD2:DD604)</f>
        <v>0</v>
      </c>
      <c r="DE610" s="30">
        <f>SUBTOTAL(9,DE2:DE604)</f>
        <v>61</v>
      </c>
      <c r="DF610" s="30">
        <f>SUBTOTAL(9,DF2:DF604)</f>
        <v>16</v>
      </c>
      <c r="DG610" s="30">
        <f>SUBTOTAL(9,DG2:DG604)</f>
        <v>105</v>
      </c>
      <c r="DH610" s="30">
        <f>SUBTOTAL(9,DH2:DH604)</f>
        <v>0.9</v>
      </c>
      <c r="DI610" s="30">
        <f>SUBTOTAL(9,DI2:DI604)</f>
        <v>30</v>
      </c>
      <c r="DJ610" s="30">
        <f>SUBTOTAL(9,DJ2:DJ604)</f>
        <v>70</v>
      </c>
      <c r="DK610" s="30">
        <f>SUBTOTAL(9,DK2:DK604)</f>
        <v>15</v>
      </c>
      <c r="DL610" s="30">
        <f>SUBTOTAL(9,DL2:DL604)</f>
        <v>50</v>
      </c>
      <c r="DM610" s="30">
        <f>SUBTOTAL(9,DM2:DM604)</f>
        <v>9</v>
      </c>
      <c r="DN610" s="30">
        <f>SUBTOTAL(9,DN2:DN604)</f>
        <v>4</v>
      </c>
      <c r="DO610" s="30">
        <f>SUBTOTAL(9,DO2:DO604)</f>
        <v>60</v>
      </c>
      <c r="DP610" s="30">
        <f>SUBTOTAL(9,DP2:DP604)</f>
        <v>261</v>
      </c>
      <c r="DQ610" s="30">
        <f>SUBTOTAL(9,DQ2:DQ604)</f>
        <v>108</v>
      </c>
      <c r="DR610" s="30">
        <f>SUBTOTAL(9,DR2:DR604)</f>
        <v>96</v>
      </c>
      <c r="DS610" s="30">
        <f>SUBTOTAL(9,DS2:DS604)</f>
        <v>60</v>
      </c>
      <c r="DT610" s="30">
        <f>SUBTOTAL(9,DT2:DT604)</f>
        <v>270</v>
      </c>
      <c r="DU610" s="30">
        <f>SUBTOTAL(9,DU2:DU604)</f>
        <v>5</v>
      </c>
      <c r="DV610" s="30">
        <f>SUBTOTAL(9,DV2:DV604)</f>
        <v>620</v>
      </c>
      <c r="DW610" s="30">
        <f>SUBTOTAL(9,DW2:DW604)</f>
        <v>79</v>
      </c>
      <c r="DX610" s="30">
        <f>SUBTOTAL(9,DX2:DX604)</f>
        <v>1</v>
      </c>
      <c r="DY610" s="30">
        <f>SUBTOTAL(9,DY2:DY604)</f>
        <v>8</v>
      </c>
      <c r="DZ610" s="30">
        <f>SUBTOTAL(9,DZ2:DZ604)</f>
        <v>81</v>
      </c>
      <c r="EA610" s="30">
        <f>SUBTOTAL(9,EA2:EA604)</f>
        <v>2863</v>
      </c>
      <c r="EB610" s="30">
        <f>SUBTOTAL(9,EB2:EB604)</f>
        <v>5</v>
      </c>
      <c r="EC610" s="30">
        <f>SUBTOTAL(9,EC2:EC604)</f>
        <v>5</v>
      </c>
      <c r="ED610" s="30">
        <f>SUBTOTAL(9,ED2:ED604)</f>
        <v>0</v>
      </c>
      <c r="EE610" s="30">
        <f>SUBTOTAL(9,EE2:EE604)</f>
        <v>5.4</v>
      </c>
      <c r="EF610" s="30">
        <f>SUBTOTAL(9,EF2:EF604)</f>
        <v>0.9</v>
      </c>
      <c r="EG610" s="30">
        <f>SUBTOTAL(9,EG2:EG604)</f>
        <v>0</v>
      </c>
      <c r="EH610" s="30">
        <f>SUBTOTAL(9,EH2:EH604)</f>
        <v>0</v>
      </c>
      <c r="EI610" s="30">
        <f>SUBTOTAL(9,EI2:EI604)</f>
        <v>22.5</v>
      </c>
      <c r="EJ610" s="30">
        <f>SUBTOTAL(9,EJ2:EJ604)</f>
        <v>51</v>
      </c>
      <c r="EK610" s="30">
        <f>SUBTOTAL(9,EK2:EK604)</f>
        <v>1</v>
      </c>
      <c r="EL610" s="30">
        <f>SUBTOTAL(9,EL2:EL604)</f>
        <v>1</v>
      </c>
      <c r="EM610" s="30">
        <f>SUBTOTAL(9,EM2:EM604)</f>
        <v>4</v>
      </c>
      <c r="EN610" s="30">
        <f>SUBTOTAL(9,EN2:EN604)</f>
        <v>12</v>
      </c>
      <c r="EO610" s="30">
        <f>SUBTOTAL(9,EO2:EO604)</f>
        <v>53</v>
      </c>
      <c r="EP610" s="30">
        <f>SUBTOTAL(9,EP2:EP604)</f>
        <v>8</v>
      </c>
      <c r="EQ610" s="30">
        <f>SUBTOTAL(9,EQ2:EQ604)</f>
        <v>270</v>
      </c>
      <c r="ER610" s="30">
        <f>SUBTOTAL(9,ER2:ER604)</f>
        <v>304.19999999999987</v>
      </c>
      <c r="ES610" s="30">
        <f>SUBTOTAL(9,ES2:ES604)</f>
        <v>0.9</v>
      </c>
      <c r="ET610" s="30">
        <f>SUBTOTAL(9,ET2:ET604)</f>
        <v>2</v>
      </c>
      <c r="EU610" s="30">
        <f>SUBTOTAL(9,EU2:EU604)</f>
        <v>180</v>
      </c>
      <c r="EV610" s="30">
        <f>SUBTOTAL(9,EV2:EV604)</f>
        <v>0</v>
      </c>
      <c r="EW610" s="30">
        <f>SUBTOTAL(9,EW2:EW604)</f>
        <v>14</v>
      </c>
      <c r="EX610" s="30">
        <f>SUBTOTAL(9,EX2:EX604)</f>
        <v>1</v>
      </c>
      <c r="EY610" s="30">
        <f>SUBTOTAL(9,EY2:EY604)</f>
        <v>117</v>
      </c>
      <c r="EZ610" s="30">
        <f>SUBTOTAL(9,EZ2:EZ604)</f>
        <v>236</v>
      </c>
      <c r="FA610" s="30">
        <f>SUBTOTAL(9,FA2:FA604)</f>
        <v>209</v>
      </c>
      <c r="FB610" s="30">
        <f>SUBTOTAL(9,FB2:FB604)</f>
        <v>41.8</v>
      </c>
      <c r="FC610" s="30">
        <f>SUBTOTAL(9,FC2:FC604)</f>
        <v>30</v>
      </c>
      <c r="FD610" s="30">
        <f>SUBTOTAL(9,FD2:FD604)</f>
        <v>0</v>
      </c>
      <c r="FE610" s="30">
        <f>SUBTOTAL(9,FE2:FE604)</f>
        <v>3.3</v>
      </c>
      <c r="FF610" s="30">
        <f>SUBTOTAL(9,FF2:FF604)</f>
        <v>16</v>
      </c>
      <c r="FG610" s="30">
        <f>SUBTOTAL(9,FG2:FG604)</f>
        <v>9.8999999999999986</v>
      </c>
      <c r="FH610" s="30">
        <f>SUBTOTAL(9,FH2:FH604)</f>
        <v>150</v>
      </c>
      <c r="FI610" s="30">
        <f>SUBTOTAL(9,FI2:FI604)</f>
        <v>40</v>
      </c>
      <c r="FJ610" s="30">
        <f>SUBTOTAL(9,FJ2:FJ604)</f>
        <v>42</v>
      </c>
      <c r="FK610" s="30">
        <f>SUBTOTAL(9,FK2:FK604)</f>
        <v>19</v>
      </c>
      <c r="FL610" s="30">
        <f>SUBTOTAL(9,FL2:FL604)</f>
        <v>976</v>
      </c>
      <c r="FM610" s="30">
        <f>SUBTOTAL(9,FM2:FM604)</f>
        <v>13</v>
      </c>
      <c r="FN610" s="30">
        <f>SUBTOTAL(9,FN2:FN604)</f>
        <v>1</v>
      </c>
      <c r="FO610" s="30">
        <f>SUBTOTAL(9,FO2:FO604)</f>
        <v>1</v>
      </c>
      <c r="FP610" s="30">
        <f>SUBTOTAL(9,FP2:FP604)</f>
        <v>3.2</v>
      </c>
      <c r="FQ610" s="30">
        <f>SUBTOTAL(9,FQ2:FQ604)</f>
        <v>1</v>
      </c>
      <c r="FR610" s="30">
        <f>SUBTOTAL(9,FR2:FR604)</f>
        <v>50</v>
      </c>
      <c r="FS610" s="30">
        <f>SUBTOTAL(9,FS2:FS604)</f>
        <v>243</v>
      </c>
      <c r="FT610" s="30">
        <f>SUBTOTAL(9,FT2:FT604)</f>
        <v>197</v>
      </c>
      <c r="FU610" s="30">
        <f>SUBTOTAL(9,FU2:FU604)</f>
        <v>40</v>
      </c>
      <c r="FV610" s="30">
        <f>SUBTOTAL(9,FV2:FV604)</f>
        <v>28.6</v>
      </c>
      <c r="FW610" s="30">
        <f>SUBTOTAL(9,FW2:FW604)</f>
        <v>220</v>
      </c>
      <c r="FX610" s="30">
        <f>SUBTOTAL(9,FX2:FX604)</f>
        <v>1.1000000000000001</v>
      </c>
      <c r="FY610" s="30">
        <f>SUBTOTAL(9,FY2:FY604)</f>
        <v>100</v>
      </c>
      <c r="FZ610" s="30">
        <f>SUBTOTAL(9,FZ2:FZ604)</f>
        <v>0</v>
      </c>
      <c r="GA610" s="30">
        <f>SUBTOTAL(9,GA2:GA604)</f>
        <v>4</v>
      </c>
      <c r="GB610" s="30">
        <f>SUBTOTAL(9,GB2:GB604)</f>
        <v>29.6</v>
      </c>
      <c r="GC610" s="30">
        <f>SUBTOTAL(9,GC2:GC604)</f>
        <v>11</v>
      </c>
      <c r="GD610" s="30">
        <f>SUBTOTAL(9,GD2:GD604)</f>
        <v>20</v>
      </c>
      <c r="GE610" s="30">
        <f>SUBTOTAL(9,GE2:GE604)</f>
        <v>33</v>
      </c>
      <c r="GF610" s="30">
        <f>SUBTOTAL(9,GF2:GF604)</f>
        <v>49</v>
      </c>
      <c r="GG610" s="30">
        <f>SUBTOTAL(9,GG2:GG604)</f>
        <v>1</v>
      </c>
      <c r="GH610" s="30">
        <f>SUBTOTAL(9,GH2:GH604)</f>
        <v>19.800000000000004</v>
      </c>
      <c r="GI610" s="30">
        <f>SUBTOTAL(9,GI2:GI604)</f>
        <v>0</v>
      </c>
      <c r="GJ610" s="30">
        <f>SUBTOTAL(9,GJ2:GJ604)</f>
        <v>1</v>
      </c>
      <c r="GK610" s="30">
        <f>SUBTOTAL(9,GK2:GK604)</f>
        <v>0</v>
      </c>
      <c r="GL610" s="30">
        <f>SUBTOTAL(9,GL2:GL604)</f>
        <v>0</v>
      </c>
      <c r="GM610" s="30">
        <f>SUBTOTAL(9,GM2:GM604)</f>
        <v>5</v>
      </c>
      <c r="GN610" s="30">
        <f>SUBTOTAL(9,GN2:GN604)</f>
        <v>0</v>
      </c>
      <c r="GO610" s="30">
        <f>SUBTOTAL(9,GO2:GO604)</f>
        <v>165</v>
      </c>
      <c r="GP610" s="30">
        <f>SUBTOTAL(9,GP2:GP604)</f>
        <v>1</v>
      </c>
      <c r="GQ610" s="30">
        <f>SUBTOTAL(9,GQ2:GQ604)</f>
        <v>659</v>
      </c>
      <c r="GR610" s="30">
        <f>SUBTOTAL(9,GR2:GR604)</f>
        <v>75</v>
      </c>
      <c r="GS610" s="30">
        <f>SUBTOTAL(9,GS2:GS604)</f>
        <v>1</v>
      </c>
      <c r="GT610" s="30">
        <f>SUBTOTAL(9,GT2:GT604)</f>
        <v>740</v>
      </c>
      <c r="GU610" s="30">
        <f>SUBTOTAL(9,GU2:GU604)</f>
        <v>96</v>
      </c>
      <c r="GV610" s="30">
        <f>SUBTOTAL(9,GV2:GV604)</f>
        <v>3</v>
      </c>
      <c r="GW610" s="30">
        <f>SUBTOTAL(9,GW2:GW604)</f>
        <v>79.2</v>
      </c>
      <c r="GX610" s="30">
        <f>SUBTOTAL(9,GX2:GX604)</f>
        <v>40</v>
      </c>
      <c r="GY610" s="30">
        <f>SUBTOTAL(9,GY2:GY604)</f>
        <v>0</v>
      </c>
      <c r="GZ610" s="30">
        <f>SUBTOTAL(9,GZ2:GZ604)</f>
        <v>22</v>
      </c>
      <c r="HA610" s="30">
        <f>SUBTOTAL(9,HA2:HA604)</f>
        <v>2</v>
      </c>
      <c r="HB610" s="30">
        <f>SUBTOTAL(9,HB2:HB604)</f>
        <v>0</v>
      </c>
      <c r="HC610" s="30">
        <f>SUBTOTAL(9,HC2:HC604)</f>
        <v>1</v>
      </c>
      <c r="HD610" s="30">
        <f>SUBTOTAL(9,HD2:HD604)</f>
        <v>5</v>
      </c>
      <c r="HE610" s="30">
        <f>SUBTOTAL(9,HE2:HE604)</f>
        <v>7</v>
      </c>
      <c r="HF610" s="30">
        <f>SUBTOTAL(9,HF2:HF604)</f>
        <v>2</v>
      </c>
      <c r="HG610" s="30">
        <f>SUBTOTAL(9,HG2:HG604)</f>
        <v>4</v>
      </c>
      <c r="HH610" s="30">
        <f>SUBTOTAL(9,HH2:HH604)</f>
        <v>1</v>
      </c>
      <c r="HI610" s="30">
        <f>SUBTOTAL(9,HI2:HI604)</f>
        <v>0</v>
      </c>
      <c r="HJ610" s="30">
        <f>SUBTOTAL(9,HJ2:HJ604)</f>
        <v>4</v>
      </c>
      <c r="HK610" s="30">
        <f>SUBTOTAL(9,HK2:HK604)</f>
        <v>1</v>
      </c>
      <c r="HL610" s="30">
        <f>SUBTOTAL(9,HL2:HL604)</f>
        <v>1</v>
      </c>
      <c r="HM610" s="30">
        <f>SUBTOTAL(9,HM2:HM604)</f>
        <v>7</v>
      </c>
      <c r="HN610" s="30">
        <f>SUBTOTAL(9,HN2:HN604)</f>
        <v>2</v>
      </c>
      <c r="HO610" s="30">
        <f>SUBTOTAL(9,HO2:HO604)</f>
        <v>23</v>
      </c>
      <c r="HP610" s="30">
        <f>SUBTOTAL(9,HP2:HP604)</f>
        <v>1</v>
      </c>
      <c r="HQ610" s="30">
        <f>SUBTOTAL(9,HQ2:HQ604)</f>
        <v>26</v>
      </c>
      <c r="HR610" s="30">
        <f>SUBTOTAL(9,HR2:HR604)</f>
        <v>1</v>
      </c>
      <c r="HS610" s="30">
        <f>SUBTOTAL(9,HS2:HS604)</f>
        <v>18</v>
      </c>
      <c r="HT610" s="30">
        <f>SUBTOTAL(9,HT2:HT604)</f>
        <v>1</v>
      </c>
      <c r="HU610" s="30">
        <f>SUBTOTAL(9,HU2:HU604)</f>
        <v>1</v>
      </c>
      <c r="HV610" s="30">
        <f>SUBTOTAL(9,HV2:HV604)</f>
        <v>0</v>
      </c>
      <c r="HW610" s="30">
        <f>SUBTOTAL(9,HW2:HW604)</f>
        <v>0</v>
      </c>
      <c r="HX610" s="30">
        <f>SUBTOTAL(9,HX2:HX604)</f>
        <v>1</v>
      </c>
      <c r="HY610" s="30">
        <f>SUBTOTAL(9,HY2:HY604)</f>
        <v>3</v>
      </c>
      <c r="HZ610" s="30">
        <f>SUBTOTAL(9,HZ2:HZ604)</f>
        <v>1</v>
      </c>
      <c r="IA610" s="30">
        <f>SUBTOTAL(9,IA2:IA604)</f>
        <v>0</v>
      </c>
      <c r="IB610" s="30">
        <f>SUBTOTAL(9,IB2:IB604)</f>
        <v>1</v>
      </c>
      <c r="IC610" s="30">
        <f>SUBTOTAL(9,IC2:IC604)</f>
        <v>1</v>
      </c>
      <c r="ID610" s="30">
        <f>SUBTOTAL(9,ID2:ID604)</f>
        <v>271.3</v>
      </c>
      <c r="IE610" s="30">
        <f>SUBTOTAL(9,IE2:IE604)</f>
        <v>25</v>
      </c>
      <c r="IF610" s="30">
        <f>SUBTOTAL(9,IF2:IF604)</f>
        <v>285</v>
      </c>
      <c r="IG610" s="30">
        <f>SUBTOTAL(9,IG2:IG604)</f>
        <v>1</v>
      </c>
      <c r="IH610" s="30">
        <f>SUBTOTAL(9,IH2:IH604)</f>
        <v>24</v>
      </c>
      <c r="II610" s="30">
        <f>SUBTOTAL(9,II2:II604)</f>
        <v>29</v>
      </c>
      <c r="IJ610" s="30">
        <f>SUBTOTAL(9,IJ2:IJ604)</f>
        <v>6</v>
      </c>
      <c r="IK610" s="30">
        <f>SUBTOTAL(9,IK2:IK604)</f>
        <v>5</v>
      </c>
      <c r="IL610" s="30">
        <f>SUBTOTAL(9,IL2:IL604)</f>
        <v>60</v>
      </c>
      <c r="IM610" s="30">
        <f>SUBTOTAL(9,IM2:IM604)</f>
        <v>158.30000000000001</v>
      </c>
      <c r="IN610" s="30">
        <f>SUBTOTAL(9,IN2:IN604)</f>
        <v>2</v>
      </c>
      <c r="IO610" s="30">
        <f>SUBTOTAL(9,IO2:IO604)</f>
        <v>3</v>
      </c>
      <c r="IP610" s="30">
        <f>SUBTOTAL(9,IP2:IP604)</f>
        <v>9</v>
      </c>
      <c r="IQ610" s="30">
        <f>SUBTOTAL(9,IQ2:IQ604)</f>
        <v>35</v>
      </c>
      <c r="IR610" s="30">
        <f>SUBTOTAL(9,IR2:IR604)</f>
        <v>125</v>
      </c>
      <c r="IS610" s="30">
        <f>SUBTOTAL(9,IS2:IS604)</f>
        <v>220</v>
      </c>
      <c r="IT610" s="30">
        <f>SUBTOTAL(9,IT2:IT604)</f>
        <v>1425</v>
      </c>
      <c r="IU610" s="30">
        <f>SUBTOTAL(9,IU2:IU604)</f>
        <v>300</v>
      </c>
      <c r="IV610" s="30">
        <f>SUBTOTAL(9,IV2:IV604)</f>
        <v>850</v>
      </c>
      <c r="IW610" s="30">
        <f>SUBTOTAL(9,IW2:IW604)</f>
        <v>40</v>
      </c>
      <c r="IX610" s="30">
        <f>SUBTOTAL(9,IX2:IX604)</f>
        <v>3</v>
      </c>
      <c r="IY610" s="21"/>
      <c r="IZ610" s="22"/>
    </row>
    <row r="611" spans="1:260" ht="12.75" customHeight="1" x14ac:dyDescent="0.2">
      <c r="A611" s="18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IY611" s="3"/>
      <c r="IZ611" s="3"/>
    </row>
    <row r="612" spans="1:260" ht="12.75" customHeight="1" x14ac:dyDescent="0.2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IY612" s="3"/>
      <c r="IZ612" s="3"/>
    </row>
    <row r="613" spans="1:260" ht="12.75" customHeight="1" x14ac:dyDescent="0.2">
      <c r="A613" s="18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IY613" s="3"/>
      <c r="IZ613" s="3"/>
    </row>
    <row r="614" spans="1:260" x14ac:dyDescent="0.2">
      <c r="A614" s="18"/>
      <c r="B614" s="34" t="s">
        <v>347</v>
      </c>
      <c r="C614" s="19"/>
      <c r="D614" s="19"/>
      <c r="E614" s="19"/>
      <c r="F614" s="19"/>
      <c r="G614" s="19"/>
      <c r="H614" s="19"/>
      <c r="I614" s="19"/>
      <c r="J614" s="19"/>
      <c r="K614" s="19"/>
      <c r="IY614" s="15"/>
      <c r="IZ614" s="14" t="s">
        <v>172</v>
      </c>
    </row>
    <row r="615" spans="1:260" x14ac:dyDescent="0.2">
      <c r="A615" s="18"/>
      <c r="B615" s="35" t="s">
        <v>348</v>
      </c>
      <c r="C615" s="19"/>
      <c r="D615" s="19"/>
      <c r="E615" s="19"/>
      <c r="F615" s="19"/>
      <c r="G615" s="19"/>
      <c r="H615" s="19"/>
      <c r="I615" s="19"/>
      <c r="J615" s="19"/>
      <c r="K615" s="19"/>
      <c r="IY615" s="3"/>
      <c r="IZ615" s="14" t="s">
        <v>172</v>
      </c>
    </row>
    <row r="616" spans="1:260" x14ac:dyDescent="0.2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IY616" s="3"/>
      <c r="IZ616" s="3"/>
    </row>
    <row r="617" spans="1:260" x14ac:dyDescent="0.2">
      <c r="A617" s="18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IY617" s="3"/>
      <c r="IZ617" s="3"/>
    </row>
    <row r="618" spans="1:260" ht="12" customHeight="1" x14ac:dyDescent="0.2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IY618" s="3"/>
      <c r="IZ618" s="3"/>
    </row>
    <row r="619" spans="1:260" x14ac:dyDescent="0.2">
      <c r="A619" s="18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IY619" s="3"/>
      <c r="IZ619" s="3"/>
    </row>
    <row r="620" spans="1:260" x14ac:dyDescent="0.2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IY620" s="3"/>
      <c r="IZ620" s="3"/>
    </row>
    <row r="621" spans="1:260" x14ac:dyDescent="0.2">
      <c r="A621" s="18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IY621" s="3"/>
      <c r="IZ621" s="3"/>
    </row>
    <row r="622" spans="1:260" x14ac:dyDescent="0.2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IY622" s="3"/>
      <c r="IZ622" s="3"/>
    </row>
    <row r="623" spans="1:260" x14ac:dyDescent="0.2">
      <c r="A623" s="18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IY623" s="3"/>
      <c r="IZ623" s="3"/>
    </row>
    <row r="624" spans="1:260" x14ac:dyDescent="0.2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IY624" s="3"/>
      <c r="IZ624" s="3"/>
    </row>
    <row r="625" spans="1:260" x14ac:dyDescent="0.2">
      <c r="A625" s="18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IY625" s="3"/>
      <c r="IZ625" s="3"/>
    </row>
    <row r="626" spans="1:260" x14ac:dyDescent="0.2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IY626" s="3"/>
      <c r="IZ626" s="3"/>
    </row>
    <row r="627" spans="1:260" x14ac:dyDescent="0.2">
      <c r="A627" s="18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IY627" s="3"/>
      <c r="IZ627" s="3"/>
    </row>
    <row r="628" spans="1:260" x14ac:dyDescent="0.2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IY628" s="3"/>
      <c r="IZ628" s="3"/>
    </row>
    <row r="629" spans="1:260" x14ac:dyDescent="0.2">
      <c r="A629" s="18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IY629" s="3"/>
      <c r="IZ629" s="3"/>
    </row>
    <row r="630" spans="1:260" x14ac:dyDescent="0.2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IY630" s="3"/>
      <c r="IZ630" s="3"/>
    </row>
    <row r="631" spans="1:260" x14ac:dyDescent="0.2">
      <c r="A631" s="18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IY631" s="3"/>
      <c r="IZ631" s="3"/>
    </row>
    <row r="632" spans="1:260" x14ac:dyDescent="0.2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IY632" s="3"/>
      <c r="IZ632" s="3"/>
    </row>
    <row r="633" spans="1:260" x14ac:dyDescent="0.2">
      <c r="A633" s="18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IY633" s="3"/>
      <c r="IZ633" s="3"/>
    </row>
    <row r="634" spans="1:260" x14ac:dyDescent="0.2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IY634" s="3"/>
      <c r="IZ634" s="3"/>
    </row>
    <row r="635" spans="1:260" x14ac:dyDescent="0.2">
      <c r="A635" s="18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IY635" s="3"/>
      <c r="IZ635" s="3"/>
    </row>
    <row r="636" spans="1:260" x14ac:dyDescent="0.2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IY636" s="3"/>
      <c r="IZ636" s="3"/>
    </row>
    <row r="637" spans="1:260" x14ac:dyDescent="0.2">
      <c r="A637" s="18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IY637" s="3"/>
      <c r="IZ637" s="3"/>
    </row>
    <row r="638" spans="1:260" x14ac:dyDescent="0.2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IY638" s="3"/>
      <c r="IZ638" s="3"/>
    </row>
    <row r="639" spans="1:260" x14ac:dyDescent="0.2">
      <c r="A639" s="18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IY639" s="3"/>
      <c r="IZ639" s="3"/>
    </row>
    <row r="640" spans="1:260" x14ac:dyDescent="0.2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IY640" s="3"/>
      <c r="IZ640" s="3"/>
    </row>
    <row r="641" spans="1:260" x14ac:dyDescent="0.2">
      <c r="A641" s="18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IY641" s="3"/>
      <c r="IZ641" s="3"/>
    </row>
    <row r="642" spans="1:260" x14ac:dyDescent="0.2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IY642" s="3"/>
      <c r="IZ642" s="3"/>
    </row>
    <row r="643" spans="1:260" x14ac:dyDescent="0.2">
      <c r="A643" s="18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IY643" s="3"/>
      <c r="IZ643" s="3"/>
    </row>
    <row r="644" spans="1:260" ht="12.75" customHeight="1" x14ac:dyDescent="0.2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IY644" s="3"/>
      <c r="IZ644" s="3"/>
    </row>
    <row r="645" spans="1:260" x14ac:dyDescent="0.2">
      <c r="A645" s="18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IY645" s="3"/>
      <c r="IZ645" s="3"/>
    </row>
    <row r="646" spans="1:260" x14ac:dyDescent="0.2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IY646" s="3"/>
      <c r="IZ646" s="3"/>
    </row>
    <row r="647" spans="1:260" x14ac:dyDescent="0.2">
      <c r="A647" s="18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IY647" s="3"/>
      <c r="IZ647" s="3"/>
    </row>
    <row r="648" spans="1:260" x14ac:dyDescent="0.2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IY648" s="3"/>
      <c r="IZ648" s="3"/>
    </row>
    <row r="649" spans="1:260" x14ac:dyDescent="0.2">
      <c r="A649" s="18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IY649" s="3"/>
      <c r="IZ649" s="3"/>
    </row>
    <row r="650" spans="1:260" x14ac:dyDescent="0.2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IY650" s="3"/>
      <c r="IZ650" s="3"/>
    </row>
    <row r="651" spans="1:260" x14ac:dyDescent="0.2">
      <c r="A651" s="18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IY651" s="3"/>
      <c r="IZ651" s="3"/>
    </row>
    <row r="652" spans="1:260" x14ac:dyDescent="0.2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IY652" s="3"/>
      <c r="IZ652" s="3"/>
    </row>
    <row r="653" spans="1:260" x14ac:dyDescent="0.2">
      <c r="A653" s="18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IY653" s="3"/>
      <c r="IZ653" s="3"/>
    </row>
    <row r="654" spans="1:260" x14ac:dyDescent="0.2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IY654" s="3"/>
      <c r="IZ654" s="3"/>
    </row>
    <row r="655" spans="1:260" x14ac:dyDescent="0.2">
      <c r="A655" s="18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IY655" s="3"/>
      <c r="IZ655" s="3"/>
    </row>
    <row r="656" spans="1:260" x14ac:dyDescent="0.2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IY656" s="3"/>
      <c r="IZ656" s="3"/>
    </row>
    <row r="657" spans="1:260" x14ac:dyDescent="0.2">
      <c r="A657" s="18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IY657" s="3"/>
      <c r="IZ657" s="3"/>
    </row>
    <row r="658" spans="1:260" x14ac:dyDescent="0.2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IY658" s="3"/>
      <c r="IZ658" s="3"/>
    </row>
    <row r="659" spans="1:260" x14ac:dyDescent="0.2">
      <c r="A659" s="18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IY659" s="3"/>
      <c r="IZ659" s="3"/>
    </row>
    <row r="660" spans="1:260" x14ac:dyDescent="0.2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IY660" s="3"/>
      <c r="IZ660" s="3"/>
    </row>
    <row r="661" spans="1:260" x14ac:dyDescent="0.2">
      <c r="A661" s="18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IY661" s="3"/>
      <c r="IZ661" s="3"/>
    </row>
    <row r="662" spans="1:260" x14ac:dyDescent="0.2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IY662" s="3"/>
      <c r="IZ662" s="3"/>
    </row>
    <row r="663" spans="1:260" x14ac:dyDescent="0.2">
      <c r="A663" s="18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IY663" s="3"/>
      <c r="IZ663" s="3"/>
    </row>
    <row r="664" spans="1:260" x14ac:dyDescent="0.2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IY664" s="3"/>
      <c r="IZ664" s="3"/>
    </row>
    <row r="665" spans="1:260" x14ac:dyDescent="0.2">
      <c r="A665" s="18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IY665" s="3"/>
      <c r="IZ665" s="3"/>
    </row>
    <row r="666" spans="1:260" x14ac:dyDescent="0.2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IY666" s="3"/>
      <c r="IZ666" s="3"/>
    </row>
    <row r="667" spans="1:260" x14ac:dyDescent="0.2">
      <c r="A667" s="18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IY667" s="3"/>
      <c r="IZ667" s="3"/>
    </row>
    <row r="668" spans="1:260" x14ac:dyDescent="0.2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IY668" s="3"/>
      <c r="IZ668" s="3"/>
    </row>
    <row r="669" spans="1:260" x14ac:dyDescent="0.2">
      <c r="A669" s="18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IY669" s="3"/>
      <c r="IZ669" s="3"/>
    </row>
    <row r="670" spans="1:260" x14ac:dyDescent="0.2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IY670" s="3"/>
      <c r="IZ670" s="3"/>
    </row>
    <row r="671" spans="1:260" x14ac:dyDescent="0.2">
      <c r="A671" s="18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IY671" s="3"/>
      <c r="IZ671" s="3"/>
    </row>
    <row r="672" spans="1:260" x14ac:dyDescent="0.2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IY672" s="3"/>
      <c r="IZ672" s="3"/>
    </row>
    <row r="673" spans="1:260" x14ac:dyDescent="0.2">
      <c r="A673" s="18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IY673" s="3"/>
      <c r="IZ673" s="3"/>
    </row>
    <row r="674" spans="1:260" x14ac:dyDescent="0.2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IY674" s="3"/>
      <c r="IZ674" s="3"/>
    </row>
    <row r="675" spans="1:260" x14ac:dyDescent="0.2">
      <c r="A675" s="18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IY675" s="3"/>
      <c r="IZ675" s="3"/>
    </row>
    <row r="676" spans="1:260" x14ac:dyDescent="0.2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IY676" s="3"/>
      <c r="IZ676" s="3"/>
    </row>
    <row r="677" spans="1:260" x14ac:dyDescent="0.2">
      <c r="A677" s="18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IY677" s="3"/>
      <c r="IZ677" s="3"/>
    </row>
    <row r="678" spans="1:260" x14ac:dyDescent="0.2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IY678" s="3"/>
      <c r="IZ678" s="3"/>
    </row>
    <row r="679" spans="1:260" x14ac:dyDescent="0.2">
      <c r="A679" s="18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IY679" s="3"/>
      <c r="IZ679" s="3"/>
    </row>
    <row r="680" spans="1:260" x14ac:dyDescent="0.2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IY680" s="3"/>
      <c r="IZ680" s="3"/>
    </row>
    <row r="681" spans="1:260" x14ac:dyDescent="0.2">
      <c r="A681" s="18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IY681" s="3"/>
      <c r="IZ681" s="3"/>
    </row>
    <row r="682" spans="1:260" x14ac:dyDescent="0.2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IY682" s="3"/>
      <c r="IZ682" s="3"/>
    </row>
    <row r="683" spans="1:260" x14ac:dyDescent="0.2">
      <c r="A683" s="18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IY683" s="3"/>
      <c r="IZ683" s="3"/>
    </row>
    <row r="684" spans="1:260" x14ac:dyDescent="0.2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IY684" s="3"/>
      <c r="IZ684" s="3"/>
    </row>
    <row r="685" spans="1:260" x14ac:dyDescent="0.2">
      <c r="A685" s="18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IY685" s="3"/>
      <c r="IZ685" s="3"/>
    </row>
    <row r="686" spans="1:260" x14ac:dyDescent="0.2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IY686" s="3"/>
      <c r="IZ686" s="3"/>
    </row>
    <row r="687" spans="1:260" x14ac:dyDescent="0.2">
      <c r="A687" s="18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IY687" s="3"/>
      <c r="IZ687" s="3"/>
    </row>
    <row r="688" spans="1:260" x14ac:dyDescent="0.2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IY688" s="3"/>
      <c r="IZ688" s="3"/>
    </row>
    <row r="689" spans="1:260" x14ac:dyDescent="0.2">
      <c r="A689" s="18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IY689" s="3"/>
      <c r="IZ689" s="3"/>
    </row>
    <row r="690" spans="1:260" x14ac:dyDescent="0.2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IY690" s="3"/>
      <c r="IZ690" s="3"/>
    </row>
    <row r="691" spans="1:260" x14ac:dyDescent="0.2">
      <c r="A691" s="18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IY691" s="3"/>
      <c r="IZ691" s="3"/>
    </row>
    <row r="692" spans="1:260" x14ac:dyDescent="0.2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IY692" s="3"/>
      <c r="IZ692" s="3"/>
    </row>
    <row r="693" spans="1:260" x14ac:dyDescent="0.2">
      <c r="A693" s="18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IY693" s="3"/>
      <c r="IZ693" s="3"/>
    </row>
    <row r="694" spans="1:260" x14ac:dyDescent="0.2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IY694" s="3"/>
      <c r="IZ694" s="3"/>
    </row>
    <row r="695" spans="1:260" x14ac:dyDescent="0.2">
      <c r="A695" s="18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IY695" s="3"/>
      <c r="IZ695" s="3"/>
    </row>
    <row r="696" spans="1:260" x14ac:dyDescent="0.2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IY696" s="3"/>
      <c r="IZ696" s="3"/>
    </row>
    <row r="697" spans="1:260" x14ac:dyDescent="0.2">
      <c r="A697" s="18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IY697" s="3"/>
      <c r="IZ697" s="3"/>
    </row>
    <row r="698" spans="1:260" x14ac:dyDescent="0.2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IY698" s="3"/>
      <c r="IZ698" s="3"/>
    </row>
    <row r="699" spans="1:260" x14ac:dyDescent="0.2">
      <c r="A699" s="18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IY699" s="3"/>
      <c r="IZ699" s="3"/>
    </row>
    <row r="700" spans="1:260" x14ac:dyDescent="0.2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IY700" s="3"/>
      <c r="IZ700" s="3"/>
    </row>
    <row r="701" spans="1:260" x14ac:dyDescent="0.2">
      <c r="A701" s="18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IY701" s="3"/>
      <c r="IZ701" s="3"/>
    </row>
    <row r="702" spans="1:260" x14ac:dyDescent="0.2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IY702" s="3"/>
      <c r="IZ702" s="3"/>
    </row>
    <row r="703" spans="1:260" x14ac:dyDescent="0.2">
      <c r="A703" s="18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IY703" s="3"/>
      <c r="IZ703" s="3"/>
    </row>
    <row r="704" spans="1:260" x14ac:dyDescent="0.2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IY704" s="3"/>
      <c r="IZ704" s="3"/>
    </row>
    <row r="705" spans="1:260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IY705" s="3"/>
      <c r="IZ705" s="3"/>
    </row>
    <row r="706" spans="1:260" x14ac:dyDescent="0.2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IY706" s="3"/>
      <c r="IZ706" s="3"/>
    </row>
    <row r="707" spans="1:260" x14ac:dyDescent="0.2">
      <c r="A707" s="18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IY707" s="3"/>
      <c r="IZ707" s="3"/>
    </row>
    <row r="708" spans="1:260" x14ac:dyDescent="0.2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IY708" s="3"/>
      <c r="IZ708" s="3"/>
    </row>
    <row r="709" spans="1:260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IY709" s="3"/>
      <c r="IZ709" s="3"/>
    </row>
    <row r="710" spans="1:260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IY710" s="3"/>
      <c r="IZ710" s="3"/>
    </row>
    <row r="711" spans="1:260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IY711" s="3"/>
      <c r="IZ711" s="3"/>
    </row>
    <row r="712" spans="1:260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IY712" s="3"/>
      <c r="IZ712" s="3"/>
    </row>
    <row r="713" spans="1:260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IY713" s="3"/>
      <c r="IZ713" s="3"/>
    </row>
    <row r="714" spans="1:260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IY714" s="3"/>
      <c r="IZ714" s="3"/>
    </row>
    <row r="715" spans="1:260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IY715" s="3"/>
      <c r="IZ715" s="3"/>
    </row>
    <row r="716" spans="1:260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IY716" s="3"/>
      <c r="IZ716" s="3"/>
    </row>
    <row r="717" spans="1:260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IY717" s="3"/>
      <c r="IZ717" s="3"/>
    </row>
    <row r="718" spans="1:260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IY718" s="3"/>
      <c r="IZ718" s="3"/>
    </row>
    <row r="719" spans="1:260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IY719" s="3"/>
      <c r="IZ719" s="3"/>
    </row>
    <row r="720" spans="1:260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IY720" s="3"/>
      <c r="IZ720" s="3"/>
    </row>
    <row r="721" spans="1:260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IY721" s="3"/>
      <c r="IZ721" s="3"/>
    </row>
    <row r="722" spans="1:260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IY722" s="3"/>
      <c r="IZ722" s="3"/>
    </row>
    <row r="723" spans="1:260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IY723" s="3"/>
      <c r="IZ723" s="3"/>
    </row>
    <row r="724" spans="1:260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IY724" s="3"/>
      <c r="IZ724" s="3"/>
    </row>
    <row r="725" spans="1:260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IY725" s="3"/>
      <c r="IZ725" s="3"/>
    </row>
    <row r="726" spans="1:260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IY726" s="3"/>
      <c r="IZ726" s="3"/>
    </row>
    <row r="727" spans="1:260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IY727" s="3"/>
      <c r="IZ727" s="3"/>
    </row>
    <row r="728" spans="1:260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IY728" s="3"/>
      <c r="IZ728" s="3"/>
    </row>
    <row r="729" spans="1:260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IY729" s="3"/>
      <c r="IZ729" s="3"/>
    </row>
    <row r="730" spans="1:260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IY730" s="3"/>
      <c r="IZ730" s="3"/>
    </row>
    <row r="731" spans="1:260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IY731" s="3"/>
      <c r="IZ731" s="3"/>
    </row>
    <row r="732" spans="1:260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IY732" s="3"/>
      <c r="IZ732" s="3"/>
    </row>
    <row r="733" spans="1:260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IY733" s="3"/>
      <c r="IZ733" s="3"/>
    </row>
    <row r="734" spans="1:260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IY734" s="3"/>
      <c r="IZ734" s="3"/>
    </row>
    <row r="735" spans="1:260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IY735" s="3"/>
      <c r="IZ735" s="3"/>
    </row>
    <row r="736" spans="1:260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IY736" s="3"/>
      <c r="IZ736" s="3"/>
    </row>
    <row r="737" spans="1:260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IY737" s="3"/>
      <c r="IZ737" s="3"/>
    </row>
    <row r="738" spans="1:260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IY738" s="3"/>
      <c r="IZ738" s="3"/>
    </row>
    <row r="739" spans="1:260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IY739" s="3"/>
      <c r="IZ739" s="3"/>
    </row>
    <row r="740" spans="1:260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IY740" s="3"/>
      <c r="IZ740" s="3"/>
    </row>
    <row r="741" spans="1:260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IY741" s="3"/>
      <c r="IZ741" s="3"/>
    </row>
    <row r="742" spans="1:260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IY742" s="3"/>
      <c r="IZ742" s="3"/>
    </row>
    <row r="743" spans="1:260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IY743" s="3"/>
      <c r="IZ743" s="3"/>
    </row>
    <row r="744" spans="1:260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IY744" s="3"/>
      <c r="IZ744" s="3"/>
    </row>
    <row r="745" spans="1:260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IY745" s="3"/>
      <c r="IZ745" s="3"/>
    </row>
    <row r="746" spans="1:260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IY746" s="3"/>
      <c r="IZ746" s="3"/>
    </row>
    <row r="747" spans="1:260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IY747" s="3"/>
      <c r="IZ747" s="3"/>
    </row>
    <row r="748" spans="1:260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IY748" s="3"/>
      <c r="IZ748" s="3"/>
    </row>
    <row r="749" spans="1:260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IY749" s="3"/>
      <c r="IZ749" s="3"/>
    </row>
    <row r="750" spans="1:260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IY750" s="3"/>
      <c r="IZ750" s="3"/>
    </row>
    <row r="751" spans="1:260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IY751" s="3"/>
      <c r="IZ751" s="3"/>
    </row>
    <row r="752" spans="1:260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IY752" s="3"/>
      <c r="IZ752" s="3"/>
    </row>
    <row r="753" spans="1:260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IY753" s="3"/>
      <c r="IZ753" s="3"/>
    </row>
    <row r="754" spans="1:260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IY754" s="3"/>
      <c r="IZ754" s="3"/>
    </row>
    <row r="755" spans="1:260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IY755" s="3"/>
      <c r="IZ755" s="3"/>
    </row>
    <row r="756" spans="1:260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IY756" s="3"/>
      <c r="IZ756" s="3"/>
    </row>
    <row r="757" spans="1:260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IY757" s="3"/>
      <c r="IZ757" s="3"/>
    </row>
    <row r="758" spans="1:260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IY758" s="3"/>
      <c r="IZ758" s="3"/>
    </row>
    <row r="759" spans="1:260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IY759" s="3"/>
      <c r="IZ759" s="3"/>
    </row>
    <row r="760" spans="1:260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IY760" s="3"/>
      <c r="IZ760" s="3"/>
    </row>
    <row r="761" spans="1:260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IY761" s="3"/>
      <c r="IZ761" s="3"/>
    </row>
    <row r="762" spans="1:260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IY762" s="3"/>
      <c r="IZ762" s="3"/>
    </row>
    <row r="763" spans="1:260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IY763" s="3"/>
      <c r="IZ763" s="3"/>
    </row>
    <row r="764" spans="1:260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IY764" s="3"/>
      <c r="IZ764" s="3"/>
    </row>
    <row r="765" spans="1:260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IY765" s="3"/>
      <c r="IZ765" s="3"/>
    </row>
    <row r="766" spans="1:260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IY766" s="3"/>
      <c r="IZ766" s="3"/>
    </row>
    <row r="767" spans="1:260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IY767" s="3"/>
      <c r="IZ767" s="3"/>
    </row>
    <row r="768" spans="1:260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IY768" s="3"/>
      <c r="IZ768" s="3"/>
    </row>
    <row r="769" spans="1:260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IY769" s="3"/>
      <c r="IZ769" s="3"/>
    </row>
    <row r="770" spans="1:260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IY770" s="3"/>
      <c r="IZ770" s="3"/>
    </row>
    <row r="771" spans="1:260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IY771" s="3"/>
      <c r="IZ771" s="3"/>
    </row>
    <row r="772" spans="1:260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IY772" s="3"/>
      <c r="IZ772" s="3"/>
    </row>
    <row r="773" spans="1:260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IY773" s="3"/>
      <c r="IZ773" s="3"/>
    </row>
    <row r="774" spans="1:260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IY774" s="3"/>
      <c r="IZ774" s="3"/>
    </row>
    <row r="775" spans="1:260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IY775" s="3"/>
      <c r="IZ775" s="3"/>
    </row>
    <row r="776" spans="1:260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IY776" s="3"/>
      <c r="IZ776" s="3"/>
    </row>
    <row r="777" spans="1:260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IY777" s="3"/>
      <c r="IZ777" s="3"/>
    </row>
    <row r="778" spans="1:260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IY778" s="3"/>
      <c r="IZ778" s="3"/>
    </row>
    <row r="779" spans="1:260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IY779" s="3"/>
      <c r="IZ779" s="3"/>
    </row>
    <row r="780" spans="1:260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IY780" s="3"/>
      <c r="IZ780" s="3"/>
    </row>
    <row r="781" spans="1:260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IY781" s="3"/>
      <c r="IZ781" s="3"/>
    </row>
    <row r="782" spans="1:260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IY782" s="3"/>
      <c r="IZ782" s="3"/>
    </row>
    <row r="783" spans="1:260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IY783" s="3"/>
      <c r="IZ783" s="3"/>
    </row>
    <row r="784" spans="1:260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IY784" s="3"/>
      <c r="IZ784" s="3"/>
    </row>
    <row r="785" spans="1:260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IY785" s="3"/>
      <c r="IZ785" s="3"/>
    </row>
    <row r="786" spans="1:260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IY786" s="3"/>
      <c r="IZ786" s="3"/>
    </row>
    <row r="787" spans="1:260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IY787" s="3"/>
      <c r="IZ787" s="3"/>
    </row>
    <row r="788" spans="1:260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IY788" s="3"/>
      <c r="IZ788" s="3"/>
    </row>
    <row r="789" spans="1:260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IY789" s="3"/>
      <c r="IZ789" s="3"/>
    </row>
    <row r="790" spans="1:260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IY790" s="3"/>
      <c r="IZ790" s="3"/>
    </row>
    <row r="791" spans="1:260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IY791" s="3"/>
      <c r="IZ791" s="3"/>
    </row>
    <row r="792" spans="1:260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IY792" s="3"/>
      <c r="IZ792" s="3"/>
    </row>
    <row r="793" spans="1:260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IY793" s="3"/>
      <c r="IZ793" s="3"/>
    </row>
    <row r="794" spans="1:260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IY794" s="3"/>
      <c r="IZ794" s="3"/>
    </row>
    <row r="795" spans="1:260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IY795" s="3"/>
      <c r="IZ795" s="3"/>
    </row>
    <row r="796" spans="1:260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IY796" s="3"/>
      <c r="IZ796" s="3"/>
    </row>
    <row r="797" spans="1:260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IY797" s="3"/>
      <c r="IZ797" s="3"/>
    </row>
    <row r="798" spans="1:260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IY798" s="3"/>
      <c r="IZ798" s="3"/>
    </row>
    <row r="799" spans="1:260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IY799" s="3"/>
      <c r="IZ799" s="3"/>
    </row>
    <row r="800" spans="1:260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IY800" s="3"/>
      <c r="IZ800" s="3"/>
    </row>
    <row r="801" spans="1:260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IY801" s="3"/>
      <c r="IZ801" s="3"/>
    </row>
    <row r="802" spans="1:260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IY802" s="3"/>
      <c r="IZ802" s="3"/>
    </row>
    <row r="803" spans="1:260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IY803" s="3"/>
      <c r="IZ803" s="3"/>
    </row>
    <row r="804" spans="1:260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IY804" s="3"/>
      <c r="IZ804" s="3"/>
    </row>
    <row r="805" spans="1:260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IY805" s="3"/>
      <c r="IZ805" s="3"/>
    </row>
    <row r="806" spans="1:260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IY806" s="3"/>
      <c r="IZ806" s="3"/>
    </row>
    <row r="807" spans="1:260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IY807" s="3"/>
      <c r="IZ807" s="3"/>
    </row>
    <row r="808" spans="1:260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IY808" s="3"/>
      <c r="IZ808" s="3"/>
    </row>
    <row r="809" spans="1:260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IY809" s="3"/>
      <c r="IZ809" s="3"/>
    </row>
    <row r="810" spans="1:260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IY810" s="3"/>
      <c r="IZ810" s="3"/>
    </row>
    <row r="811" spans="1:260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IY811" s="3"/>
      <c r="IZ811" s="3"/>
    </row>
    <row r="812" spans="1:260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IY812" s="3"/>
      <c r="IZ812" s="3"/>
    </row>
    <row r="813" spans="1:260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IY813" s="3"/>
      <c r="IZ813" s="3"/>
    </row>
    <row r="814" spans="1:260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IY814" s="3"/>
      <c r="IZ814" s="3"/>
    </row>
    <row r="815" spans="1:260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IY815" s="3"/>
      <c r="IZ815" s="3"/>
    </row>
    <row r="816" spans="1:260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IY816" s="3"/>
      <c r="IZ816" s="3"/>
    </row>
    <row r="817" spans="1:260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IY817" s="3"/>
      <c r="IZ817" s="3"/>
    </row>
    <row r="818" spans="1:260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IY818" s="3"/>
      <c r="IZ818" s="3"/>
    </row>
    <row r="819" spans="1:260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IY819" s="3"/>
      <c r="IZ819" s="3"/>
    </row>
    <row r="820" spans="1:260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IY820" s="3"/>
      <c r="IZ820" s="3"/>
    </row>
    <row r="821" spans="1:260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IY821" s="3"/>
      <c r="IZ821" s="3"/>
    </row>
    <row r="822" spans="1:260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IY822" s="3"/>
      <c r="IZ822" s="3"/>
    </row>
    <row r="823" spans="1:260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IY823" s="3"/>
      <c r="IZ823" s="3"/>
    </row>
    <row r="824" spans="1:260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IY824" s="3"/>
      <c r="IZ824" s="3"/>
    </row>
    <row r="825" spans="1:260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IY825" s="3"/>
      <c r="IZ825" s="3"/>
    </row>
    <row r="826" spans="1:260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IY826" s="3"/>
      <c r="IZ826" s="3"/>
    </row>
    <row r="827" spans="1:260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IY827" s="3"/>
      <c r="IZ827" s="3"/>
    </row>
    <row r="828" spans="1:260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IY828" s="3"/>
      <c r="IZ828" s="3"/>
    </row>
    <row r="829" spans="1:260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IY829" s="3"/>
      <c r="IZ829" s="3"/>
    </row>
    <row r="830" spans="1:260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IY830" s="3"/>
      <c r="IZ830" s="3"/>
    </row>
    <row r="831" spans="1:260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IY831" s="3"/>
      <c r="IZ831" s="3"/>
    </row>
    <row r="832" spans="1:260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IY832" s="3"/>
      <c r="IZ832" s="3"/>
    </row>
    <row r="833" spans="1:260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IY833" s="3"/>
      <c r="IZ833" s="3"/>
    </row>
    <row r="834" spans="1:260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IY834" s="3"/>
      <c r="IZ834" s="3"/>
    </row>
    <row r="835" spans="1:260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IY835" s="3"/>
      <c r="IZ835" s="3"/>
    </row>
    <row r="836" spans="1:260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IY836" s="3"/>
      <c r="IZ836" s="3"/>
    </row>
    <row r="837" spans="1:260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IY837" s="3"/>
      <c r="IZ837" s="3"/>
    </row>
    <row r="838" spans="1:260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IY838" s="3"/>
      <c r="IZ838" s="3"/>
    </row>
    <row r="839" spans="1:260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IY839" s="3"/>
      <c r="IZ839" s="3"/>
    </row>
    <row r="840" spans="1:260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IY840" s="3"/>
      <c r="IZ840" s="3"/>
    </row>
    <row r="841" spans="1:260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IY841" s="3"/>
      <c r="IZ841" s="3"/>
    </row>
    <row r="842" spans="1:260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IY842" s="3"/>
      <c r="IZ842" s="3"/>
    </row>
    <row r="843" spans="1:260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IY843" s="3"/>
      <c r="IZ843" s="3"/>
    </row>
    <row r="844" spans="1:260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IY844" s="3"/>
      <c r="IZ844" s="3"/>
    </row>
    <row r="845" spans="1:260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IY845" s="3"/>
      <c r="IZ845" s="3"/>
    </row>
    <row r="846" spans="1:260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IY846" s="3"/>
      <c r="IZ846" s="3"/>
    </row>
    <row r="847" spans="1:260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IY847" s="3"/>
      <c r="IZ847" s="3"/>
    </row>
    <row r="848" spans="1:260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IY848" s="3"/>
      <c r="IZ848" s="3"/>
    </row>
    <row r="849" spans="1:260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IY849" s="3"/>
      <c r="IZ849" s="3"/>
    </row>
    <row r="850" spans="1:260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IY850" s="3"/>
      <c r="IZ850" s="3"/>
    </row>
    <row r="851" spans="1:260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IY851" s="3"/>
      <c r="IZ851" s="3"/>
    </row>
    <row r="852" spans="1:260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IY852" s="3"/>
      <c r="IZ852" s="3"/>
    </row>
    <row r="853" spans="1:260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IY853" s="3"/>
      <c r="IZ853" s="3"/>
    </row>
    <row r="854" spans="1:260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IY854" s="3"/>
      <c r="IZ854" s="3"/>
    </row>
    <row r="855" spans="1:260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IY855" s="3"/>
      <c r="IZ855" s="3"/>
    </row>
    <row r="856" spans="1:260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IY856" s="3"/>
      <c r="IZ856" s="3"/>
    </row>
    <row r="857" spans="1:260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IY857" s="3"/>
      <c r="IZ857" s="3"/>
    </row>
    <row r="858" spans="1:260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IY858" s="3"/>
      <c r="IZ858" s="3"/>
    </row>
    <row r="859" spans="1:260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IY859" s="3"/>
      <c r="IZ859" s="3"/>
    </row>
    <row r="860" spans="1:260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IY860" s="3"/>
      <c r="IZ860" s="3"/>
    </row>
    <row r="861" spans="1:260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IY861" s="3"/>
      <c r="IZ861" s="3"/>
    </row>
    <row r="862" spans="1:260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IY862" s="3"/>
      <c r="IZ862" s="3"/>
    </row>
    <row r="863" spans="1:260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IY863" s="3"/>
      <c r="IZ863" s="3"/>
    </row>
    <row r="864" spans="1:260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IY864" s="3"/>
      <c r="IZ864" s="3"/>
    </row>
    <row r="865" spans="1:260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IY865" s="3"/>
      <c r="IZ865" s="3"/>
    </row>
    <row r="866" spans="1:260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IY866" s="3"/>
      <c r="IZ866" s="3"/>
    </row>
    <row r="867" spans="1:260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IY867" s="3"/>
      <c r="IZ867" s="3"/>
    </row>
    <row r="868" spans="1:260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IY868" s="3"/>
      <c r="IZ868" s="3"/>
    </row>
    <row r="869" spans="1:260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IY869" s="3"/>
      <c r="IZ869" s="3"/>
    </row>
    <row r="870" spans="1:260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IY870" s="3"/>
      <c r="IZ870" s="3"/>
    </row>
    <row r="871" spans="1:260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IY871" s="3"/>
      <c r="IZ871" s="3"/>
    </row>
    <row r="872" spans="1:260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IY872" s="3"/>
      <c r="IZ872" s="3"/>
    </row>
    <row r="873" spans="1:260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IY873" s="3"/>
      <c r="IZ873" s="3"/>
    </row>
    <row r="874" spans="1:260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IY874" s="3"/>
      <c r="IZ874" s="3"/>
    </row>
    <row r="875" spans="1:260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IY875" s="3"/>
      <c r="IZ875" s="3"/>
    </row>
    <row r="876" spans="1:260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IY876" s="3"/>
      <c r="IZ876" s="3"/>
    </row>
    <row r="877" spans="1:260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IY877" s="3"/>
      <c r="IZ877" s="3"/>
    </row>
    <row r="878" spans="1:260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IY878" s="3"/>
      <c r="IZ878" s="3"/>
    </row>
    <row r="879" spans="1:260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IY879" s="3"/>
      <c r="IZ879" s="3"/>
    </row>
    <row r="880" spans="1:260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IY880" s="3"/>
      <c r="IZ880" s="3"/>
    </row>
    <row r="881" spans="1:260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IY881" s="3"/>
      <c r="IZ881" s="3"/>
    </row>
    <row r="882" spans="1:260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IY882" s="3"/>
      <c r="IZ882" s="3"/>
    </row>
    <row r="883" spans="1:260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IY883" s="3"/>
      <c r="IZ883" s="3"/>
    </row>
    <row r="884" spans="1:260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IY884" s="3"/>
      <c r="IZ884" s="3"/>
    </row>
    <row r="885" spans="1:260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IY885" s="3"/>
      <c r="IZ885" s="3"/>
    </row>
    <row r="886" spans="1:260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IY886" s="3"/>
      <c r="IZ886" s="3"/>
    </row>
    <row r="887" spans="1:260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IY887" s="3"/>
      <c r="IZ887" s="3"/>
    </row>
    <row r="888" spans="1:260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IY888" s="3"/>
      <c r="IZ888" s="3"/>
    </row>
    <row r="889" spans="1:260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IY889" s="3"/>
      <c r="IZ889" s="3"/>
    </row>
    <row r="890" spans="1:260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IY890" s="3"/>
      <c r="IZ890" s="3"/>
    </row>
    <row r="891" spans="1:260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IY891" s="3"/>
      <c r="IZ891" s="3"/>
    </row>
    <row r="892" spans="1:260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IY892" s="3"/>
      <c r="IZ892" s="3"/>
    </row>
    <row r="893" spans="1:260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IY893" s="3"/>
      <c r="IZ893" s="3"/>
    </row>
    <row r="894" spans="1:260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IY894" s="3"/>
      <c r="IZ894" s="3"/>
    </row>
    <row r="895" spans="1:260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IY895" s="3"/>
      <c r="IZ895" s="3"/>
    </row>
    <row r="896" spans="1:260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IY896" s="3"/>
      <c r="IZ896" s="3"/>
    </row>
    <row r="897" spans="1:260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IY897" s="3"/>
      <c r="IZ897" s="3"/>
    </row>
    <row r="898" spans="1:260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IY898" s="3"/>
      <c r="IZ898" s="3"/>
    </row>
    <row r="899" spans="1:260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IY899" s="3"/>
      <c r="IZ899" s="3"/>
    </row>
    <row r="900" spans="1:260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IY900" s="3"/>
      <c r="IZ900" s="3"/>
    </row>
    <row r="901" spans="1:260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IY901" s="3"/>
      <c r="IZ901" s="3"/>
    </row>
    <row r="902" spans="1:260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IY902" s="3"/>
      <c r="IZ902" s="3"/>
    </row>
    <row r="903" spans="1:260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IY903" s="3"/>
      <c r="IZ903" s="3"/>
    </row>
    <row r="904" spans="1:260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IY904" s="3"/>
      <c r="IZ904" s="3"/>
    </row>
    <row r="905" spans="1:260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IY905" s="3"/>
      <c r="IZ905" s="3"/>
    </row>
    <row r="906" spans="1:260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IY906" s="3"/>
      <c r="IZ906" s="3"/>
    </row>
    <row r="907" spans="1:260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IY907" s="3"/>
      <c r="IZ907" s="3"/>
    </row>
    <row r="908" spans="1:260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IY908" s="3"/>
      <c r="IZ908" s="3"/>
    </row>
    <row r="909" spans="1:260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IY909" s="3"/>
      <c r="IZ909" s="3"/>
    </row>
    <row r="910" spans="1:260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IY910" s="3"/>
      <c r="IZ910" s="3"/>
    </row>
    <row r="911" spans="1:260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IY911" s="3"/>
      <c r="IZ911" s="3"/>
    </row>
    <row r="912" spans="1:260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IY912" s="3"/>
      <c r="IZ912" s="3"/>
    </row>
    <row r="913" spans="1:260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IY913" s="3"/>
      <c r="IZ913" s="3"/>
    </row>
    <row r="914" spans="1:260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IY914" s="3"/>
      <c r="IZ914" s="3"/>
    </row>
    <row r="915" spans="1:260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IY915" s="3"/>
      <c r="IZ915" s="3"/>
    </row>
    <row r="916" spans="1:260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IY916" s="3"/>
      <c r="IZ916" s="3"/>
    </row>
    <row r="917" spans="1:260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IY917" s="3"/>
      <c r="IZ917" s="3"/>
    </row>
    <row r="918" spans="1:260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IY918" s="3"/>
      <c r="IZ918" s="3"/>
    </row>
    <row r="919" spans="1:260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IY919" s="3"/>
      <c r="IZ919" s="3"/>
    </row>
    <row r="920" spans="1:260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IY920" s="3"/>
      <c r="IZ920" s="3"/>
    </row>
    <row r="921" spans="1:260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IY921" s="3"/>
      <c r="IZ921" s="3"/>
    </row>
    <row r="922" spans="1:260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IY922" s="3"/>
      <c r="IZ922" s="3"/>
    </row>
    <row r="923" spans="1:260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IY923" s="3"/>
      <c r="IZ923" s="3"/>
    </row>
    <row r="924" spans="1:260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IY924" s="3"/>
      <c r="IZ924" s="3"/>
    </row>
    <row r="925" spans="1:260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IY925" s="3"/>
      <c r="IZ925" s="3"/>
    </row>
    <row r="926" spans="1:260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IY926" s="3"/>
      <c r="IZ926" s="3"/>
    </row>
    <row r="927" spans="1:260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IY927" s="3"/>
      <c r="IZ927" s="3"/>
    </row>
    <row r="928" spans="1:260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IY928" s="3"/>
      <c r="IZ928" s="3"/>
    </row>
    <row r="929" spans="1:260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IY929" s="3"/>
      <c r="IZ929" s="3"/>
    </row>
    <row r="930" spans="1:260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IY930" s="3"/>
      <c r="IZ930" s="3"/>
    </row>
    <row r="931" spans="1:260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IY931" s="3"/>
      <c r="IZ931" s="3"/>
    </row>
    <row r="932" spans="1:260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IY932" s="3"/>
      <c r="IZ932" s="3"/>
    </row>
    <row r="933" spans="1:260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IY933" s="3"/>
      <c r="IZ933" s="3"/>
    </row>
    <row r="934" spans="1:260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IY934" s="3"/>
      <c r="IZ934" s="3"/>
    </row>
    <row r="935" spans="1:260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IY935" s="3"/>
      <c r="IZ935" s="3"/>
    </row>
    <row r="936" spans="1:260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IY936" s="3"/>
      <c r="IZ936" s="3"/>
    </row>
    <row r="937" spans="1:260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IY937" s="3"/>
      <c r="IZ937" s="3"/>
    </row>
    <row r="938" spans="1:260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IY938" s="3"/>
      <c r="IZ938" s="3"/>
    </row>
    <row r="939" spans="1:260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IY939" s="3"/>
      <c r="IZ939" s="3"/>
    </row>
    <row r="940" spans="1:260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IY940" s="3"/>
      <c r="IZ940" s="3"/>
    </row>
    <row r="941" spans="1:260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IY941" s="3"/>
      <c r="IZ941" s="3"/>
    </row>
    <row r="942" spans="1:260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IY942" s="3"/>
      <c r="IZ942" s="3"/>
    </row>
    <row r="943" spans="1:260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IY943" s="3"/>
      <c r="IZ943" s="3"/>
    </row>
    <row r="944" spans="1:260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IY944" s="3"/>
      <c r="IZ944" s="3"/>
    </row>
    <row r="945" spans="1:260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IY945" s="3"/>
      <c r="IZ945" s="3"/>
    </row>
    <row r="946" spans="1:260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IY946" s="3"/>
      <c r="IZ946" s="3"/>
    </row>
    <row r="947" spans="1:260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IY947" s="3"/>
      <c r="IZ947" s="3"/>
    </row>
    <row r="948" spans="1:260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IY948" s="3"/>
      <c r="IZ948" s="3"/>
    </row>
    <row r="949" spans="1:260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IY949" s="3"/>
      <c r="IZ949" s="3"/>
    </row>
    <row r="950" spans="1:260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IY950" s="3"/>
      <c r="IZ950" s="3"/>
    </row>
    <row r="951" spans="1:260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IY951" s="3"/>
      <c r="IZ951" s="3"/>
    </row>
    <row r="952" spans="1:260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IY952" s="3"/>
      <c r="IZ952" s="3"/>
    </row>
    <row r="953" spans="1:260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IY953" s="3"/>
      <c r="IZ953" s="3"/>
    </row>
    <row r="954" spans="1:260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IY954" s="3"/>
      <c r="IZ954" s="3"/>
    </row>
    <row r="955" spans="1:260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IY955" s="3"/>
      <c r="IZ955" s="3"/>
    </row>
    <row r="956" spans="1:260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IY956" s="3"/>
      <c r="IZ956" s="3"/>
    </row>
    <row r="957" spans="1:260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IY957" s="3"/>
      <c r="IZ957" s="3"/>
    </row>
    <row r="958" spans="1:260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IY958" s="3"/>
      <c r="IZ958" s="3"/>
    </row>
    <row r="959" spans="1:260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IY959" s="3"/>
      <c r="IZ959" s="3"/>
    </row>
    <row r="960" spans="1:260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IY960" s="3"/>
      <c r="IZ960" s="3"/>
    </row>
    <row r="961" spans="1:260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IY961" s="3"/>
      <c r="IZ961" s="3"/>
    </row>
    <row r="962" spans="1:260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IY962" s="3"/>
      <c r="IZ962" s="3"/>
    </row>
    <row r="963" spans="1:260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IY963" s="3"/>
      <c r="IZ963" s="3"/>
    </row>
    <row r="964" spans="1:260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IY964" s="3"/>
      <c r="IZ964" s="3"/>
    </row>
    <row r="965" spans="1:260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IY965" s="3"/>
      <c r="IZ965" s="3"/>
    </row>
    <row r="966" spans="1:260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IY966" s="3"/>
      <c r="IZ966" s="3"/>
    </row>
    <row r="967" spans="1:260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IY967" s="3"/>
      <c r="IZ967" s="3"/>
    </row>
    <row r="968" spans="1:260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IY968" s="3"/>
      <c r="IZ968" s="3"/>
    </row>
    <row r="969" spans="1:260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IY969" s="3"/>
      <c r="IZ969" s="3"/>
    </row>
    <row r="970" spans="1:260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IY970" s="3"/>
      <c r="IZ970" s="3"/>
    </row>
    <row r="971" spans="1:260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IY971" s="3"/>
      <c r="IZ971" s="3"/>
    </row>
    <row r="972" spans="1:260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IY972" s="3"/>
      <c r="IZ972" s="3"/>
    </row>
    <row r="973" spans="1:260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IY973" s="3"/>
      <c r="IZ973" s="3"/>
    </row>
    <row r="974" spans="1:260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IY974" s="3"/>
      <c r="IZ974" s="3"/>
    </row>
    <row r="975" spans="1:260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IY975" s="3"/>
      <c r="IZ975" s="3"/>
    </row>
    <row r="976" spans="1:260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IY976" s="3"/>
      <c r="IZ976" s="3"/>
    </row>
    <row r="977" spans="1:260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IY977" s="3"/>
      <c r="IZ977" s="3"/>
    </row>
    <row r="978" spans="1:260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IY978" s="3"/>
      <c r="IZ978" s="3"/>
    </row>
    <row r="979" spans="1:260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IY979" s="3"/>
      <c r="IZ979" s="3"/>
    </row>
    <row r="980" spans="1:260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IY980" s="3"/>
      <c r="IZ980" s="3"/>
    </row>
    <row r="981" spans="1:260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IY981" s="3"/>
      <c r="IZ981" s="3"/>
    </row>
    <row r="982" spans="1:260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IY982" s="3"/>
      <c r="IZ982" s="3"/>
    </row>
    <row r="983" spans="1:260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IY983" s="3"/>
      <c r="IZ983" s="3"/>
    </row>
    <row r="984" spans="1:260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IY984" s="3"/>
      <c r="IZ984" s="3"/>
    </row>
    <row r="985" spans="1:260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IY985" s="3"/>
      <c r="IZ985" s="3"/>
    </row>
    <row r="986" spans="1:260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IY986" s="3"/>
      <c r="IZ986" s="3"/>
    </row>
    <row r="987" spans="1:260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IY987" s="3"/>
      <c r="IZ987" s="3"/>
    </row>
    <row r="988" spans="1:260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IY988" s="3"/>
      <c r="IZ988" s="3"/>
    </row>
    <row r="989" spans="1:260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IY989" s="3"/>
      <c r="IZ989" s="3"/>
    </row>
    <row r="990" spans="1:260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IY990" s="3"/>
      <c r="IZ990" s="3"/>
    </row>
    <row r="991" spans="1:260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IY991" s="3"/>
      <c r="IZ991" s="3"/>
    </row>
    <row r="992" spans="1:260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IY992" s="3"/>
      <c r="IZ992" s="3"/>
    </row>
    <row r="993" spans="1:260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IY993" s="3"/>
      <c r="IZ993" s="3"/>
    </row>
    <row r="994" spans="1:260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IY994" s="3"/>
      <c r="IZ994" s="3"/>
    </row>
    <row r="995" spans="1:260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IY995" s="3"/>
      <c r="IZ995" s="3"/>
    </row>
    <row r="996" spans="1:260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IY996" s="3"/>
      <c r="IZ996" s="3"/>
    </row>
    <row r="997" spans="1:260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IY997" s="3"/>
      <c r="IZ997" s="3"/>
    </row>
    <row r="998" spans="1:260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IY998" s="3"/>
      <c r="IZ998" s="3"/>
    </row>
    <row r="999" spans="1:260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IY999" s="3"/>
      <c r="IZ999" s="3"/>
    </row>
    <row r="1000" spans="1:260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IY1000" s="3"/>
      <c r="IZ1000" s="3"/>
    </row>
    <row r="1001" spans="1:260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IY1001" s="3"/>
      <c r="IZ1001" s="3"/>
    </row>
    <row r="1002" spans="1:260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IY1002" s="3"/>
      <c r="IZ1002" s="3"/>
    </row>
    <row r="1003" spans="1:260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IY1003" s="3"/>
      <c r="IZ1003" s="3"/>
    </row>
    <row r="1004" spans="1:260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IY1004" s="3"/>
      <c r="IZ1004" s="3"/>
    </row>
    <row r="1005" spans="1:260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IY1005" s="3"/>
      <c r="IZ1005" s="3"/>
    </row>
    <row r="1006" spans="1:260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IY1006" s="3"/>
      <c r="IZ1006" s="3"/>
    </row>
    <row r="1007" spans="1:260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IY1007" s="3"/>
      <c r="IZ1007" s="3"/>
    </row>
    <row r="1008" spans="1:260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IY1008" s="3"/>
      <c r="IZ1008" s="3"/>
    </row>
    <row r="1009" spans="1:260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IY1009" s="3"/>
      <c r="IZ1009" s="3"/>
    </row>
    <row r="1010" spans="1:260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IY1010" s="3"/>
      <c r="IZ1010" s="3"/>
    </row>
    <row r="1011" spans="1:260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IY1011" s="3"/>
      <c r="IZ1011" s="3"/>
    </row>
    <row r="1012" spans="1:260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IY1012" s="3"/>
      <c r="IZ1012" s="3"/>
    </row>
    <row r="1013" spans="1:260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IY1013" s="3"/>
      <c r="IZ1013" s="3"/>
    </row>
    <row r="1014" spans="1:260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IY1014" s="3"/>
      <c r="IZ1014" s="3"/>
    </row>
    <row r="1015" spans="1:260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IY1015" s="3"/>
      <c r="IZ1015" s="3"/>
    </row>
    <row r="1016" spans="1:260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IY1016" s="3"/>
      <c r="IZ1016" s="3"/>
    </row>
    <row r="1017" spans="1:260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IY1017" s="3"/>
      <c r="IZ1017" s="3"/>
    </row>
    <row r="1018" spans="1:260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IY1018" s="3"/>
      <c r="IZ1018" s="3"/>
    </row>
    <row r="1019" spans="1:260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IY1019" s="3"/>
      <c r="IZ1019" s="3"/>
    </row>
    <row r="1020" spans="1:260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IY1020" s="3"/>
      <c r="IZ1020" s="3"/>
    </row>
    <row r="1021" spans="1:260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IY1021" s="3"/>
      <c r="IZ1021" s="3"/>
    </row>
    <row r="1022" spans="1:260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IY1022" s="3"/>
      <c r="IZ1022" s="3"/>
    </row>
    <row r="1023" spans="1:260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IY1023" s="3"/>
      <c r="IZ1023" s="3"/>
    </row>
    <row r="1024" spans="1:260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IY1024" s="3"/>
      <c r="IZ1024" s="3"/>
    </row>
    <row r="1025" spans="1:260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IY1025" s="3"/>
      <c r="IZ1025" s="3"/>
    </row>
    <row r="1026" spans="1:260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IY1026" s="3"/>
      <c r="IZ1026" s="3"/>
    </row>
    <row r="1027" spans="1:260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IY1027" s="3"/>
      <c r="IZ1027" s="3"/>
    </row>
    <row r="1028" spans="1:260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IY1028" s="3"/>
      <c r="IZ1028" s="3"/>
    </row>
    <row r="1029" spans="1:260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IY1029" s="3"/>
      <c r="IZ1029" s="3"/>
    </row>
    <row r="1030" spans="1:260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IY1030" s="3"/>
      <c r="IZ1030" s="3"/>
    </row>
    <row r="1031" spans="1:260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IY1031" s="3"/>
      <c r="IZ1031" s="3"/>
    </row>
    <row r="1032" spans="1:260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IY1032" s="3"/>
      <c r="IZ1032" s="3"/>
    </row>
    <row r="1033" spans="1:260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IY1033" s="3"/>
      <c r="IZ1033" s="3"/>
    </row>
    <row r="1034" spans="1:260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IY1034" s="3"/>
      <c r="IZ1034" s="3"/>
    </row>
    <row r="1035" spans="1:260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IY1035" s="3"/>
      <c r="IZ1035" s="3"/>
    </row>
    <row r="1036" spans="1:260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IY1036" s="3"/>
      <c r="IZ1036" s="3"/>
    </row>
    <row r="1037" spans="1:260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IY1037" s="3"/>
      <c r="IZ1037" s="3"/>
    </row>
    <row r="1038" spans="1:260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IY1038" s="3"/>
      <c r="IZ1038" s="3"/>
    </row>
    <row r="1039" spans="1:260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IY1039" s="3"/>
      <c r="IZ1039" s="3"/>
    </row>
    <row r="1040" spans="1:260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IY1040" s="3"/>
      <c r="IZ1040" s="3"/>
    </row>
    <row r="1041" spans="1:260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IY1041" s="3"/>
      <c r="IZ1041" s="3"/>
    </row>
    <row r="1042" spans="1:260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IY1042" s="3"/>
      <c r="IZ1042" s="3"/>
    </row>
    <row r="1043" spans="1:260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IY1043" s="3"/>
      <c r="IZ1043" s="3"/>
    </row>
    <row r="1044" spans="1:260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IY1044" s="3"/>
      <c r="IZ1044" s="3"/>
    </row>
    <row r="1045" spans="1:260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IY1045" s="3"/>
      <c r="IZ1045" s="3"/>
    </row>
    <row r="1046" spans="1:260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IY1046" s="3"/>
      <c r="IZ1046" s="3"/>
    </row>
    <row r="1047" spans="1:260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IY1047" s="3"/>
      <c r="IZ1047" s="3"/>
    </row>
    <row r="1048" spans="1:260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IY1048" s="3"/>
      <c r="IZ1048" s="3"/>
    </row>
    <row r="1049" spans="1:260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IY1049" s="3"/>
      <c r="IZ1049" s="3"/>
    </row>
    <row r="1050" spans="1:260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IY1050" s="3"/>
      <c r="IZ1050" s="3"/>
    </row>
    <row r="1051" spans="1:260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IY1051" s="3"/>
      <c r="IZ1051" s="3"/>
    </row>
    <row r="1052" spans="1:260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IY1052" s="3"/>
      <c r="IZ1052" s="3"/>
    </row>
    <row r="1053" spans="1:260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IY1053" s="3"/>
      <c r="IZ1053" s="3"/>
    </row>
    <row r="1054" spans="1:260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IY1054" s="3"/>
      <c r="IZ1054" s="3"/>
    </row>
    <row r="1055" spans="1:260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IY1055" s="3"/>
      <c r="IZ1055" s="3"/>
    </row>
    <row r="1056" spans="1:260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IY1056" s="3"/>
      <c r="IZ1056" s="3"/>
    </row>
    <row r="1057" spans="1:260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IY1057" s="3"/>
      <c r="IZ1057" s="3"/>
    </row>
    <row r="1058" spans="1:260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IY1058" s="3"/>
      <c r="IZ1058" s="3"/>
    </row>
    <row r="1059" spans="1:260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IY1059" s="3"/>
      <c r="IZ1059" s="3"/>
    </row>
    <row r="1060" spans="1:260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IY1060" s="3"/>
      <c r="IZ1060" s="3"/>
    </row>
    <row r="1061" spans="1:260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IY1061" s="3"/>
      <c r="IZ1061" s="3"/>
    </row>
    <row r="1062" spans="1:260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IY1062" s="3"/>
      <c r="IZ1062" s="3"/>
    </row>
    <row r="1063" spans="1:260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IY1063" s="3"/>
      <c r="IZ1063" s="3"/>
    </row>
    <row r="1064" spans="1:260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IY1064" s="3"/>
      <c r="IZ1064" s="3"/>
    </row>
    <row r="1065" spans="1:260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IY1065" s="3"/>
      <c r="IZ1065" s="3"/>
    </row>
    <row r="1066" spans="1:260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IY1066" s="3"/>
      <c r="IZ1066" s="3"/>
    </row>
    <row r="1067" spans="1:260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IY1067" s="3"/>
      <c r="IZ1067" s="3"/>
    </row>
    <row r="1068" spans="1:260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IY1068" s="3"/>
      <c r="IZ1068" s="3"/>
    </row>
    <row r="1069" spans="1:260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IY1069" s="3"/>
      <c r="IZ1069" s="3"/>
    </row>
    <row r="1070" spans="1:260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IY1070" s="3"/>
      <c r="IZ1070" s="3"/>
    </row>
    <row r="1071" spans="1:260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IY1071" s="3"/>
      <c r="IZ1071" s="3"/>
    </row>
    <row r="1072" spans="1:260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IY1072" s="3"/>
      <c r="IZ1072" s="3"/>
    </row>
    <row r="1073" spans="1:260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IY1073" s="3"/>
      <c r="IZ1073" s="3"/>
    </row>
    <row r="1074" spans="1:260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IY1074" s="3"/>
      <c r="IZ1074" s="3"/>
    </row>
    <row r="1075" spans="1:260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IY1075" s="3"/>
      <c r="IZ1075" s="3"/>
    </row>
    <row r="1076" spans="1:260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IY1076" s="3"/>
      <c r="IZ1076" s="3"/>
    </row>
    <row r="1077" spans="1:260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IY1077" s="3"/>
      <c r="IZ1077" s="3"/>
    </row>
    <row r="1078" spans="1:260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IY1078" s="3"/>
      <c r="IZ1078" s="3"/>
    </row>
    <row r="1079" spans="1:260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IY1079" s="3"/>
      <c r="IZ1079" s="3"/>
    </row>
    <row r="1080" spans="1:260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IY1080" s="3"/>
      <c r="IZ1080" s="3"/>
    </row>
    <row r="1081" spans="1:260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IY1081" s="3"/>
      <c r="IZ1081" s="3"/>
    </row>
    <row r="1082" spans="1:260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IY1082" s="3"/>
      <c r="IZ1082" s="3"/>
    </row>
    <row r="1083" spans="1:260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IY1083" s="3"/>
      <c r="IZ1083" s="3"/>
    </row>
    <row r="1084" spans="1:260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IY1084" s="3"/>
      <c r="IZ1084" s="3"/>
    </row>
    <row r="1085" spans="1:260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IY1085" s="3"/>
      <c r="IZ1085" s="3"/>
    </row>
    <row r="1086" spans="1:260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IY1086" s="3"/>
      <c r="IZ1086" s="3"/>
    </row>
    <row r="1087" spans="1:260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IY1087" s="3"/>
      <c r="IZ1087" s="3"/>
    </row>
    <row r="1088" spans="1:260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IY1088" s="3"/>
      <c r="IZ1088" s="3"/>
    </row>
    <row r="1089" spans="1:260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IY1089" s="3"/>
      <c r="IZ1089" s="3"/>
    </row>
    <row r="1090" spans="1:260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IY1090" s="3"/>
      <c r="IZ1090" s="3"/>
    </row>
    <row r="1091" spans="1:260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IY1091" s="3"/>
      <c r="IZ1091" s="3"/>
    </row>
    <row r="1092" spans="1:260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IY1092" s="3"/>
      <c r="IZ1092" s="3"/>
    </row>
    <row r="1093" spans="1:260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IY1093" s="3"/>
      <c r="IZ1093" s="3"/>
    </row>
    <row r="1094" spans="1:260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IY1094" s="3"/>
      <c r="IZ1094" s="3"/>
    </row>
    <row r="1095" spans="1:260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IY1095" s="3"/>
      <c r="IZ1095" s="3"/>
    </row>
    <row r="1096" spans="1:260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IY1096" s="3"/>
      <c r="IZ1096" s="3"/>
    </row>
    <row r="1097" spans="1:260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IY1097" s="3"/>
      <c r="IZ1097" s="3"/>
    </row>
    <row r="1098" spans="1:260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IY1098" s="3"/>
      <c r="IZ1098" s="3"/>
    </row>
    <row r="1099" spans="1:260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IY1099" s="3"/>
      <c r="IZ1099" s="3"/>
    </row>
    <row r="1100" spans="1:260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IY1100" s="3"/>
      <c r="IZ1100" s="3"/>
    </row>
    <row r="1101" spans="1:260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IY1101" s="3"/>
      <c r="IZ1101" s="3"/>
    </row>
    <row r="1102" spans="1:260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IY1102" s="3"/>
      <c r="IZ1102" s="3"/>
    </row>
    <row r="1103" spans="1:260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IY1103" s="3"/>
      <c r="IZ1103" s="3"/>
    </row>
    <row r="1104" spans="1:260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IY1104" s="3"/>
      <c r="IZ1104" s="3"/>
    </row>
    <row r="1105" spans="1:260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IY1105" s="3"/>
      <c r="IZ1105" s="3"/>
    </row>
    <row r="1106" spans="1:260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IY1106" s="3"/>
      <c r="IZ1106" s="3"/>
    </row>
    <row r="1107" spans="1:260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IY1107" s="3"/>
      <c r="IZ1107" s="3"/>
    </row>
    <row r="1108" spans="1:260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IY1108" s="3"/>
      <c r="IZ1108" s="3"/>
    </row>
    <row r="1109" spans="1:260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IY1109" s="3"/>
      <c r="IZ1109" s="3"/>
    </row>
    <row r="1110" spans="1:260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IY1110" s="3"/>
      <c r="IZ1110" s="3"/>
    </row>
    <row r="1111" spans="1:260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IY1111" s="3"/>
      <c r="IZ1111" s="3"/>
    </row>
    <row r="1112" spans="1:260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IY1112" s="3"/>
      <c r="IZ1112" s="3"/>
    </row>
    <row r="1113" spans="1:260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IY1113" s="3"/>
      <c r="IZ1113" s="3"/>
    </row>
    <row r="1114" spans="1:260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IY1114" s="3"/>
      <c r="IZ1114" s="3"/>
    </row>
    <row r="1115" spans="1:260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IY1115" s="3"/>
      <c r="IZ1115" s="3"/>
    </row>
    <row r="1116" spans="1:260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IY1116" s="3"/>
      <c r="IZ1116" s="3"/>
    </row>
    <row r="1117" spans="1:260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IY1117" s="3"/>
      <c r="IZ1117" s="3"/>
    </row>
    <row r="1118" spans="1:260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IY1118" s="3"/>
      <c r="IZ1118" s="3"/>
    </row>
    <row r="1119" spans="1:260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IY1119" s="3"/>
      <c r="IZ1119" s="3"/>
    </row>
    <row r="1120" spans="1:260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IY1120" s="3"/>
      <c r="IZ1120" s="3"/>
    </row>
    <row r="1121" spans="1:260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IY1121" s="3"/>
      <c r="IZ1121" s="3"/>
    </row>
    <row r="1122" spans="1:260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IY1122" s="3"/>
      <c r="IZ1122" s="3"/>
    </row>
    <row r="1123" spans="1:260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IY1123" s="3"/>
      <c r="IZ1123" s="3"/>
    </row>
    <row r="1124" spans="1:260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IY1124" s="3"/>
      <c r="IZ1124" s="3"/>
    </row>
    <row r="1125" spans="1:260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IY1125" s="3"/>
      <c r="IZ1125" s="3"/>
    </row>
    <row r="1126" spans="1:260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IY1126" s="3"/>
      <c r="IZ1126" s="3"/>
    </row>
    <row r="1127" spans="1:260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IY1127" s="3"/>
      <c r="IZ1127" s="3"/>
    </row>
    <row r="1128" spans="1:260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IY1128" s="3"/>
      <c r="IZ1128" s="3"/>
    </row>
    <row r="1129" spans="1:260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IY1129" s="3"/>
      <c r="IZ1129" s="3"/>
    </row>
    <row r="1130" spans="1:260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IY1130" s="3"/>
      <c r="IZ1130" s="3"/>
    </row>
    <row r="1131" spans="1:260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IY1131" s="3"/>
      <c r="IZ1131" s="3"/>
    </row>
    <row r="1132" spans="1:260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IY1132" s="3"/>
      <c r="IZ1132" s="3"/>
    </row>
    <row r="1133" spans="1:260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IY1133" s="3"/>
      <c r="IZ1133" s="3"/>
    </row>
    <row r="1134" spans="1:260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IY1134" s="3"/>
      <c r="IZ1134" s="3"/>
    </row>
    <row r="1135" spans="1:260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IY1135" s="3"/>
      <c r="IZ1135" s="3"/>
    </row>
    <row r="1136" spans="1:260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IY1136" s="3"/>
      <c r="IZ1136" s="3"/>
    </row>
    <row r="1137" spans="1:260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IY1137" s="3"/>
      <c r="IZ1137" s="3"/>
    </row>
    <row r="1138" spans="1:260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IY1138" s="3"/>
      <c r="IZ1138" s="3"/>
    </row>
    <row r="1139" spans="1:260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IY1139" s="3"/>
      <c r="IZ1139" s="3"/>
    </row>
    <row r="1140" spans="1:260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IY1140" s="3"/>
      <c r="IZ1140" s="3"/>
    </row>
    <row r="1141" spans="1:260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IY1141" s="3"/>
      <c r="IZ1141" s="3"/>
    </row>
    <row r="1142" spans="1:260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IY1142" s="3"/>
      <c r="IZ1142" s="3"/>
    </row>
    <row r="1143" spans="1:260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IY1143" s="3"/>
      <c r="IZ1143" s="3"/>
    </row>
    <row r="1144" spans="1:260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IY1144" s="3"/>
      <c r="IZ1144" s="3"/>
    </row>
    <row r="1145" spans="1:260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IY1145" s="3"/>
      <c r="IZ1145" s="3"/>
    </row>
    <row r="1146" spans="1:260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IY1146" s="3"/>
      <c r="IZ1146" s="3"/>
    </row>
    <row r="1147" spans="1:260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IY1147" s="3"/>
      <c r="IZ1147" s="3"/>
    </row>
    <row r="1148" spans="1:260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IY1148" s="3"/>
      <c r="IZ1148" s="3"/>
    </row>
    <row r="1149" spans="1:260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IY1149" s="3"/>
      <c r="IZ1149" s="3"/>
    </row>
    <row r="1150" spans="1:260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IY1150" s="3"/>
      <c r="IZ1150" s="3"/>
    </row>
    <row r="1151" spans="1:260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IY1151" s="3"/>
      <c r="IZ1151" s="3"/>
    </row>
    <row r="1152" spans="1:260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IY1152" s="3"/>
      <c r="IZ1152" s="3"/>
    </row>
    <row r="1153" spans="1:260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IY1153" s="3"/>
      <c r="IZ1153" s="3"/>
    </row>
    <row r="1154" spans="1:260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IY1154" s="3"/>
      <c r="IZ1154" s="3"/>
    </row>
    <row r="1155" spans="1:260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IY1155" s="3"/>
      <c r="IZ1155" s="3"/>
    </row>
    <row r="1156" spans="1:260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IY1156" s="3"/>
      <c r="IZ1156" s="3"/>
    </row>
    <row r="1157" spans="1:260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IY1157" s="3"/>
      <c r="IZ1157" s="3"/>
    </row>
    <row r="1158" spans="1:260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IY1158" s="3"/>
      <c r="IZ1158" s="3"/>
    </row>
    <row r="1159" spans="1:260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IY1159" s="3"/>
      <c r="IZ1159" s="3"/>
    </row>
    <row r="1160" spans="1:260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IY1160" s="3"/>
      <c r="IZ1160" s="3"/>
    </row>
    <row r="1161" spans="1:260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IY1161" s="3"/>
      <c r="IZ1161" s="3"/>
    </row>
    <row r="1162" spans="1:260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IY1162" s="3"/>
      <c r="IZ1162" s="3"/>
    </row>
    <row r="1163" spans="1:260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IY1163" s="3"/>
      <c r="IZ1163" s="3"/>
    </row>
    <row r="1164" spans="1:260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IY1164" s="3"/>
      <c r="IZ1164" s="3"/>
    </row>
    <row r="1165" spans="1:260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IY1165" s="3"/>
      <c r="IZ1165" s="3"/>
    </row>
    <row r="1166" spans="1:260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IY1166" s="3"/>
      <c r="IZ1166" s="3"/>
    </row>
    <row r="1167" spans="1:260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IY1167" s="3"/>
      <c r="IZ1167" s="3"/>
    </row>
    <row r="1168" spans="1:260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IY1168" s="3"/>
      <c r="IZ1168" s="3"/>
    </row>
    <row r="1169" spans="1:260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IY1169" s="3"/>
      <c r="IZ1169" s="3"/>
    </row>
    <row r="1170" spans="1:260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IY1170" s="3"/>
      <c r="IZ1170" s="3"/>
    </row>
    <row r="1171" spans="1:260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IY1171" s="3"/>
      <c r="IZ1171" s="3"/>
    </row>
    <row r="1172" spans="1:260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IY1172" s="3"/>
      <c r="IZ1172" s="3"/>
    </row>
    <row r="1173" spans="1:260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IY1173" s="3"/>
      <c r="IZ1173" s="3"/>
    </row>
    <row r="1174" spans="1:260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IY1174" s="3"/>
      <c r="IZ1174" s="3"/>
    </row>
    <row r="1175" spans="1:260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IY1175" s="3"/>
      <c r="IZ1175" s="3"/>
    </row>
    <row r="1176" spans="1:260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IY1176" s="3"/>
      <c r="IZ1176" s="3"/>
    </row>
    <row r="1177" spans="1:260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IY1177" s="3"/>
      <c r="IZ1177" s="3"/>
    </row>
    <row r="1178" spans="1:260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IY1178" s="3"/>
      <c r="IZ1178" s="3"/>
    </row>
    <row r="1179" spans="1:260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IY1179" s="3"/>
      <c r="IZ1179" s="3"/>
    </row>
    <row r="1180" spans="1:260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IY1180" s="3"/>
      <c r="IZ1180" s="3"/>
    </row>
    <row r="1181" spans="1:260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IY1181" s="3"/>
      <c r="IZ1181" s="3"/>
    </row>
    <row r="1182" spans="1:260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IY1182" s="3"/>
      <c r="IZ1182" s="3"/>
    </row>
    <row r="1183" spans="1:260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IY1183" s="3"/>
      <c r="IZ1183" s="3"/>
    </row>
    <row r="1184" spans="1:260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IY1184" s="3"/>
      <c r="IZ1184" s="3"/>
    </row>
    <row r="1185" spans="1:260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IY1185" s="3"/>
      <c r="IZ1185" s="3"/>
    </row>
    <row r="1186" spans="1:260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IY1186" s="3"/>
      <c r="IZ1186" s="3"/>
    </row>
    <row r="1187" spans="1:260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IY1187" s="3"/>
      <c r="IZ1187" s="3"/>
    </row>
    <row r="1188" spans="1:260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IY1188" s="3"/>
      <c r="IZ1188" s="3"/>
    </row>
    <row r="1189" spans="1:260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IY1189" s="3"/>
      <c r="IZ1189" s="3"/>
    </row>
    <row r="1190" spans="1:260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IY1190" s="3"/>
      <c r="IZ1190" s="3"/>
    </row>
    <row r="1191" spans="1:260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IY1191" s="3"/>
      <c r="IZ1191" s="3"/>
    </row>
    <row r="1192" spans="1:260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IY1192" s="3"/>
      <c r="IZ1192" s="3"/>
    </row>
    <row r="1193" spans="1:260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IY1193" s="3"/>
      <c r="IZ1193" s="3"/>
    </row>
    <row r="1194" spans="1:260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IY1194" s="3"/>
      <c r="IZ1194" s="3"/>
    </row>
    <row r="1195" spans="1:260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IY1195" s="3"/>
      <c r="IZ1195" s="3"/>
    </row>
    <row r="1196" spans="1:260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IY1196" s="3"/>
      <c r="IZ1196" s="3"/>
    </row>
    <row r="1197" spans="1:260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IY1197" s="3"/>
      <c r="IZ1197" s="3"/>
    </row>
    <row r="1198" spans="1:260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IY1198" s="3"/>
      <c r="IZ1198" s="3"/>
    </row>
    <row r="1199" spans="1:260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IY1199" s="3"/>
      <c r="IZ1199" s="3"/>
    </row>
    <row r="1200" spans="1:260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IY1200" s="3"/>
      <c r="IZ1200" s="3"/>
    </row>
    <row r="1201" spans="1:260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IY1201" s="3"/>
      <c r="IZ1201" s="3"/>
    </row>
    <row r="1202" spans="1:260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IY1202" s="3"/>
      <c r="IZ1202" s="3"/>
    </row>
    <row r="1203" spans="1:260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IY1203" s="3"/>
      <c r="IZ1203" s="3"/>
    </row>
    <row r="1204" spans="1:260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IY1204" s="3"/>
      <c r="IZ1204" s="3"/>
    </row>
    <row r="1205" spans="1:260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IY1205" s="3"/>
      <c r="IZ1205" s="3"/>
    </row>
    <row r="1206" spans="1:260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IY1206" s="3"/>
      <c r="IZ1206" s="3"/>
    </row>
    <row r="1207" spans="1:260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IY1207" s="3"/>
      <c r="IZ1207" s="3"/>
    </row>
    <row r="1208" spans="1:260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IY1208" s="3"/>
      <c r="IZ1208" s="3"/>
    </row>
    <row r="1209" spans="1:260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IY1209" s="3"/>
      <c r="IZ1209" s="3"/>
    </row>
    <row r="1210" spans="1:260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IY1210" s="3"/>
      <c r="IZ1210" s="3"/>
    </row>
    <row r="1211" spans="1:260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IY1211" s="3"/>
      <c r="IZ1211" s="3"/>
    </row>
    <row r="1212" spans="1:260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IY1212" s="3"/>
      <c r="IZ1212" s="3"/>
    </row>
    <row r="1213" spans="1:260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IY1213" s="3"/>
      <c r="IZ1213" s="3"/>
    </row>
    <row r="1214" spans="1:260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IY1214" s="3"/>
      <c r="IZ1214" s="3"/>
    </row>
    <row r="1215" spans="1:260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IY1215" s="3"/>
      <c r="IZ1215" s="3"/>
    </row>
    <row r="1216" spans="1:260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IY1216" s="3"/>
      <c r="IZ1216" s="3"/>
    </row>
    <row r="1217" spans="1:260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IY1217" s="3"/>
      <c r="IZ1217" s="3"/>
    </row>
    <row r="1218" spans="1:260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IY1218" s="3"/>
      <c r="IZ1218" s="3"/>
    </row>
    <row r="1219" spans="1:260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IY1219" s="3"/>
      <c r="IZ1219" s="3"/>
    </row>
    <row r="1220" spans="1:260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IY1220" s="3"/>
      <c r="IZ1220" s="3"/>
    </row>
    <row r="1221" spans="1:260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IY1221" s="3"/>
      <c r="IZ1221" s="3"/>
    </row>
    <row r="1222" spans="1:260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IY1222" s="3"/>
      <c r="IZ1222" s="3"/>
    </row>
    <row r="1223" spans="1:260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IY1223" s="3"/>
      <c r="IZ1223" s="3"/>
    </row>
    <row r="1224" spans="1:260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IY1224" s="3"/>
      <c r="IZ1224" s="3"/>
    </row>
    <row r="1225" spans="1:260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IY1225" s="3"/>
      <c r="IZ1225" s="3"/>
    </row>
    <row r="1226" spans="1:260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IY1226" s="3"/>
      <c r="IZ1226" s="3"/>
    </row>
    <row r="1227" spans="1:260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IY1227" s="3"/>
      <c r="IZ1227" s="3"/>
    </row>
    <row r="1228" spans="1:260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IY1228" s="3"/>
      <c r="IZ1228" s="3"/>
    </row>
    <row r="1229" spans="1:260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IY1229" s="3"/>
      <c r="IZ1229" s="3"/>
    </row>
    <row r="1230" spans="1:260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IY1230" s="3"/>
      <c r="IZ1230" s="3"/>
    </row>
    <row r="1231" spans="1:260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IY1231" s="3"/>
      <c r="IZ1231" s="3"/>
    </row>
    <row r="1232" spans="1:260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IY1232" s="3"/>
      <c r="IZ1232" s="3"/>
    </row>
    <row r="1233" spans="1:260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IY1233" s="3"/>
      <c r="IZ1233" s="3"/>
    </row>
    <row r="1234" spans="1:260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IY1234" s="3"/>
      <c r="IZ1234" s="3"/>
    </row>
    <row r="1235" spans="1:260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IY1235" s="3"/>
      <c r="IZ1235" s="3"/>
    </row>
    <row r="1236" spans="1:260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IY1236" s="3"/>
      <c r="IZ1236" s="3"/>
    </row>
    <row r="1237" spans="1:260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IY1237" s="3"/>
      <c r="IZ1237" s="3"/>
    </row>
    <row r="1238" spans="1:260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IY1238" s="3"/>
      <c r="IZ1238" s="3"/>
    </row>
    <row r="1239" spans="1:260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IY1239" s="3"/>
      <c r="IZ1239" s="3"/>
    </row>
    <row r="1240" spans="1:260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IY1240" s="3"/>
      <c r="IZ1240" s="3"/>
    </row>
    <row r="1241" spans="1:260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IY1241" s="3"/>
      <c r="IZ1241" s="3"/>
    </row>
    <row r="1242" spans="1:260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IY1242" s="3"/>
      <c r="IZ1242" s="3"/>
    </row>
    <row r="1243" spans="1:260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IY1243" s="3"/>
      <c r="IZ1243" s="3"/>
    </row>
    <row r="1244" spans="1:260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IY1244" s="3"/>
      <c r="IZ1244" s="3"/>
    </row>
    <row r="1245" spans="1:260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IY1245" s="3"/>
      <c r="IZ1245" s="3"/>
    </row>
    <row r="1246" spans="1:260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IY1246" s="3"/>
      <c r="IZ1246" s="3"/>
    </row>
    <row r="1247" spans="1:260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IY1247" s="3"/>
      <c r="IZ1247" s="3"/>
    </row>
    <row r="1248" spans="1:260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IY1248" s="3"/>
      <c r="IZ1248" s="3"/>
    </row>
    <row r="1249" spans="1:260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IY1249" s="3"/>
      <c r="IZ1249" s="3"/>
    </row>
    <row r="1250" spans="1:260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IY1250" s="3"/>
      <c r="IZ1250" s="3"/>
    </row>
    <row r="1251" spans="1:260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IY1251" s="3"/>
      <c r="IZ1251" s="3"/>
    </row>
    <row r="1252" spans="1:260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IY1252" s="3"/>
      <c r="IZ1252" s="3"/>
    </row>
    <row r="1253" spans="1:260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IY1253" s="3"/>
      <c r="IZ1253" s="3"/>
    </row>
    <row r="1254" spans="1:260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IY1254" s="3"/>
      <c r="IZ1254" s="3"/>
    </row>
    <row r="1255" spans="1:260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IY1255" s="3"/>
      <c r="IZ1255" s="3"/>
    </row>
    <row r="1256" spans="1:260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IY1256" s="3"/>
      <c r="IZ1256" s="3"/>
    </row>
    <row r="1257" spans="1:260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IY1257" s="3"/>
      <c r="IZ1257" s="3"/>
    </row>
    <row r="1258" spans="1:260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IY1258" s="3"/>
      <c r="IZ1258" s="3"/>
    </row>
    <row r="1259" spans="1:260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IY1259" s="3"/>
      <c r="IZ1259" s="3"/>
    </row>
    <row r="1260" spans="1:260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IY1260" s="3"/>
      <c r="IZ1260" s="3"/>
    </row>
    <row r="1261" spans="1:260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IY1261" s="3"/>
      <c r="IZ1261" s="3"/>
    </row>
    <row r="1262" spans="1:260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IY1262" s="3"/>
      <c r="IZ1262" s="3"/>
    </row>
    <row r="1263" spans="1:260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IY1263" s="3"/>
      <c r="IZ1263" s="3"/>
    </row>
    <row r="1264" spans="1:260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IY1264" s="3"/>
      <c r="IZ1264" s="3"/>
    </row>
    <row r="1265" spans="1:260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IY1265" s="3"/>
      <c r="IZ1265" s="3"/>
    </row>
    <row r="1266" spans="1:260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IY1266" s="3"/>
      <c r="IZ1266" s="3"/>
    </row>
    <row r="1267" spans="1:260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IY1267" s="3"/>
      <c r="IZ1267" s="3"/>
    </row>
    <row r="1268" spans="1:260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IY1268" s="3"/>
      <c r="IZ1268" s="3"/>
    </row>
    <row r="1269" spans="1:260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IY1269" s="3"/>
      <c r="IZ1269" s="3"/>
    </row>
    <row r="1270" spans="1:260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IY1270" s="3"/>
      <c r="IZ1270" s="3"/>
    </row>
    <row r="1271" spans="1:260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IY1271" s="3"/>
      <c r="IZ1271" s="3"/>
    </row>
    <row r="1272" spans="1:260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IY1272" s="3"/>
      <c r="IZ1272" s="3"/>
    </row>
    <row r="1273" spans="1:260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IY1273" s="3"/>
      <c r="IZ1273" s="3"/>
    </row>
    <row r="1274" spans="1:260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IY1274" s="3"/>
      <c r="IZ1274" s="3"/>
    </row>
    <row r="1275" spans="1:260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IY1275" s="3"/>
      <c r="IZ1275" s="3"/>
    </row>
    <row r="1276" spans="1:260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IY1276" s="3"/>
      <c r="IZ1276" s="3"/>
    </row>
    <row r="1277" spans="1:260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IY1277" s="3"/>
      <c r="IZ1277" s="3"/>
    </row>
    <row r="1278" spans="1:260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IY1278" s="3"/>
      <c r="IZ1278" s="3"/>
    </row>
    <row r="1279" spans="1:260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IY1279" s="3"/>
      <c r="IZ1279" s="3"/>
    </row>
    <row r="1280" spans="1:260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IY1280" s="3"/>
      <c r="IZ1280" s="3"/>
    </row>
    <row r="1281" spans="1:260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IY1281" s="3"/>
      <c r="IZ1281" s="3"/>
    </row>
    <row r="1282" spans="1:260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IY1282" s="3"/>
      <c r="IZ1282" s="3"/>
    </row>
    <row r="1283" spans="1:260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IY1283" s="3"/>
      <c r="IZ1283" s="3"/>
    </row>
    <row r="1284" spans="1:260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IY1284" s="3"/>
      <c r="IZ1284" s="3"/>
    </row>
    <row r="1285" spans="1:260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IY1285" s="3"/>
      <c r="IZ1285" s="3"/>
    </row>
    <row r="1286" spans="1:260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IY1286" s="3"/>
      <c r="IZ1286" s="3"/>
    </row>
    <row r="1287" spans="1:260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IY1287" s="3"/>
      <c r="IZ1287" s="3"/>
    </row>
    <row r="1288" spans="1:260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IY1288" s="3"/>
      <c r="IZ1288" s="3"/>
    </row>
    <row r="1289" spans="1:260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IY1289" s="3"/>
      <c r="IZ1289" s="3"/>
    </row>
    <row r="1290" spans="1:260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IY1290" s="3"/>
      <c r="IZ1290" s="3"/>
    </row>
    <row r="1291" spans="1:260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IY1291" s="3"/>
      <c r="IZ1291" s="3"/>
    </row>
    <row r="1292" spans="1:260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IY1292" s="3"/>
      <c r="IZ1292" s="3"/>
    </row>
    <row r="1293" spans="1:260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IY1293" s="3"/>
      <c r="IZ1293" s="3"/>
    </row>
    <row r="1294" spans="1:260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IY1294" s="3"/>
      <c r="IZ1294" s="3"/>
    </row>
    <row r="1295" spans="1:260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IY1295" s="3"/>
      <c r="IZ1295" s="3"/>
    </row>
    <row r="1296" spans="1:260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IY1296" s="3"/>
      <c r="IZ1296" s="3"/>
    </row>
    <row r="1297" spans="1:260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IY1297" s="3"/>
      <c r="IZ1297" s="3"/>
    </row>
    <row r="1298" spans="1:260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IY1298" s="3"/>
      <c r="IZ1298" s="3"/>
    </row>
    <row r="1299" spans="1:260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IY1299" s="3"/>
      <c r="IZ1299" s="3"/>
    </row>
    <row r="1300" spans="1:260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IY1300" s="3"/>
      <c r="IZ1300" s="3"/>
    </row>
    <row r="1301" spans="1:260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IY1301" s="3"/>
      <c r="IZ1301" s="3"/>
    </row>
    <row r="1302" spans="1:260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IY1302" s="3"/>
      <c r="IZ1302" s="3"/>
    </row>
    <row r="1303" spans="1:260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IY1303" s="3"/>
      <c r="IZ1303" s="3"/>
    </row>
    <row r="1304" spans="1:260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IY1304" s="3"/>
      <c r="IZ1304" s="3"/>
    </row>
    <row r="1305" spans="1:260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IY1305" s="3"/>
      <c r="IZ1305" s="3"/>
    </row>
    <row r="1306" spans="1:260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IY1306" s="3"/>
      <c r="IZ1306" s="3"/>
    </row>
    <row r="1307" spans="1:260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IY1307" s="3"/>
      <c r="IZ1307" s="3"/>
    </row>
    <row r="1308" spans="1:260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IY1308" s="3"/>
      <c r="IZ1308" s="3"/>
    </row>
    <row r="1309" spans="1:260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IY1309" s="3"/>
      <c r="IZ1309" s="3"/>
    </row>
    <row r="1310" spans="1:260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IY1310" s="3"/>
      <c r="IZ1310" s="3"/>
    </row>
    <row r="1311" spans="1:260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IY1311" s="3"/>
      <c r="IZ1311" s="3"/>
    </row>
    <row r="1312" spans="1:260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IY1312" s="3"/>
      <c r="IZ1312" s="3"/>
    </row>
    <row r="1313" spans="1:260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IY1313" s="3"/>
      <c r="IZ1313" s="3"/>
    </row>
    <row r="1314" spans="1:260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IY1314" s="3"/>
      <c r="IZ1314" s="3"/>
    </row>
    <row r="1315" spans="1:260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IY1315" s="3"/>
      <c r="IZ1315" s="3"/>
    </row>
    <row r="1316" spans="1:260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IY1316" s="3"/>
      <c r="IZ1316" s="3"/>
    </row>
    <row r="1317" spans="1:260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IY1317" s="3"/>
      <c r="IZ1317" s="3"/>
    </row>
    <row r="1318" spans="1:260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IY1318" s="3"/>
      <c r="IZ1318" s="3"/>
    </row>
    <row r="1319" spans="1:260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IY1319" s="3"/>
      <c r="IZ1319" s="3"/>
    </row>
    <row r="1320" spans="1:260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IY1320" s="3"/>
      <c r="IZ1320" s="3"/>
    </row>
    <row r="1321" spans="1:260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IY1321" s="3"/>
      <c r="IZ1321" s="3"/>
    </row>
    <row r="1322" spans="1:260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IY1322" s="3"/>
      <c r="IZ1322" s="3"/>
    </row>
    <row r="1323" spans="1:260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IY1323" s="3"/>
      <c r="IZ1323" s="3"/>
    </row>
    <row r="1324" spans="1:260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IY1324" s="3"/>
      <c r="IZ1324" s="3"/>
    </row>
    <row r="1325" spans="1:260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IY1325" s="3"/>
      <c r="IZ1325" s="3"/>
    </row>
    <row r="1326" spans="1:260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IY1326" s="3"/>
      <c r="IZ1326" s="3"/>
    </row>
    <row r="1327" spans="1:260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IY1327" s="3"/>
      <c r="IZ1327" s="3"/>
    </row>
    <row r="1328" spans="1:260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IY1328" s="3"/>
      <c r="IZ1328" s="3"/>
    </row>
    <row r="1329" spans="1:260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IY1329" s="3"/>
      <c r="IZ1329" s="3"/>
    </row>
    <row r="1330" spans="1:260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IY1330" s="3"/>
      <c r="IZ1330" s="3"/>
    </row>
    <row r="1331" spans="1:260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IY1331" s="3"/>
      <c r="IZ1331" s="3"/>
    </row>
    <row r="1332" spans="1:260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IY1332" s="3"/>
      <c r="IZ1332" s="3"/>
    </row>
    <row r="1333" spans="1:260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IY1333" s="3"/>
      <c r="IZ1333" s="3"/>
    </row>
    <row r="1334" spans="1:260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IY1334" s="3"/>
      <c r="IZ1334" s="3"/>
    </row>
    <row r="1335" spans="1:260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IY1335" s="3"/>
      <c r="IZ1335" s="3"/>
    </row>
    <row r="1336" spans="1:260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IY1336" s="3"/>
      <c r="IZ1336" s="3"/>
    </row>
    <row r="1337" spans="1:260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IY1337" s="3"/>
      <c r="IZ1337" s="3"/>
    </row>
    <row r="1338" spans="1:260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IY1338" s="3"/>
      <c r="IZ1338" s="3"/>
    </row>
    <row r="1339" spans="1:260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IY1339" s="3"/>
      <c r="IZ1339" s="3"/>
    </row>
    <row r="1340" spans="1:260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IY1340" s="3"/>
      <c r="IZ1340" s="3"/>
    </row>
    <row r="1341" spans="1:260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IY1341" s="3"/>
      <c r="IZ1341" s="3"/>
    </row>
    <row r="1342" spans="1:260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IY1342" s="3"/>
      <c r="IZ1342" s="3"/>
    </row>
    <row r="1343" spans="1:260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IY1343" s="3"/>
      <c r="IZ1343" s="3"/>
    </row>
    <row r="1344" spans="1:260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IY1344" s="3"/>
      <c r="IZ1344" s="3"/>
    </row>
    <row r="1345" spans="1:260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IY1345" s="3"/>
      <c r="IZ1345" s="3"/>
    </row>
    <row r="1346" spans="1:260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IY1346" s="3"/>
      <c r="IZ1346" s="3"/>
    </row>
    <row r="1347" spans="1:260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IY1347" s="3"/>
      <c r="IZ1347" s="3"/>
    </row>
    <row r="1348" spans="1:260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IY1348" s="3"/>
      <c r="IZ1348" s="3"/>
    </row>
    <row r="1349" spans="1:260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IY1349" s="3"/>
      <c r="IZ1349" s="3"/>
    </row>
    <row r="1350" spans="1:260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IY1350" s="3"/>
      <c r="IZ1350" s="3"/>
    </row>
    <row r="1351" spans="1:260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IY1351" s="3"/>
      <c r="IZ1351" s="3"/>
    </row>
    <row r="1352" spans="1:260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IY1352" s="3"/>
      <c r="IZ1352" s="3"/>
    </row>
    <row r="1353" spans="1:260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IY1353" s="3"/>
      <c r="IZ1353" s="3"/>
    </row>
    <row r="1354" spans="1:260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IY1354" s="3"/>
      <c r="IZ1354" s="3"/>
    </row>
    <row r="1355" spans="1:260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IY1355" s="3"/>
      <c r="IZ1355" s="3"/>
    </row>
    <row r="1356" spans="1:260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IY1356" s="3"/>
      <c r="IZ1356" s="3"/>
    </row>
    <row r="1357" spans="1:260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IY1357" s="3"/>
      <c r="IZ1357" s="3"/>
    </row>
    <row r="1358" spans="1:260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IY1358" s="3"/>
      <c r="IZ1358" s="3"/>
    </row>
    <row r="1359" spans="1:260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IY1359" s="3"/>
      <c r="IZ1359" s="3"/>
    </row>
    <row r="1360" spans="1:260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IY1360" s="3"/>
      <c r="IZ1360" s="3"/>
    </row>
    <row r="1361" spans="1:260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IY1361" s="3"/>
      <c r="IZ1361" s="3"/>
    </row>
    <row r="1362" spans="1:260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IY1362" s="3"/>
      <c r="IZ1362" s="3"/>
    </row>
    <row r="1363" spans="1:260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IY1363" s="3"/>
      <c r="IZ1363" s="3"/>
    </row>
    <row r="1364" spans="1:260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IY1364" s="3"/>
      <c r="IZ1364" s="3"/>
    </row>
    <row r="1365" spans="1:260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IY1365" s="3"/>
      <c r="IZ1365" s="3"/>
    </row>
    <row r="1366" spans="1:260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IY1366" s="3"/>
      <c r="IZ1366" s="3"/>
    </row>
    <row r="1367" spans="1:260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IY1367" s="3"/>
      <c r="IZ1367" s="3"/>
    </row>
    <row r="1368" spans="1:260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IY1368" s="3"/>
      <c r="IZ1368" s="3"/>
    </row>
    <row r="1369" spans="1:260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IY1369" s="3"/>
      <c r="IZ1369" s="3"/>
    </row>
    <row r="1370" spans="1:260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IY1370" s="3"/>
      <c r="IZ1370" s="3"/>
    </row>
    <row r="1371" spans="1:260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IY1371" s="3"/>
      <c r="IZ1371" s="3"/>
    </row>
    <row r="1372" spans="1:260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IY1372" s="3"/>
      <c r="IZ1372" s="3"/>
    </row>
    <row r="1373" spans="1:260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IY1373" s="3"/>
      <c r="IZ1373" s="3"/>
    </row>
    <row r="1374" spans="1:260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IY1374" s="3"/>
      <c r="IZ1374" s="3"/>
    </row>
    <row r="1375" spans="1:260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IY1375" s="3"/>
      <c r="IZ1375" s="3"/>
    </row>
    <row r="1376" spans="1:260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IY1376" s="3"/>
      <c r="IZ1376" s="3"/>
    </row>
    <row r="1377" spans="1:260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IY1377" s="3"/>
      <c r="IZ1377" s="3"/>
    </row>
    <row r="1378" spans="1:260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IY1378" s="3"/>
      <c r="IZ1378" s="3"/>
    </row>
    <row r="1379" spans="1:260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IY1379" s="3"/>
      <c r="IZ1379" s="3"/>
    </row>
    <row r="1380" spans="1:260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IY1380" s="3"/>
      <c r="IZ1380" s="3"/>
    </row>
    <row r="1381" spans="1:260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IY1381" s="3"/>
      <c r="IZ1381" s="3"/>
    </row>
    <row r="1382" spans="1:260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IY1382" s="3"/>
      <c r="IZ1382" s="3"/>
    </row>
    <row r="1383" spans="1:260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IY1383" s="3"/>
      <c r="IZ1383" s="3"/>
    </row>
    <row r="1384" spans="1:260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IY1384" s="3"/>
      <c r="IZ1384" s="3"/>
    </row>
    <row r="1385" spans="1:260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IY1385" s="3"/>
      <c r="IZ1385" s="3"/>
    </row>
    <row r="1386" spans="1:260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IY1386" s="3"/>
      <c r="IZ1386" s="3"/>
    </row>
    <row r="1387" spans="1:260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IY1387" s="3"/>
      <c r="IZ1387" s="3"/>
    </row>
    <row r="1388" spans="1:260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IY1388" s="3"/>
      <c r="IZ1388" s="3"/>
    </row>
    <row r="1389" spans="1:260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IY1389" s="3"/>
      <c r="IZ1389" s="3"/>
    </row>
    <row r="1390" spans="1:260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IY1390" s="3"/>
      <c r="IZ1390" s="3"/>
    </row>
    <row r="1391" spans="1:260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IY1391" s="3"/>
      <c r="IZ1391" s="3"/>
    </row>
    <row r="1392" spans="1:260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IY1392" s="3"/>
      <c r="IZ1392" s="3"/>
    </row>
    <row r="1393" spans="1:260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IY1393" s="3"/>
      <c r="IZ1393" s="3"/>
    </row>
    <row r="1394" spans="1:260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IY1394" s="3"/>
      <c r="IZ1394" s="3"/>
    </row>
    <row r="1395" spans="1:260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IY1395" s="3"/>
      <c r="IZ1395" s="3"/>
    </row>
    <row r="1396" spans="1:260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IY1396" s="3"/>
      <c r="IZ1396" s="3"/>
    </row>
    <row r="1397" spans="1:260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IY1397" s="3"/>
      <c r="IZ1397" s="3"/>
    </row>
    <row r="1398" spans="1:260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IY1398" s="3"/>
      <c r="IZ1398" s="3"/>
    </row>
    <row r="1399" spans="1:260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IY1399" s="3"/>
      <c r="IZ1399" s="3"/>
    </row>
    <row r="1400" spans="1:260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IY1400" s="3"/>
      <c r="IZ1400" s="3"/>
    </row>
    <row r="1401" spans="1:260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IY1401" s="3"/>
      <c r="IZ1401" s="3"/>
    </row>
    <row r="1402" spans="1:260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IY1402" s="3"/>
      <c r="IZ1402" s="3"/>
    </row>
    <row r="1403" spans="1:260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IY1403" s="3"/>
      <c r="IZ1403" s="3"/>
    </row>
    <row r="1404" spans="1:260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IY1404" s="3"/>
      <c r="IZ1404" s="3"/>
    </row>
    <row r="1405" spans="1:260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IY1405" s="3"/>
      <c r="IZ1405" s="3"/>
    </row>
    <row r="1406" spans="1:260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IY1406" s="3"/>
      <c r="IZ1406" s="3"/>
    </row>
    <row r="1407" spans="1:260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IY1407" s="3"/>
      <c r="IZ1407" s="3"/>
    </row>
    <row r="1408" spans="1:260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IY1408" s="3"/>
      <c r="IZ1408" s="3"/>
    </row>
    <row r="1409" spans="1:260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IY1409" s="3"/>
      <c r="IZ1409" s="3"/>
    </row>
    <row r="1410" spans="1:260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IY1410" s="3"/>
      <c r="IZ1410" s="3"/>
    </row>
    <row r="1411" spans="1:260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IY1411" s="3"/>
      <c r="IZ1411" s="3"/>
    </row>
    <row r="1412" spans="1:260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IY1412" s="3"/>
      <c r="IZ1412" s="3"/>
    </row>
    <row r="1413" spans="1:260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IY1413" s="3"/>
      <c r="IZ1413" s="3"/>
    </row>
    <row r="1414" spans="1:260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IY1414" s="3"/>
      <c r="IZ1414" s="3"/>
    </row>
    <row r="1415" spans="1:260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IY1415" s="3"/>
      <c r="IZ1415" s="3"/>
    </row>
    <row r="1416" spans="1:260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IY1416" s="3"/>
      <c r="IZ1416" s="3"/>
    </row>
    <row r="1417" spans="1:260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IY1417" s="3"/>
      <c r="IZ1417" s="3"/>
    </row>
    <row r="1418" spans="1:260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IY1418" s="3"/>
      <c r="IZ1418" s="3"/>
    </row>
    <row r="1419" spans="1:260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IY1419" s="3"/>
      <c r="IZ1419" s="3"/>
    </row>
    <row r="1420" spans="1:260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IY1420" s="3"/>
      <c r="IZ1420" s="3"/>
    </row>
    <row r="1421" spans="1:260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IY1421" s="3"/>
      <c r="IZ1421" s="3"/>
    </row>
    <row r="1422" spans="1:260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IY1422" s="3"/>
      <c r="IZ1422" s="3"/>
    </row>
    <row r="1423" spans="1:260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IY1423" s="3"/>
      <c r="IZ1423" s="3"/>
    </row>
    <row r="1424" spans="1:260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IY1424" s="3"/>
      <c r="IZ1424" s="3"/>
    </row>
    <row r="1425" spans="1:260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IY1425" s="3"/>
      <c r="IZ1425" s="3"/>
    </row>
    <row r="1426" spans="1:260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IY1426" s="3"/>
      <c r="IZ1426" s="3"/>
    </row>
    <row r="1427" spans="1:260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IY1427" s="3"/>
      <c r="IZ1427" s="3"/>
    </row>
    <row r="1428" spans="1:260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IY1428" s="3"/>
      <c r="IZ1428" s="3"/>
    </row>
    <row r="1429" spans="1:260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IY1429" s="3"/>
      <c r="IZ1429" s="3"/>
    </row>
    <row r="1430" spans="1:260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IY1430" s="3"/>
      <c r="IZ1430" s="3"/>
    </row>
    <row r="1431" spans="1:260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IY1431" s="3"/>
      <c r="IZ1431" s="3"/>
    </row>
    <row r="1432" spans="1:260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IY1432" s="3"/>
      <c r="IZ1432" s="3"/>
    </row>
    <row r="1433" spans="1:260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IY1433" s="3"/>
      <c r="IZ1433" s="3"/>
    </row>
    <row r="1434" spans="1:260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IY1434" s="3"/>
      <c r="IZ1434" s="3"/>
    </row>
    <row r="1435" spans="1:260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IY1435" s="3"/>
      <c r="IZ1435" s="3"/>
    </row>
    <row r="1436" spans="1:260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IY1436" s="3"/>
      <c r="IZ1436" s="3"/>
    </row>
    <row r="1437" spans="1:260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IY1437" s="3"/>
      <c r="IZ1437" s="3"/>
    </row>
    <row r="1438" spans="1:260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IY1438" s="3"/>
      <c r="IZ1438" s="3"/>
    </row>
    <row r="1439" spans="1:260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IY1439" s="3"/>
      <c r="IZ1439" s="3"/>
    </row>
    <row r="1440" spans="1:260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IY1440" s="3"/>
      <c r="IZ1440" s="3"/>
    </row>
    <row r="1441" spans="1:260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IY1441" s="3"/>
      <c r="IZ1441" s="3"/>
    </row>
    <row r="1442" spans="1:260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IY1442" s="3"/>
      <c r="IZ1442" s="3"/>
    </row>
    <row r="1443" spans="1:260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IY1443" s="3"/>
      <c r="IZ1443" s="3"/>
    </row>
    <row r="1444" spans="1:260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IY1444" s="3"/>
      <c r="IZ1444" s="3"/>
    </row>
    <row r="1445" spans="1:260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IY1445" s="3"/>
      <c r="IZ1445" s="3"/>
    </row>
    <row r="1446" spans="1:260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IY1446" s="3"/>
      <c r="IZ1446" s="3"/>
    </row>
    <row r="1447" spans="1:260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IY1447" s="3"/>
      <c r="IZ1447" s="3"/>
    </row>
    <row r="1448" spans="1:260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IY1448" s="3"/>
      <c r="IZ1448" s="3"/>
    </row>
    <row r="1449" spans="1:260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IY1449" s="3"/>
      <c r="IZ1449" s="3"/>
    </row>
    <row r="1450" spans="1:260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IY1450" s="3"/>
      <c r="IZ1450" s="3"/>
    </row>
    <row r="1451" spans="1:260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IY1451" s="3"/>
      <c r="IZ1451" s="3"/>
    </row>
    <row r="1452" spans="1:260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IY1452" s="3"/>
      <c r="IZ1452" s="3"/>
    </row>
    <row r="1453" spans="1:260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IY1453" s="3"/>
      <c r="IZ1453" s="3"/>
    </row>
    <row r="1454" spans="1:260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IY1454" s="3"/>
      <c r="IZ1454" s="3"/>
    </row>
    <row r="1455" spans="1:260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IY1455" s="3"/>
      <c r="IZ1455" s="3"/>
    </row>
    <row r="1456" spans="1:260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IY1456" s="3"/>
      <c r="IZ1456" s="3"/>
    </row>
    <row r="1457" spans="1:260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IY1457" s="3"/>
      <c r="IZ1457" s="3"/>
    </row>
    <row r="1458" spans="1:260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IY1458" s="3"/>
      <c r="IZ1458" s="3"/>
    </row>
    <row r="1459" spans="1:260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IY1459" s="3"/>
      <c r="IZ1459" s="3"/>
    </row>
    <row r="1460" spans="1:260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IY1460" s="3"/>
      <c r="IZ1460" s="3"/>
    </row>
    <row r="1461" spans="1:260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IY1461" s="3"/>
      <c r="IZ1461" s="3"/>
    </row>
    <row r="1462" spans="1:260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IY1462" s="3"/>
      <c r="IZ1462" s="3"/>
    </row>
    <row r="1463" spans="1:260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IY1463" s="3"/>
      <c r="IZ1463" s="3"/>
    </row>
    <row r="1464" spans="1:260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IY1464" s="3"/>
      <c r="IZ1464" s="3"/>
    </row>
    <row r="1465" spans="1:260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IY1465" s="3"/>
      <c r="IZ1465" s="3"/>
    </row>
    <row r="1466" spans="1:260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IY1466" s="3"/>
      <c r="IZ1466" s="3"/>
    </row>
    <row r="1467" spans="1:260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IY1467" s="3"/>
      <c r="IZ1467" s="3"/>
    </row>
    <row r="1468" spans="1:260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IY1468" s="3"/>
      <c r="IZ1468" s="3"/>
    </row>
    <row r="1469" spans="1:260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IY1469" s="3"/>
      <c r="IZ1469" s="3"/>
    </row>
    <row r="1470" spans="1:260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IY1470" s="3"/>
      <c r="IZ1470" s="3"/>
    </row>
    <row r="1471" spans="1:260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IY1471" s="3"/>
      <c r="IZ1471" s="3"/>
    </row>
    <row r="1472" spans="1:260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IY1472" s="3"/>
      <c r="IZ1472" s="3"/>
    </row>
    <row r="1473" spans="1:260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IY1473" s="3"/>
      <c r="IZ1473" s="3"/>
    </row>
    <row r="1474" spans="1:260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IY1474" s="3"/>
      <c r="IZ1474" s="3"/>
    </row>
    <row r="1475" spans="1:260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IY1475" s="3"/>
      <c r="IZ1475" s="3"/>
    </row>
    <row r="1476" spans="1:260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IY1476" s="3"/>
      <c r="IZ1476" s="3"/>
    </row>
    <row r="1477" spans="1:260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IY1477" s="3"/>
      <c r="IZ1477" s="3"/>
    </row>
    <row r="1478" spans="1:260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IY1478" s="3"/>
      <c r="IZ1478" s="3"/>
    </row>
    <row r="1479" spans="1:260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IY1479" s="3"/>
      <c r="IZ1479" s="3"/>
    </row>
    <row r="1480" spans="1:260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IY1480" s="3"/>
      <c r="IZ1480" s="3"/>
    </row>
    <row r="1481" spans="1:260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IY1481" s="3"/>
      <c r="IZ1481" s="3"/>
    </row>
    <row r="1482" spans="1:260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IY1482" s="3"/>
      <c r="IZ1482" s="3"/>
    </row>
    <row r="1483" spans="1:260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IY1483" s="3"/>
      <c r="IZ1483" s="3"/>
    </row>
    <row r="1484" spans="1:260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IY1484" s="3"/>
      <c r="IZ1484" s="3"/>
    </row>
    <row r="1485" spans="1:260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IY1485" s="3"/>
      <c r="IZ1485" s="3"/>
    </row>
    <row r="1486" spans="1:260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IY1486" s="3"/>
      <c r="IZ1486" s="3"/>
    </row>
    <row r="1487" spans="1:260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IY1487" s="3"/>
      <c r="IZ1487" s="3"/>
    </row>
    <row r="1488" spans="1:260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IY1488" s="3"/>
      <c r="IZ1488" s="3"/>
    </row>
    <row r="1489" spans="1:260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IY1489" s="3"/>
      <c r="IZ1489" s="3"/>
    </row>
    <row r="1490" spans="1:260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IY1490" s="3"/>
      <c r="IZ1490" s="3"/>
    </row>
    <row r="1491" spans="1:260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IY1491" s="3"/>
      <c r="IZ1491" s="3"/>
    </row>
    <row r="1492" spans="1:260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IY1492" s="3"/>
      <c r="IZ1492" s="3"/>
    </row>
    <row r="1493" spans="1:260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IY1493" s="3"/>
      <c r="IZ1493" s="3"/>
    </row>
    <row r="1494" spans="1:260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IY1494" s="3"/>
      <c r="IZ1494" s="3"/>
    </row>
    <row r="1495" spans="1:260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IY1495" s="3"/>
      <c r="IZ1495" s="3"/>
    </row>
    <row r="1496" spans="1:260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IY1496" s="3"/>
      <c r="IZ1496" s="3"/>
    </row>
    <row r="1497" spans="1:260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IY1497" s="3"/>
      <c r="IZ1497" s="3"/>
    </row>
    <row r="1498" spans="1:260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IY1498" s="3"/>
      <c r="IZ1498" s="3"/>
    </row>
    <row r="1499" spans="1:260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IY1499" s="3"/>
      <c r="IZ1499" s="3"/>
    </row>
    <row r="1500" spans="1:260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IY1500" s="3"/>
      <c r="IZ1500" s="3"/>
    </row>
    <row r="1501" spans="1:260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IY1501" s="3"/>
      <c r="IZ1501" s="3"/>
    </row>
    <row r="1502" spans="1:260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IY1502" s="3"/>
      <c r="IZ1502" s="3"/>
    </row>
    <row r="1503" spans="1:260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IY1503" s="3"/>
      <c r="IZ1503" s="3"/>
    </row>
    <row r="1504" spans="1:260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IY1504" s="3"/>
      <c r="IZ1504" s="3"/>
    </row>
    <row r="1505" spans="1:260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IY1505" s="3"/>
      <c r="IZ1505" s="3"/>
    </row>
    <row r="1506" spans="1:260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IY1506" s="3"/>
      <c r="IZ1506" s="3"/>
    </row>
    <row r="1507" spans="1:260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IY1507" s="3"/>
      <c r="IZ1507" s="3"/>
    </row>
    <row r="1508" spans="1:260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IY1508" s="3"/>
      <c r="IZ1508" s="3"/>
    </row>
    <row r="1509" spans="1:260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IY1509" s="3"/>
      <c r="IZ1509" s="3"/>
    </row>
    <row r="1510" spans="1:260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IY1510" s="3"/>
      <c r="IZ1510" s="3"/>
    </row>
    <row r="1511" spans="1:260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IY1511" s="3"/>
      <c r="IZ1511" s="3"/>
    </row>
    <row r="1512" spans="1:260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IY1512" s="3"/>
      <c r="IZ1512" s="3"/>
    </row>
    <row r="1513" spans="1:260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IY1513" s="3"/>
      <c r="IZ1513" s="3"/>
    </row>
    <row r="1514" spans="1:260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IY1514" s="3"/>
      <c r="IZ1514" s="3"/>
    </row>
    <row r="1515" spans="1:260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IY1515" s="3"/>
      <c r="IZ1515" s="3"/>
    </row>
    <row r="1516" spans="1:260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IY1516" s="3"/>
      <c r="IZ1516" s="3"/>
    </row>
    <row r="1517" spans="1:260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IY1517" s="3"/>
      <c r="IZ1517" s="3"/>
    </row>
    <row r="1518" spans="1:260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IY1518" s="3"/>
      <c r="IZ1518" s="3"/>
    </row>
    <row r="1519" spans="1:260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IY1519" s="3"/>
      <c r="IZ1519" s="3"/>
    </row>
    <row r="1520" spans="1:260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IY1520" s="3"/>
      <c r="IZ1520" s="3"/>
    </row>
    <row r="1521" spans="1:260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IY1521" s="3"/>
      <c r="IZ1521" s="3"/>
    </row>
    <row r="1522" spans="1:260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IY1522" s="3"/>
      <c r="IZ1522" s="3"/>
    </row>
    <row r="1523" spans="1:260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IY1523" s="3"/>
      <c r="IZ1523" s="3"/>
    </row>
    <row r="1524" spans="1:260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IY1524" s="3"/>
      <c r="IZ1524" s="3"/>
    </row>
    <row r="1525" spans="1:260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IY1525" s="3"/>
      <c r="IZ1525" s="3"/>
    </row>
    <row r="1526" spans="1:260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IY1526" s="3"/>
      <c r="IZ1526" s="3"/>
    </row>
    <row r="1527" spans="1:260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IY1527" s="3"/>
      <c r="IZ1527" s="3"/>
    </row>
    <row r="1528" spans="1:260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IY1528" s="3"/>
      <c r="IZ1528" s="3"/>
    </row>
    <row r="1529" spans="1:260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IY1529" s="3"/>
      <c r="IZ1529" s="3"/>
    </row>
    <row r="1530" spans="1:260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IY1530" s="3"/>
      <c r="IZ1530" s="3"/>
    </row>
    <row r="1531" spans="1:260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IY1531" s="3"/>
      <c r="IZ1531" s="3"/>
    </row>
    <row r="1532" spans="1:260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IY1532" s="3"/>
      <c r="IZ1532" s="3"/>
    </row>
    <row r="1533" spans="1:260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IY1533" s="3"/>
      <c r="IZ1533" s="3"/>
    </row>
    <row r="1534" spans="1:260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IY1534" s="3"/>
      <c r="IZ1534" s="3"/>
    </row>
    <row r="1535" spans="1:260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IY1535" s="3"/>
      <c r="IZ1535" s="3"/>
    </row>
    <row r="1536" spans="1:260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IY1536" s="3"/>
      <c r="IZ1536" s="3"/>
    </row>
    <row r="1537" spans="1:260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IY1537" s="3"/>
      <c r="IZ1537" s="3"/>
    </row>
    <row r="1538" spans="1:260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IY1538" s="3"/>
      <c r="IZ1538" s="3"/>
    </row>
    <row r="1539" spans="1:260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IY1539" s="3"/>
      <c r="IZ1539" s="3"/>
    </row>
    <row r="1540" spans="1:260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IY1540" s="3"/>
      <c r="IZ1540" s="3"/>
    </row>
    <row r="1541" spans="1:260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IY1541" s="3"/>
      <c r="IZ1541" s="3"/>
    </row>
    <row r="1542" spans="1:260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IY1542" s="3"/>
      <c r="IZ1542" s="3"/>
    </row>
    <row r="1543" spans="1:260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IY1543" s="3"/>
      <c r="IZ1543" s="3"/>
    </row>
    <row r="1544" spans="1:260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IY1544" s="3"/>
      <c r="IZ1544" s="3"/>
    </row>
    <row r="1545" spans="1:260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IY1545" s="3"/>
      <c r="IZ1545" s="3"/>
    </row>
    <row r="1546" spans="1:260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IY1546" s="3"/>
      <c r="IZ1546" s="3"/>
    </row>
    <row r="1547" spans="1:260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IY1547" s="3"/>
      <c r="IZ1547" s="3"/>
    </row>
    <row r="1548" spans="1:260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IY1548" s="3"/>
      <c r="IZ1548" s="3"/>
    </row>
    <row r="1549" spans="1:260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IY1549" s="3"/>
      <c r="IZ1549" s="3"/>
    </row>
    <row r="1550" spans="1:260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IY1550" s="3"/>
      <c r="IZ1550" s="3"/>
    </row>
    <row r="1551" spans="1:260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IY1551" s="3"/>
      <c r="IZ1551" s="3"/>
    </row>
    <row r="1552" spans="1:260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IY1552" s="3"/>
      <c r="IZ1552" s="3"/>
    </row>
    <row r="1553" spans="1:260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IY1553" s="3"/>
      <c r="IZ1553" s="3"/>
    </row>
    <row r="1554" spans="1:260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IY1554" s="3"/>
      <c r="IZ1554" s="3"/>
    </row>
    <row r="1555" spans="1:260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IY1555" s="3"/>
      <c r="IZ1555" s="3"/>
    </row>
    <row r="1556" spans="1:260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IY1556" s="3"/>
      <c r="IZ1556" s="3"/>
    </row>
    <row r="1557" spans="1:260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IY1557" s="3"/>
      <c r="IZ1557" s="3"/>
    </row>
    <row r="1558" spans="1:260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IY1558" s="3"/>
      <c r="IZ1558" s="3"/>
    </row>
    <row r="1559" spans="1:260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IY1559" s="3"/>
      <c r="IZ1559" s="3"/>
    </row>
    <row r="1560" spans="1:260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IY1560" s="3"/>
      <c r="IZ1560" s="3"/>
    </row>
    <row r="1561" spans="1:260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IY1561" s="3"/>
      <c r="IZ1561" s="3"/>
    </row>
    <row r="1562" spans="1:260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IY1562" s="3"/>
      <c r="IZ1562" s="3"/>
    </row>
    <row r="1563" spans="1:260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IY1563" s="3"/>
      <c r="IZ1563" s="3"/>
    </row>
    <row r="1564" spans="1:260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IY1564" s="3"/>
      <c r="IZ1564" s="3"/>
    </row>
    <row r="1565" spans="1:260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IY1565" s="3"/>
      <c r="IZ1565" s="3"/>
    </row>
    <row r="1566" spans="1:260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IY1566" s="3"/>
      <c r="IZ1566" s="3"/>
    </row>
    <row r="1567" spans="1:260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IY1567" s="3"/>
      <c r="IZ1567" s="3"/>
    </row>
    <row r="1568" spans="1:260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IY1568" s="3"/>
      <c r="IZ1568" s="3"/>
    </row>
    <row r="1569" spans="1:260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IY1569" s="3"/>
      <c r="IZ1569" s="3"/>
    </row>
    <row r="1570" spans="1:260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IY1570" s="3"/>
      <c r="IZ1570" s="3"/>
    </row>
    <row r="1571" spans="1:260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IY1571" s="3"/>
      <c r="IZ1571" s="3"/>
    </row>
    <row r="1572" spans="1:260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IY1572" s="3"/>
      <c r="IZ1572" s="3"/>
    </row>
    <row r="1573" spans="1:260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IY1573" s="3"/>
      <c r="IZ1573" s="3"/>
    </row>
    <row r="1574" spans="1:260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IY1574" s="3"/>
      <c r="IZ1574" s="3"/>
    </row>
    <row r="1575" spans="1:260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IY1575" s="3"/>
      <c r="IZ1575" s="3"/>
    </row>
    <row r="1576" spans="1:260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IY1576" s="3"/>
      <c r="IZ1576" s="3"/>
    </row>
    <row r="1577" spans="1:260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IY1577" s="3"/>
      <c r="IZ1577" s="3"/>
    </row>
    <row r="1578" spans="1:260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IY1578" s="3"/>
      <c r="IZ1578" s="3"/>
    </row>
    <row r="1579" spans="1:260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IY1579" s="3"/>
      <c r="IZ1579" s="3"/>
    </row>
    <row r="1580" spans="1:260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IY1580" s="3"/>
      <c r="IZ1580" s="3"/>
    </row>
    <row r="1581" spans="1:260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IY1581" s="3"/>
      <c r="IZ1581" s="3"/>
    </row>
    <row r="1582" spans="1:260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IY1582" s="3"/>
      <c r="IZ1582" s="3"/>
    </row>
    <row r="1583" spans="1:260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IY1583" s="3"/>
      <c r="IZ1583" s="3"/>
    </row>
    <row r="1584" spans="1:260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IY1584" s="3"/>
      <c r="IZ1584" s="3"/>
    </row>
    <row r="1585" spans="1:260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IY1585" s="3"/>
      <c r="IZ1585" s="3"/>
    </row>
    <row r="1586" spans="1:260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IY1586" s="3"/>
      <c r="IZ1586" s="3"/>
    </row>
    <row r="1587" spans="1:260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IY1587" s="3"/>
      <c r="IZ1587" s="3"/>
    </row>
    <row r="1588" spans="1:260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IY1588" s="3"/>
      <c r="IZ1588" s="3"/>
    </row>
    <row r="1589" spans="1:260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IY1589" s="3"/>
      <c r="IZ1589" s="3"/>
    </row>
    <row r="1590" spans="1:260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IY1590" s="3"/>
      <c r="IZ1590" s="3"/>
    </row>
    <row r="1591" spans="1:260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IY1591" s="3"/>
      <c r="IZ1591" s="3"/>
    </row>
    <row r="1592" spans="1:260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IY1592" s="3"/>
      <c r="IZ1592" s="3"/>
    </row>
    <row r="1593" spans="1:260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IY1593" s="3"/>
      <c r="IZ1593" s="3"/>
    </row>
    <row r="1594" spans="1:260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IY1594" s="3"/>
      <c r="IZ1594" s="3"/>
    </row>
    <row r="1595" spans="1:260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IY1595" s="3"/>
      <c r="IZ1595" s="3"/>
    </row>
    <row r="1596" spans="1:260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IY1596" s="3"/>
      <c r="IZ1596" s="3"/>
    </row>
    <row r="1597" spans="1:260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IY1597" s="3"/>
      <c r="IZ1597" s="3"/>
    </row>
    <row r="1598" spans="1:260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IY1598" s="3"/>
      <c r="IZ1598" s="3"/>
    </row>
    <row r="1599" spans="1:260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IY1599" s="3"/>
      <c r="IZ1599" s="3"/>
    </row>
    <row r="1600" spans="1:260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IY1600" s="3"/>
      <c r="IZ1600" s="3"/>
    </row>
    <row r="1601" spans="1:260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IY1601" s="3"/>
      <c r="IZ1601" s="3"/>
    </row>
    <row r="1602" spans="1:260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IY1602" s="3"/>
      <c r="IZ1602" s="3"/>
    </row>
    <row r="1603" spans="1:260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IY1603" s="3"/>
      <c r="IZ1603" s="3"/>
    </row>
    <row r="1604" spans="1:260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IY1604" s="3"/>
      <c r="IZ1604" s="3"/>
    </row>
    <row r="1605" spans="1:260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IY1605" s="3"/>
      <c r="IZ1605" s="3"/>
    </row>
    <row r="1606" spans="1:260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IY1606" s="3"/>
      <c r="IZ1606" s="3"/>
    </row>
    <row r="1607" spans="1:260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IY1607" s="3"/>
      <c r="IZ1607" s="3"/>
    </row>
    <row r="1608" spans="1:260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IY1608" s="3"/>
      <c r="IZ1608" s="3"/>
    </row>
    <row r="1609" spans="1:260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IY1609" s="3"/>
      <c r="IZ1609" s="3"/>
    </row>
    <row r="1610" spans="1:260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IY1610" s="3"/>
      <c r="IZ1610" s="3"/>
    </row>
    <row r="1611" spans="1:260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IY1611" s="3"/>
      <c r="IZ1611" s="3"/>
    </row>
    <row r="1612" spans="1:260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IY1612" s="3"/>
      <c r="IZ1612" s="3"/>
    </row>
    <row r="1613" spans="1:260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IY1613" s="3"/>
      <c r="IZ1613" s="3"/>
    </row>
    <row r="1614" spans="1:260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IY1614" s="3"/>
      <c r="IZ1614" s="3"/>
    </row>
    <row r="1615" spans="1:260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IY1615" s="3"/>
      <c r="IZ1615" s="3"/>
    </row>
    <row r="1616" spans="1:260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IY1616" s="3"/>
      <c r="IZ1616" s="3"/>
    </row>
    <row r="1617" spans="1:260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IY1617" s="3"/>
      <c r="IZ1617" s="3"/>
    </row>
    <row r="1618" spans="1:260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IY1618" s="3"/>
      <c r="IZ1618" s="3"/>
    </row>
    <row r="1619" spans="1:260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IY1619" s="3"/>
      <c r="IZ1619" s="3"/>
    </row>
    <row r="1620" spans="1:260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IY1620" s="3"/>
      <c r="IZ1620" s="3"/>
    </row>
    <row r="1621" spans="1:260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IY1621" s="3"/>
      <c r="IZ1621" s="3"/>
    </row>
    <row r="1622" spans="1:260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IY1622" s="3"/>
      <c r="IZ1622" s="3"/>
    </row>
    <row r="1623" spans="1:260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IY1623" s="3"/>
      <c r="IZ1623" s="3"/>
    </row>
    <row r="1624" spans="1:260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IY1624" s="3"/>
      <c r="IZ1624" s="3"/>
    </row>
    <row r="1625" spans="1:260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IY1625" s="3"/>
      <c r="IZ1625" s="3"/>
    </row>
    <row r="1626" spans="1:260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IY1626" s="3"/>
      <c r="IZ1626" s="3"/>
    </row>
    <row r="1627" spans="1:260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IY1627" s="3"/>
      <c r="IZ1627" s="3"/>
    </row>
    <row r="1628" spans="1:260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IY1628" s="3"/>
      <c r="IZ1628" s="3"/>
    </row>
    <row r="1629" spans="1:260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IY1629" s="3"/>
      <c r="IZ1629" s="3"/>
    </row>
    <row r="1630" spans="1:260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IY1630" s="3"/>
      <c r="IZ1630" s="3"/>
    </row>
    <row r="1631" spans="1:260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IY1631" s="3"/>
      <c r="IZ1631" s="3"/>
    </row>
    <row r="1632" spans="1:260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IY1632" s="3"/>
      <c r="IZ1632" s="3"/>
    </row>
    <row r="1633" spans="1:260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IY1633" s="3"/>
      <c r="IZ1633" s="3"/>
    </row>
    <row r="1634" spans="1:260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IY1634" s="3"/>
      <c r="IZ1634" s="3"/>
    </row>
    <row r="1635" spans="1:260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IY1635" s="3"/>
      <c r="IZ1635" s="3"/>
    </row>
    <row r="1636" spans="1:260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IY1636" s="3"/>
      <c r="IZ1636" s="3"/>
    </row>
    <row r="1637" spans="1:260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IY1637" s="3"/>
      <c r="IZ1637" s="3"/>
    </row>
    <row r="1638" spans="1:260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IY1638" s="3"/>
      <c r="IZ1638" s="3"/>
    </row>
    <row r="1639" spans="1:260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IY1639" s="3"/>
      <c r="IZ1639" s="3"/>
    </row>
    <row r="1640" spans="1:260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IY1640" s="3"/>
      <c r="IZ1640" s="3"/>
    </row>
    <row r="1641" spans="1:260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IY1641" s="3"/>
      <c r="IZ1641" s="3"/>
    </row>
    <row r="1642" spans="1:260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IY1642" s="3"/>
      <c r="IZ1642" s="3"/>
    </row>
    <row r="1643" spans="1:260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IY1643" s="3"/>
      <c r="IZ1643" s="3"/>
    </row>
    <row r="1644" spans="1:260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IY1644" s="3"/>
      <c r="IZ1644" s="3"/>
    </row>
    <row r="1645" spans="1:260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IY1645" s="3"/>
      <c r="IZ1645" s="3"/>
    </row>
    <row r="1646" spans="1:260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IY1646" s="3"/>
      <c r="IZ1646" s="3"/>
    </row>
    <row r="1647" spans="1:260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IY1647" s="3"/>
      <c r="IZ1647" s="3"/>
    </row>
    <row r="1648" spans="1:260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IY1648" s="3"/>
      <c r="IZ1648" s="3"/>
    </row>
    <row r="1649" spans="1:260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IY1649" s="3"/>
      <c r="IZ1649" s="3"/>
    </row>
    <row r="1650" spans="1:260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IY1650" s="3"/>
      <c r="IZ1650" s="3"/>
    </row>
    <row r="1651" spans="1:260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IY1651" s="3"/>
      <c r="IZ1651" s="3"/>
    </row>
    <row r="1652" spans="1:260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IY1652" s="3"/>
      <c r="IZ1652" s="3"/>
    </row>
    <row r="1653" spans="1:260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IY1653" s="3"/>
      <c r="IZ1653" s="3"/>
    </row>
    <row r="1654" spans="1:260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IY1654" s="3"/>
      <c r="IZ1654" s="3"/>
    </row>
    <row r="1655" spans="1:260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IY1655" s="3"/>
      <c r="IZ1655" s="3"/>
    </row>
    <row r="1656" spans="1:260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IY1656" s="3"/>
      <c r="IZ1656" s="3"/>
    </row>
    <row r="1657" spans="1:260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IY1657" s="3"/>
      <c r="IZ1657" s="3"/>
    </row>
    <row r="1658" spans="1:260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IY1658" s="3"/>
      <c r="IZ1658" s="3"/>
    </row>
    <row r="1659" spans="1:260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IY1659" s="3"/>
      <c r="IZ1659" s="3"/>
    </row>
    <row r="1660" spans="1:260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IY1660" s="3"/>
      <c r="IZ1660" s="3"/>
    </row>
    <row r="1661" spans="1:260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IY1661" s="3"/>
      <c r="IZ1661" s="3"/>
    </row>
    <row r="1662" spans="1:260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IY1662" s="3"/>
      <c r="IZ1662" s="3"/>
    </row>
    <row r="1663" spans="1:260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IY1663" s="3"/>
      <c r="IZ1663" s="3"/>
    </row>
    <row r="1664" spans="1:260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IY1664" s="3"/>
      <c r="IZ1664" s="3"/>
    </row>
    <row r="1665" spans="1:260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IY1665" s="3"/>
      <c r="IZ1665" s="3"/>
    </row>
    <row r="1666" spans="1:260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IY1666" s="3"/>
      <c r="IZ1666" s="3"/>
    </row>
    <row r="1667" spans="1:260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IY1667" s="3"/>
      <c r="IZ1667" s="3"/>
    </row>
    <row r="1668" spans="1:260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IY1668" s="3"/>
      <c r="IZ1668" s="3"/>
    </row>
    <row r="1669" spans="1:260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IY1669" s="3"/>
      <c r="IZ1669" s="3"/>
    </row>
    <row r="1670" spans="1:260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IY1670" s="3"/>
      <c r="IZ1670" s="3"/>
    </row>
    <row r="1671" spans="1:260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IY1671" s="3"/>
      <c r="IZ1671" s="3"/>
    </row>
    <row r="1672" spans="1:260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IY1672" s="3"/>
      <c r="IZ1672" s="3"/>
    </row>
    <row r="1673" spans="1:260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IY1673" s="3"/>
      <c r="IZ1673" s="3"/>
    </row>
    <row r="1674" spans="1:260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IY1674" s="3"/>
      <c r="IZ1674" s="3"/>
    </row>
    <row r="1675" spans="1:260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IY1675" s="3"/>
      <c r="IZ1675" s="3"/>
    </row>
    <row r="1676" spans="1:260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IY1676" s="3"/>
      <c r="IZ1676" s="3"/>
    </row>
    <row r="1677" spans="1:260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IY1677" s="3"/>
      <c r="IZ1677" s="3"/>
    </row>
    <row r="1678" spans="1:260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IY1678" s="3"/>
      <c r="IZ1678" s="3"/>
    </row>
    <row r="1679" spans="1:260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IY1679" s="3"/>
      <c r="IZ1679" s="3"/>
    </row>
    <row r="1680" spans="1:260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IY1680" s="3"/>
      <c r="IZ1680" s="3"/>
    </row>
    <row r="1681" spans="1:260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IY1681" s="3"/>
      <c r="IZ1681" s="3"/>
    </row>
    <row r="1682" spans="1:260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IY1682" s="3"/>
      <c r="IZ1682" s="3"/>
    </row>
    <row r="1683" spans="1:260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IY1683" s="3"/>
      <c r="IZ1683" s="3"/>
    </row>
    <row r="1684" spans="1:260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IY1684" s="3"/>
      <c r="IZ1684" s="3"/>
    </row>
    <row r="1685" spans="1:260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IY1685" s="3"/>
      <c r="IZ1685" s="3"/>
    </row>
    <row r="1686" spans="1:260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IY1686" s="3"/>
      <c r="IZ1686" s="3"/>
    </row>
    <row r="1687" spans="1:260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IY1687" s="3"/>
      <c r="IZ1687" s="3"/>
    </row>
    <row r="1688" spans="1:260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IY1688" s="3"/>
      <c r="IZ1688" s="3"/>
    </row>
    <row r="1689" spans="1:260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IY1689" s="3"/>
      <c r="IZ1689" s="3"/>
    </row>
    <row r="1690" spans="1:260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IY1690" s="3"/>
      <c r="IZ1690" s="3"/>
    </row>
    <row r="1691" spans="1:260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IY1691" s="3"/>
      <c r="IZ1691" s="3"/>
    </row>
    <row r="1692" spans="1:260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IY1692" s="3"/>
      <c r="IZ1692" s="3"/>
    </row>
    <row r="1693" spans="1:260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IY1693" s="3"/>
      <c r="IZ1693" s="3"/>
    </row>
    <row r="1694" spans="1:260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IY1694" s="3"/>
      <c r="IZ1694" s="3"/>
    </row>
    <row r="1695" spans="1:260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IY1695" s="3"/>
      <c r="IZ1695" s="3"/>
    </row>
    <row r="1696" spans="1:260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IY1696" s="3"/>
      <c r="IZ1696" s="3"/>
    </row>
    <row r="1697" spans="1:260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IY1697" s="3"/>
      <c r="IZ1697" s="3"/>
    </row>
    <row r="1698" spans="1:260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IY1698" s="3"/>
      <c r="IZ1698" s="3"/>
    </row>
    <row r="1699" spans="1:260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IY1699" s="3"/>
      <c r="IZ1699" s="3"/>
    </row>
    <row r="1700" spans="1:260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IY1700" s="3"/>
      <c r="IZ1700" s="3"/>
    </row>
    <row r="1701" spans="1:260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IY1701" s="3"/>
      <c r="IZ1701" s="3"/>
    </row>
    <row r="1702" spans="1:260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IY1702" s="3"/>
      <c r="IZ1702" s="3"/>
    </row>
    <row r="1703" spans="1:260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IY1703" s="3"/>
      <c r="IZ1703" s="3"/>
    </row>
    <row r="1704" spans="1:260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IY1704" s="3"/>
      <c r="IZ1704" s="3"/>
    </row>
    <row r="1705" spans="1:260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IY1705" s="3"/>
      <c r="IZ1705" s="3"/>
    </row>
    <row r="1706" spans="1:260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IY1706" s="3"/>
      <c r="IZ1706" s="3"/>
    </row>
    <row r="1707" spans="1:260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IY1707" s="3"/>
      <c r="IZ1707" s="3"/>
    </row>
    <row r="1708" spans="1:260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IY1708" s="3"/>
      <c r="IZ1708" s="3"/>
    </row>
    <row r="1709" spans="1:260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IY1709" s="3"/>
      <c r="IZ1709" s="3"/>
    </row>
    <row r="1710" spans="1:260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IY1710" s="3"/>
      <c r="IZ1710" s="3"/>
    </row>
    <row r="1711" spans="1:260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IY1711" s="3"/>
      <c r="IZ1711" s="3"/>
    </row>
    <row r="1712" spans="1:260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IY1712" s="3"/>
      <c r="IZ1712" s="3"/>
    </row>
    <row r="1713" spans="1:260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IY1713" s="3"/>
      <c r="IZ1713" s="3"/>
    </row>
    <row r="1714" spans="1:260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IY1714" s="3"/>
      <c r="IZ1714" s="3"/>
    </row>
    <row r="1715" spans="1:260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IY1715" s="3"/>
      <c r="IZ1715" s="3"/>
    </row>
    <row r="1716" spans="1:260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IY1716" s="3"/>
      <c r="IZ1716" s="3"/>
    </row>
    <row r="1717" spans="1:260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IY1717" s="3"/>
      <c r="IZ1717" s="3"/>
    </row>
    <row r="1718" spans="1:260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IY1718" s="3"/>
      <c r="IZ1718" s="3"/>
    </row>
    <row r="1719" spans="1:260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IY1719" s="3"/>
      <c r="IZ1719" s="3"/>
    </row>
    <row r="1720" spans="1:260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IY1720" s="3"/>
      <c r="IZ1720" s="3"/>
    </row>
    <row r="1721" spans="1:260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IY1721" s="3"/>
      <c r="IZ1721" s="3"/>
    </row>
    <row r="1722" spans="1:260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IY1722" s="3"/>
      <c r="IZ1722" s="3"/>
    </row>
    <row r="1723" spans="1:260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IY1723" s="3"/>
      <c r="IZ1723" s="3"/>
    </row>
    <row r="1724" spans="1:260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IY1724" s="3"/>
      <c r="IZ1724" s="3"/>
    </row>
    <row r="1725" spans="1:260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IY1725" s="3"/>
      <c r="IZ1725" s="3"/>
    </row>
    <row r="1726" spans="1:260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IY1726" s="3"/>
      <c r="IZ1726" s="3"/>
    </row>
    <row r="1727" spans="1:260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IY1727" s="3"/>
      <c r="IZ1727" s="3"/>
    </row>
    <row r="1728" spans="1:260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IY1728" s="3"/>
      <c r="IZ1728" s="3"/>
    </row>
    <row r="1729" spans="1:260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IY1729" s="3"/>
      <c r="IZ1729" s="3"/>
    </row>
    <row r="1730" spans="1:260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IY1730" s="3"/>
      <c r="IZ1730" s="3"/>
    </row>
    <row r="1731" spans="1:260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IY1731" s="3"/>
      <c r="IZ1731" s="3"/>
    </row>
    <row r="1732" spans="1:260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IY1732" s="3"/>
      <c r="IZ1732" s="3"/>
    </row>
    <row r="1733" spans="1:260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IY1733" s="3"/>
      <c r="IZ1733" s="3"/>
    </row>
    <row r="1734" spans="1:260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IY1734" s="3"/>
      <c r="IZ1734" s="3"/>
    </row>
    <row r="1735" spans="1:260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IY1735" s="3"/>
      <c r="IZ1735" s="3"/>
    </row>
    <row r="1736" spans="1:260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IY1736" s="3"/>
      <c r="IZ1736" s="3"/>
    </row>
    <row r="1737" spans="1:260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IY1737" s="3"/>
      <c r="IZ1737" s="3"/>
    </row>
    <row r="1738" spans="1:260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IY1738" s="3"/>
      <c r="IZ1738" s="3"/>
    </row>
    <row r="1739" spans="1:260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IY1739" s="3"/>
      <c r="IZ1739" s="3"/>
    </row>
    <row r="1740" spans="1:260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IY1740" s="3"/>
      <c r="IZ1740" s="3"/>
    </row>
    <row r="1741" spans="1:260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IY1741" s="3"/>
      <c r="IZ1741" s="3"/>
    </row>
    <row r="1742" spans="1:260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IY1742" s="3"/>
      <c r="IZ1742" s="3"/>
    </row>
    <row r="1743" spans="1:260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IY1743" s="3"/>
      <c r="IZ1743" s="3"/>
    </row>
    <row r="1744" spans="1:260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IY1744" s="3"/>
      <c r="IZ1744" s="3"/>
    </row>
    <row r="1745" spans="1:260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IY1745" s="3"/>
      <c r="IZ1745" s="3"/>
    </row>
    <row r="1746" spans="1:260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IY1746" s="3"/>
      <c r="IZ1746" s="3"/>
    </row>
    <row r="1747" spans="1:260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IY1747" s="3"/>
      <c r="IZ1747" s="3"/>
    </row>
    <row r="1748" spans="1:260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IY1748" s="3"/>
      <c r="IZ1748" s="3"/>
    </row>
    <row r="1749" spans="1:260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IY1749" s="3"/>
      <c r="IZ1749" s="3"/>
    </row>
    <row r="1750" spans="1:260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IY1750" s="3"/>
      <c r="IZ1750" s="3"/>
    </row>
    <row r="1751" spans="1:260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IY1751" s="3"/>
      <c r="IZ1751" s="3"/>
    </row>
    <row r="1752" spans="1:260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IY1752" s="3"/>
      <c r="IZ1752" s="3"/>
    </row>
    <row r="1753" spans="1:260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IY1753" s="3"/>
      <c r="IZ1753" s="3"/>
    </row>
    <row r="1754" spans="1:260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IY1754" s="3"/>
      <c r="IZ1754" s="3"/>
    </row>
    <row r="1755" spans="1:260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IY1755" s="3"/>
      <c r="IZ1755" s="3"/>
    </row>
    <row r="1756" spans="1:260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IY1756" s="3"/>
      <c r="IZ1756" s="3"/>
    </row>
    <row r="1757" spans="1:260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IY1757" s="3"/>
      <c r="IZ1757" s="3"/>
    </row>
    <row r="1758" spans="1:260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IY1758" s="3"/>
      <c r="IZ1758" s="3"/>
    </row>
    <row r="1759" spans="1:260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IY1759" s="3"/>
      <c r="IZ1759" s="3"/>
    </row>
    <row r="1760" spans="1:260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IY1760" s="3"/>
      <c r="IZ1760" s="3"/>
    </row>
    <row r="1761" spans="1:260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IY1761" s="3"/>
      <c r="IZ1761" s="3"/>
    </row>
    <row r="1762" spans="1:260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IY1762" s="3"/>
      <c r="IZ1762" s="3"/>
    </row>
    <row r="1763" spans="1:260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IY1763" s="3"/>
      <c r="IZ1763" s="3"/>
    </row>
    <row r="1764" spans="1:260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IY1764" s="3"/>
      <c r="IZ1764" s="3"/>
    </row>
    <row r="1765" spans="1:260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IY1765" s="3"/>
      <c r="IZ1765" s="3"/>
    </row>
    <row r="1766" spans="1:260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IY1766" s="3"/>
      <c r="IZ1766" s="3"/>
    </row>
    <row r="1767" spans="1:260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IY1767" s="3"/>
      <c r="IZ1767" s="3"/>
    </row>
    <row r="1768" spans="1:260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IY1768" s="3"/>
      <c r="IZ1768" s="3"/>
    </row>
    <row r="1769" spans="1:260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IY1769" s="3"/>
      <c r="IZ1769" s="3"/>
    </row>
    <row r="1770" spans="1:260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IY1770" s="3"/>
      <c r="IZ1770" s="3"/>
    </row>
    <row r="1771" spans="1:260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IY1771" s="3"/>
      <c r="IZ1771" s="3"/>
    </row>
    <row r="1772" spans="1:260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IY1772" s="3"/>
      <c r="IZ1772" s="3"/>
    </row>
    <row r="1773" spans="1:260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IY1773" s="3"/>
      <c r="IZ1773" s="3"/>
    </row>
    <row r="1774" spans="1:260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IY1774" s="3"/>
      <c r="IZ1774" s="3"/>
    </row>
    <row r="1775" spans="1:260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IY1775" s="3"/>
      <c r="IZ1775" s="3"/>
    </row>
    <row r="1776" spans="1:260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IY1776" s="3"/>
      <c r="IZ1776" s="3"/>
    </row>
    <row r="1777" spans="1:260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IY1777" s="3"/>
      <c r="IZ1777" s="3"/>
    </row>
    <row r="1778" spans="1:260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IY1778" s="3"/>
      <c r="IZ1778" s="3"/>
    </row>
    <row r="1779" spans="1:260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IY1779" s="3"/>
      <c r="IZ1779" s="3"/>
    </row>
    <row r="1780" spans="1:260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IY1780" s="3"/>
      <c r="IZ1780" s="3"/>
    </row>
    <row r="1781" spans="1:260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IY1781" s="3"/>
      <c r="IZ1781" s="3"/>
    </row>
    <row r="1782" spans="1:260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IY1782" s="3"/>
      <c r="IZ1782" s="3"/>
    </row>
    <row r="1783" spans="1:260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IY1783" s="3"/>
      <c r="IZ1783" s="3"/>
    </row>
    <row r="1784" spans="1:260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IY1784" s="3"/>
      <c r="IZ1784" s="3"/>
    </row>
    <row r="1785" spans="1:260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IY1785" s="3"/>
      <c r="IZ1785" s="3"/>
    </row>
    <row r="1786" spans="1:260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IY1786" s="3"/>
      <c r="IZ1786" s="3"/>
    </row>
    <row r="1787" spans="1:260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IY1787" s="3"/>
      <c r="IZ1787" s="3"/>
    </row>
    <row r="1788" spans="1:260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IY1788" s="3"/>
      <c r="IZ1788" s="3"/>
    </row>
    <row r="1789" spans="1:260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IY1789" s="3"/>
      <c r="IZ1789" s="3"/>
    </row>
    <row r="1790" spans="1:260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IY1790" s="3"/>
      <c r="IZ1790" s="3"/>
    </row>
    <row r="1791" spans="1:260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IY1791" s="3"/>
      <c r="IZ1791" s="3"/>
    </row>
    <row r="1792" spans="1:260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IY1792" s="3"/>
      <c r="IZ1792" s="3"/>
    </row>
    <row r="1793" spans="1:260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IY1793" s="3"/>
      <c r="IZ1793" s="3"/>
    </row>
    <row r="1794" spans="1:260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IY1794" s="3"/>
      <c r="IZ1794" s="3"/>
    </row>
    <row r="1795" spans="1:260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IY1795" s="3"/>
      <c r="IZ1795" s="3"/>
    </row>
    <row r="1796" spans="1:260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IY1796" s="3"/>
      <c r="IZ1796" s="3"/>
    </row>
    <row r="1797" spans="1:260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IY1797" s="3"/>
      <c r="IZ1797" s="3"/>
    </row>
    <row r="1798" spans="1:260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IY1798" s="3"/>
      <c r="IZ1798" s="3"/>
    </row>
    <row r="1799" spans="1:260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IY1799" s="3"/>
      <c r="IZ1799" s="3"/>
    </row>
    <row r="1800" spans="1:260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IY1800" s="3"/>
      <c r="IZ1800" s="3"/>
    </row>
    <row r="1801" spans="1:260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IY1801" s="3"/>
      <c r="IZ1801" s="3"/>
    </row>
    <row r="1802" spans="1:260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IY1802" s="3"/>
      <c r="IZ1802" s="3"/>
    </row>
    <row r="1803" spans="1:260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IY1803" s="3"/>
      <c r="IZ1803" s="3"/>
    </row>
    <row r="1804" spans="1:260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IY1804" s="3"/>
      <c r="IZ1804" s="3"/>
    </row>
    <row r="1805" spans="1:260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IY1805" s="3"/>
      <c r="IZ1805" s="3"/>
    </row>
    <row r="1806" spans="1:260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IY1806" s="3"/>
      <c r="IZ1806" s="3"/>
    </row>
    <row r="1807" spans="1:260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IY1807" s="3"/>
      <c r="IZ1807" s="3"/>
    </row>
    <row r="1808" spans="1:260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IY1808" s="3"/>
      <c r="IZ1808" s="3"/>
    </row>
    <row r="1809" spans="1:260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IY1809" s="3"/>
      <c r="IZ1809" s="3"/>
    </row>
    <row r="1810" spans="1:260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IY1810" s="3"/>
      <c r="IZ1810" s="3"/>
    </row>
    <row r="1811" spans="1:260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IY1811" s="3"/>
      <c r="IZ1811" s="3"/>
    </row>
    <row r="1812" spans="1:260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IY1812" s="3"/>
      <c r="IZ1812" s="3"/>
    </row>
    <row r="1813" spans="1:260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IY1813" s="3"/>
      <c r="IZ1813" s="3"/>
    </row>
    <row r="1814" spans="1:260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IY1814" s="3"/>
      <c r="IZ1814" s="3"/>
    </row>
    <row r="1815" spans="1:260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IY1815" s="3"/>
      <c r="IZ1815" s="3"/>
    </row>
    <row r="1816" spans="1:260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IY1816" s="3"/>
      <c r="IZ1816" s="3"/>
    </row>
    <row r="1817" spans="1:260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IY1817" s="3"/>
      <c r="IZ1817" s="3"/>
    </row>
    <row r="1818" spans="1:260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IY1818" s="3"/>
      <c r="IZ1818" s="3"/>
    </row>
    <row r="1819" spans="1:260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IY1819" s="3"/>
      <c r="IZ1819" s="3"/>
    </row>
    <row r="1820" spans="1:260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IY1820" s="3"/>
      <c r="IZ1820" s="3"/>
    </row>
    <row r="1821" spans="1:260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IY1821" s="3"/>
      <c r="IZ1821" s="3"/>
    </row>
    <row r="1822" spans="1:260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IY1822" s="3"/>
      <c r="IZ1822" s="3"/>
    </row>
    <row r="1823" spans="1:260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IY1823" s="3"/>
      <c r="IZ1823" s="3"/>
    </row>
    <row r="1824" spans="1:260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IY1824" s="3"/>
      <c r="IZ1824" s="3"/>
    </row>
    <row r="1825" spans="1:260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IY1825" s="3"/>
      <c r="IZ1825" s="3"/>
    </row>
    <row r="1826" spans="1:260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IY1826" s="3"/>
      <c r="IZ1826" s="3"/>
    </row>
    <row r="1827" spans="1:260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IY1827" s="3"/>
      <c r="IZ1827" s="3"/>
    </row>
    <row r="1828" spans="1:260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IY1828" s="3"/>
      <c r="IZ1828" s="3"/>
    </row>
    <row r="1829" spans="1:260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IY1829" s="3"/>
      <c r="IZ1829" s="3"/>
    </row>
    <row r="1830" spans="1:260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IY1830" s="3"/>
      <c r="IZ1830" s="3"/>
    </row>
    <row r="1831" spans="1:260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IY1831" s="3"/>
      <c r="IZ1831" s="3"/>
    </row>
    <row r="1832" spans="1:260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IY1832" s="3"/>
      <c r="IZ1832" s="3"/>
    </row>
    <row r="1833" spans="1:260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IY1833" s="3"/>
      <c r="IZ1833" s="3"/>
    </row>
    <row r="1834" spans="1:260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IY1834" s="3"/>
      <c r="IZ1834" s="3"/>
    </row>
    <row r="1835" spans="1:260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IY1835" s="3"/>
      <c r="IZ1835" s="3"/>
    </row>
    <row r="1836" spans="1:260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IY1836" s="3"/>
      <c r="IZ1836" s="3"/>
    </row>
    <row r="1837" spans="1:260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IY1837" s="3"/>
      <c r="IZ1837" s="3"/>
    </row>
    <row r="1838" spans="1:260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IY1838" s="3"/>
      <c r="IZ1838" s="3"/>
    </row>
    <row r="1839" spans="1:260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IY1839" s="3"/>
      <c r="IZ1839" s="3"/>
    </row>
    <row r="1840" spans="1:260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IY1840" s="3"/>
      <c r="IZ1840" s="3"/>
    </row>
    <row r="1841" spans="1:260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IY1841" s="3"/>
      <c r="IZ1841" s="3"/>
    </row>
    <row r="1842" spans="1:260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IY1842" s="3"/>
      <c r="IZ1842" s="3"/>
    </row>
    <row r="1843" spans="1:260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IY1843" s="3"/>
      <c r="IZ1843" s="3"/>
    </row>
    <row r="1844" spans="1:260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IY1844" s="3"/>
      <c r="IZ1844" s="3"/>
    </row>
    <row r="1845" spans="1:260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IY1845" s="3"/>
      <c r="IZ1845" s="3"/>
    </row>
    <row r="1846" spans="1:260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IY1846" s="3"/>
      <c r="IZ1846" s="3"/>
    </row>
    <row r="1847" spans="1:260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IY1847" s="3"/>
      <c r="IZ1847" s="3"/>
    </row>
    <row r="1848" spans="1:260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IY1848" s="3"/>
      <c r="IZ1848" s="3"/>
    </row>
    <row r="1849" spans="1:260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IY1849" s="3"/>
      <c r="IZ1849" s="3"/>
    </row>
    <row r="1850" spans="1:260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IY1850" s="3"/>
      <c r="IZ1850" s="3"/>
    </row>
    <row r="1851" spans="1:260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IY1851" s="3"/>
      <c r="IZ1851" s="3"/>
    </row>
    <row r="1852" spans="1:260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IY1852" s="3"/>
      <c r="IZ1852" s="3"/>
    </row>
    <row r="1853" spans="1:260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IY1853" s="3"/>
      <c r="IZ1853" s="3"/>
    </row>
    <row r="1854" spans="1:260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IY1854" s="3"/>
      <c r="IZ1854" s="3"/>
    </row>
    <row r="1855" spans="1:260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IY1855" s="3"/>
      <c r="IZ1855" s="3"/>
    </row>
    <row r="1856" spans="1:260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IY1856" s="3"/>
      <c r="IZ1856" s="3"/>
    </row>
    <row r="1857" spans="1:260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IY1857" s="3"/>
      <c r="IZ1857" s="3"/>
    </row>
    <row r="1858" spans="1:260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IY1858" s="3"/>
      <c r="IZ1858" s="3"/>
    </row>
    <row r="1859" spans="1:260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IY1859" s="3"/>
      <c r="IZ1859" s="3"/>
    </row>
    <row r="1860" spans="1:260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IY1860" s="3"/>
      <c r="IZ1860" s="3"/>
    </row>
    <row r="1861" spans="1:260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IY1861" s="3"/>
      <c r="IZ1861" s="3"/>
    </row>
    <row r="1862" spans="1:260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IY1862" s="3"/>
      <c r="IZ1862" s="3"/>
    </row>
    <row r="1863" spans="1:260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IY1863" s="3"/>
      <c r="IZ1863" s="3"/>
    </row>
    <row r="1864" spans="1:260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IY1864" s="3"/>
      <c r="IZ1864" s="3"/>
    </row>
    <row r="1865" spans="1:260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IY1865" s="3"/>
      <c r="IZ1865" s="3"/>
    </row>
    <row r="1866" spans="1:260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IY1866" s="3"/>
      <c r="IZ1866" s="3"/>
    </row>
    <row r="1867" spans="1:260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IY1867" s="3"/>
      <c r="IZ1867" s="3"/>
    </row>
    <row r="1868" spans="1:260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IY1868" s="3"/>
      <c r="IZ1868" s="3"/>
    </row>
    <row r="1869" spans="1:260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IY1869" s="3"/>
      <c r="IZ1869" s="3"/>
    </row>
    <row r="1870" spans="1:260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IY1870" s="3"/>
      <c r="IZ1870" s="3"/>
    </row>
    <row r="1871" spans="1:260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IY1871" s="3"/>
      <c r="IZ1871" s="3"/>
    </row>
    <row r="1872" spans="1:260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IY1872" s="3"/>
      <c r="IZ1872" s="3"/>
    </row>
    <row r="1873" spans="1:260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IY1873" s="3"/>
      <c r="IZ1873" s="3"/>
    </row>
    <row r="1874" spans="1:260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IY1874" s="3"/>
      <c r="IZ1874" s="3"/>
    </row>
    <row r="1875" spans="1:260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IY1875" s="3"/>
      <c r="IZ1875" s="3"/>
    </row>
    <row r="1876" spans="1:260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IY1876" s="3"/>
      <c r="IZ1876" s="3"/>
    </row>
    <row r="1877" spans="1:260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IY1877" s="3"/>
      <c r="IZ1877" s="3"/>
    </row>
    <row r="1878" spans="1:260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IY1878" s="3"/>
      <c r="IZ1878" s="3"/>
    </row>
    <row r="1879" spans="1:260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IY1879" s="3"/>
      <c r="IZ1879" s="3"/>
    </row>
    <row r="1880" spans="1:260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IY1880" s="3"/>
      <c r="IZ1880" s="3"/>
    </row>
    <row r="1881" spans="1:260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IY1881" s="3"/>
      <c r="IZ1881" s="3"/>
    </row>
    <row r="1882" spans="1:260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IY1882" s="3"/>
      <c r="IZ1882" s="3"/>
    </row>
    <row r="1883" spans="1:260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IY1883" s="3"/>
      <c r="IZ1883" s="3"/>
    </row>
    <row r="1884" spans="1:260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IY1884" s="3"/>
      <c r="IZ1884" s="3"/>
    </row>
    <row r="1885" spans="1:260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IY1885" s="3"/>
      <c r="IZ1885" s="3"/>
    </row>
    <row r="1886" spans="1:260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IY1886" s="3"/>
      <c r="IZ1886" s="3"/>
    </row>
    <row r="1887" spans="1:260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IY1887" s="3"/>
      <c r="IZ1887" s="3"/>
    </row>
    <row r="1888" spans="1:260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IY1888" s="3"/>
      <c r="IZ1888" s="3"/>
    </row>
    <row r="1889" spans="1:260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IY1889" s="3"/>
      <c r="IZ1889" s="3"/>
    </row>
    <row r="1890" spans="1:260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IY1890" s="3"/>
      <c r="IZ1890" s="3"/>
    </row>
    <row r="1891" spans="1:260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IY1891" s="3"/>
      <c r="IZ1891" s="3"/>
    </row>
    <row r="1892" spans="1:260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IY1892" s="3"/>
      <c r="IZ1892" s="3"/>
    </row>
    <row r="1893" spans="1:260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IY1893" s="3"/>
      <c r="IZ1893" s="3"/>
    </row>
    <row r="1894" spans="1:260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IY1894" s="3"/>
      <c r="IZ1894" s="3"/>
    </row>
    <row r="1895" spans="1:260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IY1895" s="3"/>
      <c r="IZ1895" s="3"/>
    </row>
    <row r="1896" spans="1:260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IY1896" s="3"/>
      <c r="IZ1896" s="3"/>
    </row>
    <row r="1897" spans="1:260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IY1897" s="3"/>
      <c r="IZ1897" s="3"/>
    </row>
    <row r="1898" spans="1:260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IY1898" s="3"/>
      <c r="IZ1898" s="3"/>
    </row>
    <row r="1899" spans="1:260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IY1899" s="3"/>
      <c r="IZ1899" s="3"/>
    </row>
    <row r="1900" spans="1:260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IY1900" s="3"/>
      <c r="IZ1900" s="3"/>
    </row>
    <row r="1901" spans="1:260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IY1901" s="3"/>
      <c r="IZ1901" s="3"/>
    </row>
    <row r="1902" spans="1:260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IY1902" s="3"/>
      <c r="IZ1902" s="3"/>
    </row>
    <row r="1903" spans="1:260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IY1903" s="3"/>
      <c r="IZ1903" s="3"/>
    </row>
    <row r="1904" spans="1:260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IY1904" s="3"/>
      <c r="IZ1904" s="3"/>
    </row>
    <row r="1905" spans="1:260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IY1905" s="3"/>
      <c r="IZ1905" s="3"/>
    </row>
    <row r="1906" spans="1:260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IY1906" s="3"/>
      <c r="IZ1906" s="3"/>
    </row>
    <row r="1907" spans="1:260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IY1907" s="3"/>
      <c r="IZ1907" s="3"/>
    </row>
    <row r="1908" spans="1:260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IY1908" s="3"/>
      <c r="IZ1908" s="3"/>
    </row>
    <row r="1909" spans="1:260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IY1909" s="3"/>
      <c r="IZ1909" s="3"/>
    </row>
    <row r="1910" spans="1:260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IY1910" s="3"/>
      <c r="IZ1910" s="3"/>
    </row>
    <row r="1911" spans="1:260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IY1911" s="3"/>
      <c r="IZ1911" s="3"/>
    </row>
    <row r="1912" spans="1:260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IY1912" s="3"/>
      <c r="IZ1912" s="3"/>
    </row>
    <row r="1913" spans="1:260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IY1913" s="3"/>
      <c r="IZ1913" s="3"/>
    </row>
    <row r="1914" spans="1:260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IY1914" s="3"/>
      <c r="IZ1914" s="3"/>
    </row>
    <row r="1915" spans="1:260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IY1915" s="3"/>
      <c r="IZ1915" s="3"/>
    </row>
    <row r="1916" spans="1:260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IY1916" s="3"/>
      <c r="IZ1916" s="3"/>
    </row>
    <row r="1917" spans="1:260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IY1917" s="3"/>
      <c r="IZ1917" s="3"/>
    </row>
    <row r="1918" spans="1:260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IY1918" s="3"/>
      <c r="IZ1918" s="3"/>
    </row>
    <row r="1919" spans="1:260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IY1919" s="3"/>
      <c r="IZ1919" s="3"/>
    </row>
    <row r="1920" spans="1:260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IY1920" s="3"/>
      <c r="IZ1920" s="3"/>
    </row>
    <row r="1921" spans="1:260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IY1921" s="3"/>
      <c r="IZ1921" s="3"/>
    </row>
    <row r="1922" spans="1:260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IY1922" s="3"/>
      <c r="IZ1922" s="3"/>
    </row>
    <row r="1923" spans="1:260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IY1923" s="3"/>
      <c r="IZ1923" s="3"/>
    </row>
    <row r="1924" spans="1:260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IY1924" s="3"/>
      <c r="IZ1924" s="3"/>
    </row>
    <row r="1925" spans="1:260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IY1925" s="3"/>
      <c r="IZ1925" s="3"/>
    </row>
    <row r="1926" spans="1:260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IY1926" s="3"/>
      <c r="IZ1926" s="3"/>
    </row>
    <row r="1927" spans="1:260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IY1927" s="3"/>
      <c r="IZ1927" s="3"/>
    </row>
    <row r="1928" spans="1:260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IY1928" s="3"/>
      <c r="IZ1928" s="3"/>
    </row>
    <row r="1929" spans="1:260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IY1929" s="3"/>
      <c r="IZ1929" s="3"/>
    </row>
    <row r="1930" spans="1:260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IY1930" s="3"/>
      <c r="IZ1930" s="3"/>
    </row>
    <row r="1931" spans="1:260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IY1931" s="3"/>
      <c r="IZ1931" s="3"/>
    </row>
    <row r="1932" spans="1:260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IY1932" s="3"/>
      <c r="IZ1932" s="3"/>
    </row>
    <row r="1933" spans="1:260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IY1933" s="3"/>
      <c r="IZ1933" s="3"/>
    </row>
    <row r="1934" spans="1:260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IY1934" s="3"/>
      <c r="IZ1934" s="3"/>
    </row>
    <row r="1935" spans="1:260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IY1935" s="3"/>
      <c r="IZ1935" s="3"/>
    </row>
    <row r="1936" spans="1:260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IY1936" s="3"/>
      <c r="IZ1936" s="3"/>
    </row>
    <row r="1937" spans="1:260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IY1937" s="3"/>
      <c r="IZ1937" s="3"/>
    </row>
    <row r="1938" spans="1:260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IY1938" s="3"/>
      <c r="IZ1938" s="3"/>
    </row>
    <row r="1939" spans="1:260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IY1939" s="3"/>
      <c r="IZ1939" s="3"/>
    </row>
    <row r="1940" spans="1:260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IY1940" s="3"/>
      <c r="IZ1940" s="3"/>
    </row>
    <row r="1941" spans="1:260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IY1941" s="3"/>
      <c r="IZ1941" s="3"/>
    </row>
    <row r="1942" spans="1:260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IY1942" s="3"/>
      <c r="IZ1942" s="3"/>
    </row>
    <row r="1943" spans="1:260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IY1943" s="3"/>
      <c r="IZ1943" s="3"/>
    </row>
    <row r="1944" spans="1:260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IY1944" s="3"/>
      <c r="IZ1944" s="3"/>
    </row>
    <row r="1945" spans="1:260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IY1945" s="3"/>
      <c r="IZ1945" s="3"/>
    </row>
    <row r="1946" spans="1:260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IY1946" s="3"/>
      <c r="IZ1946" s="3"/>
    </row>
    <row r="1947" spans="1:260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IY1947" s="3"/>
      <c r="IZ1947" s="3"/>
    </row>
    <row r="1948" spans="1:260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IY1948" s="3"/>
      <c r="IZ1948" s="3"/>
    </row>
    <row r="1949" spans="1:260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IY1949" s="3"/>
      <c r="IZ1949" s="3"/>
    </row>
    <row r="1950" spans="1:260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IY1950" s="3"/>
      <c r="IZ1950" s="3"/>
    </row>
    <row r="1951" spans="1:260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IY1951" s="3"/>
      <c r="IZ1951" s="3"/>
    </row>
    <row r="1952" spans="1:260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IY1952" s="3"/>
      <c r="IZ1952" s="3"/>
    </row>
    <row r="1953" spans="1:260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IY1953" s="3"/>
      <c r="IZ1953" s="3"/>
    </row>
    <row r="1954" spans="1:260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IY1954" s="3"/>
      <c r="IZ1954" s="3"/>
    </row>
    <row r="1955" spans="1:260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IY1955" s="3"/>
      <c r="IZ1955" s="3"/>
    </row>
    <row r="1956" spans="1:260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IY1956" s="3"/>
      <c r="IZ1956" s="3"/>
    </row>
    <row r="1957" spans="1:260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IY1957" s="3"/>
      <c r="IZ1957" s="3"/>
    </row>
    <row r="1958" spans="1:260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IY1958" s="3"/>
      <c r="IZ1958" s="3"/>
    </row>
    <row r="1959" spans="1:260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IY1959" s="3"/>
      <c r="IZ1959" s="3"/>
    </row>
    <row r="1960" spans="1:260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IY1960" s="3"/>
      <c r="IZ1960" s="3"/>
    </row>
    <row r="1961" spans="1:260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IY1961" s="3"/>
      <c r="IZ1961" s="3"/>
    </row>
    <row r="1962" spans="1:260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IY1962" s="3"/>
      <c r="IZ1962" s="3"/>
    </row>
    <row r="1963" spans="1:260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IY1963" s="3"/>
      <c r="IZ1963" s="3"/>
    </row>
    <row r="1964" spans="1:260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IY1964" s="3"/>
      <c r="IZ1964" s="3"/>
    </row>
    <row r="1965" spans="1:260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IY1965" s="3"/>
      <c r="IZ1965" s="3"/>
    </row>
    <row r="1966" spans="1:260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IY1966" s="3"/>
      <c r="IZ1966" s="3"/>
    </row>
    <row r="1967" spans="1:260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IY1967" s="3"/>
      <c r="IZ1967" s="3"/>
    </row>
    <row r="1968" spans="1:260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IY1968" s="3"/>
      <c r="IZ1968" s="3"/>
    </row>
    <row r="1969" spans="1:260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IY1969" s="3"/>
      <c r="IZ1969" s="3"/>
    </row>
    <row r="1970" spans="1:260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IY1970" s="3"/>
      <c r="IZ1970" s="3"/>
    </row>
    <row r="1971" spans="1:260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IY1971" s="3"/>
      <c r="IZ1971" s="3"/>
    </row>
    <row r="1972" spans="1:260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IY1972" s="3"/>
      <c r="IZ1972" s="3"/>
    </row>
    <row r="1973" spans="1:260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IY1973" s="3"/>
      <c r="IZ1973" s="3"/>
    </row>
    <row r="1974" spans="1:260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IY1974" s="3"/>
      <c r="IZ1974" s="3"/>
    </row>
    <row r="1975" spans="1:260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IY1975" s="3"/>
      <c r="IZ1975" s="3"/>
    </row>
    <row r="1976" spans="1:260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IY1976" s="3"/>
      <c r="IZ1976" s="3"/>
    </row>
    <row r="1977" spans="1:260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IY1977" s="3"/>
      <c r="IZ1977" s="3"/>
    </row>
    <row r="1978" spans="1:260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IY1978" s="3"/>
      <c r="IZ1978" s="3"/>
    </row>
    <row r="1979" spans="1:260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IY1979" s="3"/>
      <c r="IZ1979" s="3"/>
    </row>
    <row r="1980" spans="1:260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IY1980" s="3"/>
      <c r="IZ1980" s="3"/>
    </row>
    <row r="1981" spans="1:260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IY1981" s="3"/>
      <c r="IZ1981" s="3"/>
    </row>
    <row r="1982" spans="1:260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IY1982" s="3"/>
      <c r="IZ1982" s="3"/>
    </row>
    <row r="1983" spans="1:260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IY1983" s="3"/>
      <c r="IZ1983" s="3"/>
    </row>
    <row r="1984" spans="1:260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IY1984" s="3"/>
      <c r="IZ1984" s="3"/>
    </row>
    <row r="1985" spans="1:260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IY1985" s="3"/>
      <c r="IZ1985" s="3"/>
    </row>
    <row r="1986" spans="1:260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IY1986" s="3"/>
      <c r="IZ1986" s="3"/>
    </row>
    <row r="1987" spans="1:260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IY1987" s="3"/>
      <c r="IZ1987" s="3"/>
    </row>
    <row r="1988" spans="1:260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IY1988" s="3"/>
      <c r="IZ1988" s="3"/>
    </row>
    <row r="1989" spans="1:260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IY1989" s="3"/>
      <c r="IZ1989" s="3"/>
    </row>
    <row r="1990" spans="1:260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IY1990" s="3"/>
      <c r="IZ1990" s="3"/>
    </row>
    <row r="1991" spans="1:260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IY1991" s="3"/>
      <c r="IZ1991" s="3"/>
    </row>
    <row r="1992" spans="1:260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IY1992" s="3"/>
      <c r="IZ1992" s="3"/>
    </row>
    <row r="1993" spans="1:260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IY1993" s="3"/>
      <c r="IZ1993" s="3"/>
    </row>
    <row r="1994" spans="1:260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IY1994" s="3"/>
      <c r="IZ1994" s="3"/>
    </row>
    <row r="1995" spans="1:260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IY1995" s="3"/>
      <c r="IZ1995" s="3"/>
    </row>
    <row r="1996" spans="1:260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IY1996" s="3"/>
      <c r="IZ1996" s="3"/>
    </row>
    <row r="1997" spans="1:260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IY1997" s="3"/>
      <c r="IZ1997" s="3"/>
    </row>
    <row r="1998" spans="1:260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IY1998" s="3"/>
      <c r="IZ1998" s="3"/>
    </row>
    <row r="1999" spans="1:260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IY1999" s="3"/>
      <c r="IZ1999" s="3"/>
    </row>
    <row r="2000" spans="1:260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IY2000" s="3"/>
      <c r="IZ2000" s="3"/>
    </row>
    <row r="2001" spans="1:260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IY2001" s="3"/>
      <c r="IZ2001" s="3"/>
    </row>
    <row r="2002" spans="1:260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IY2002" s="3"/>
      <c r="IZ2002" s="3"/>
    </row>
    <row r="2003" spans="1:260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IY2003" s="3"/>
      <c r="IZ2003" s="3"/>
    </row>
    <row r="2004" spans="1:260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IY2004" s="3"/>
      <c r="IZ2004" s="3"/>
    </row>
    <row r="2005" spans="1:260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IY2005" s="3"/>
      <c r="IZ2005" s="3"/>
    </row>
    <row r="2006" spans="1:260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IY2006" s="3"/>
      <c r="IZ2006" s="3"/>
    </row>
    <row r="2007" spans="1:260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IY2007" s="3"/>
      <c r="IZ2007" s="3"/>
    </row>
    <row r="2008" spans="1:260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IY2008" s="3"/>
      <c r="IZ2008" s="3"/>
    </row>
    <row r="2009" spans="1:260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IY2009" s="3"/>
      <c r="IZ2009" s="3"/>
    </row>
    <row r="2010" spans="1:260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IY2010" s="3"/>
      <c r="IZ2010" s="3"/>
    </row>
    <row r="2011" spans="1:260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IY2011" s="3"/>
      <c r="IZ2011" s="3"/>
    </row>
    <row r="2012" spans="1:260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IY2012" s="3"/>
      <c r="IZ2012" s="3"/>
    </row>
    <row r="2013" spans="1:260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IY2013" s="3"/>
      <c r="IZ2013" s="3"/>
    </row>
    <row r="2014" spans="1:260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IY2014" s="3"/>
      <c r="IZ2014" s="3"/>
    </row>
    <row r="2015" spans="1:260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IY2015" s="3"/>
      <c r="IZ2015" s="3"/>
    </row>
    <row r="2016" spans="1:260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IY2016" s="3"/>
      <c r="IZ2016" s="3"/>
    </row>
    <row r="2017" spans="1:260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IY2017" s="3"/>
      <c r="IZ2017" s="3"/>
    </row>
    <row r="2018" spans="1:260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IY2018" s="3"/>
      <c r="IZ2018" s="3"/>
    </row>
    <row r="2019" spans="1:260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IY2019" s="3"/>
      <c r="IZ2019" s="3"/>
    </row>
    <row r="2020" spans="1:260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IY2020" s="3"/>
      <c r="IZ2020" s="3"/>
    </row>
    <row r="2021" spans="1:260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IY2021" s="3"/>
      <c r="IZ2021" s="3"/>
    </row>
    <row r="2022" spans="1:260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IY2022" s="3"/>
      <c r="IZ2022" s="3"/>
    </row>
    <row r="2023" spans="1:260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2023" s="19"/>
      <c r="IY2023" s="3"/>
      <c r="IZ2023" s="3"/>
    </row>
    <row r="2024" spans="1:260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IY2024" s="3"/>
      <c r="IZ2024" s="3"/>
    </row>
    <row r="2025" spans="1:260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2025" s="19"/>
      <c r="IY2025" s="3"/>
      <c r="IZ2025" s="3"/>
    </row>
    <row r="2026" spans="1:260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IY2026" s="3"/>
      <c r="IZ2026" s="3"/>
    </row>
    <row r="2027" spans="1:260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2027" s="19"/>
      <c r="IY2027" s="3"/>
      <c r="IZ2027" s="3"/>
    </row>
    <row r="2028" spans="1:260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IY2028" s="3"/>
      <c r="IZ2028" s="3"/>
    </row>
    <row r="2029" spans="1:260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2029" s="19"/>
      <c r="IY2029" s="3"/>
      <c r="IZ2029" s="3"/>
    </row>
    <row r="2030" spans="1:260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IY2030" s="3"/>
      <c r="IZ2030" s="3"/>
    </row>
    <row r="2031" spans="1:260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2031" s="19"/>
      <c r="IY2031" s="3"/>
      <c r="IZ2031" s="3"/>
    </row>
    <row r="2032" spans="1:260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IY2032" s="3"/>
      <c r="IZ2032" s="3"/>
    </row>
    <row r="2033" spans="1:260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2033" s="19"/>
      <c r="IY2033" s="3"/>
      <c r="IZ2033" s="3"/>
    </row>
    <row r="2034" spans="1:260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IY2034" s="3"/>
      <c r="IZ2034" s="3"/>
    </row>
    <row r="2035" spans="1:260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2035" s="19"/>
      <c r="IY2035" s="3"/>
      <c r="IZ2035" s="3"/>
    </row>
    <row r="2036" spans="1:260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IY2036" s="3"/>
      <c r="IZ2036" s="3"/>
    </row>
    <row r="2037" spans="1:260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2037" s="19"/>
      <c r="IY2037" s="3"/>
      <c r="IZ2037" s="3"/>
    </row>
    <row r="2038" spans="1:260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IY2038" s="3"/>
      <c r="IZ2038" s="3"/>
    </row>
    <row r="2039" spans="1:260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2039" s="19"/>
      <c r="IY2039" s="3"/>
      <c r="IZ2039" s="3"/>
    </row>
    <row r="2040" spans="1:260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IY2040" s="3"/>
      <c r="IZ2040" s="3"/>
    </row>
    <row r="2041" spans="1:260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2041" s="19"/>
      <c r="IY2041" s="3"/>
      <c r="IZ2041" s="3"/>
    </row>
    <row r="2042" spans="1:260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IY2042" s="3"/>
      <c r="IZ2042" s="3"/>
    </row>
    <row r="2043" spans="1:260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2043" s="19"/>
      <c r="IY2043" s="3"/>
      <c r="IZ2043" s="3"/>
    </row>
    <row r="2044" spans="1:260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IY2044" s="3"/>
      <c r="IZ2044" s="3"/>
    </row>
    <row r="2045" spans="1:260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2045" s="19"/>
      <c r="IY2045" s="3"/>
      <c r="IZ2045" s="3"/>
    </row>
    <row r="2046" spans="1:260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IY2046" s="3"/>
      <c r="IZ2046" s="3"/>
    </row>
    <row r="2047" spans="1:260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2047" s="19"/>
      <c r="IY2047" s="3"/>
      <c r="IZ2047" s="3"/>
    </row>
    <row r="2048" spans="1:260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IY2048" s="3"/>
      <c r="IZ2048" s="3"/>
    </row>
    <row r="2049" spans="1:260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2049" s="19"/>
      <c r="IY2049" s="3"/>
      <c r="IZ2049" s="3"/>
    </row>
    <row r="2050" spans="1:260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IY2050" s="3"/>
      <c r="IZ2050" s="3"/>
    </row>
    <row r="2051" spans="1:260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2051" s="19"/>
      <c r="IY2051" s="3"/>
      <c r="IZ2051" s="3"/>
    </row>
    <row r="2052" spans="1:260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IY2052" s="3"/>
      <c r="IZ2052" s="3"/>
    </row>
    <row r="2053" spans="1:260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2053" s="19"/>
      <c r="IY2053" s="3"/>
      <c r="IZ2053" s="3"/>
    </row>
    <row r="2054" spans="1:260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IY2054" s="3"/>
      <c r="IZ2054" s="3"/>
    </row>
    <row r="2055" spans="1:260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2055" s="19"/>
      <c r="IY2055" s="3"/>
      <c r="IZ2055" s="3"/>
    </row>
    <row r="2056" spans="1:260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IY2056" s="3"/>
      <c r="IZ2056" s="3"/>
    </row>
    <row r="2057" spans="1:260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2057" s="19"/>
      <c r="IY2057" s="3"/>
      <c r="IZ2057" s="3"/>
    </row>
    <row r="2058" spans="1:260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IY2058" s="3"/>
      <c r="IZ2058" s="3"/>
    </row>
    <row r="2059" spans="1:260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2059" s="19"/>
      <c r="IY2059" s="3"/>
      <c r="IZ2059" s="3"/>
    </row>
    <row r="2060" spans="1:260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IY2060" s="3"/>
      <c r="IZ2060" s="3"/>
    </row>
    <row r="2061" spans="1:260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2061" s="19"/>
      <c r="IY2061" s="3"/>
      <c r="IZ2061" s="3"/>
    </row>
    <row r="2062" spans="1:260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IY2062" s="3"/>
      <c r="IZ2062" s="3"/>
    </row>
    <row r="2063" spans="1:260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2063" s="19"/>
      <c r="IY2063" s="3"/>
      <c r="IZ2063" s="3"/>
    </row>
    <row r="2064" spans="1:260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IY2064" s="3"/>
      <c r="IZ2064" s="3"/>
    </row>
    <row r="2065" spans="1:260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2065" s="19"/>
      <c r="IY2065" s="3"/>
      <c r="IZ2065" s="3"/>
    </row>
    <row r="2066" spans="1:260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IY2066" s="3"/>
      <c r="IZ2066" s="3"/>
    </row>
    <row r="2067" spans="1:260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2067" s="19"/>
      <c r="IY2067" s="3"/>
      <c r="IZ2067" s="3"/>
    </row>
    <row r="2068" spans="1:260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IY2068" s="3"/>
      <c r="IZ2068" s="3"/>
    </row>
    <row r="2069" spans="1:260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2069" s="19"/>
      <c r="IY2069" s="3"/>
      <c r="IZ2069" s="3"/>
    </row>
    <row r="2070" spans="1:260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IY2070" s="3"/>
      <c r="IZ2070" s="3"/>
    </row>
    <row r="2071" spans="1:260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2071" s="19"/>
      <c r="IY2071" s="3"/>
      <c r="IZ2071" s="3"/>
    </row>
    <row r="2072" spans="1:260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IY2072" s="3"/>
      <c r="IZ2072" s="3"/>
    </row>
    <row r="2073" spans="1:260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2073" s="19"/>
      <c r="IY2073" s="3"/>
      <c r="IZ2073" s="3"/>
    </row>
    <row r="2074" spans="1:260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IY2074" s="3"/>
      <c r="IZ2074" s="3"/>
    </row>
    <row r="2075" spans="1:260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2075" s="19"/>
      <c r="IY2075" s="3"/>
      <c r="IZ2075" s="3"/>
    </row>
    <row r="2076" spans="1:260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IY2076" s="3"/>
      <c r="IZ2076" s="3"/>
    </row>
    <row r="2077" spans="1:260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2077" s="19"/>
      <c r="IY2077" s="3"/>
      <c r="IZ2077" s="3"/>
    </row>
    <row r="2078" spans="1:260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IY2078" s="3"/>
      <c r="IZ2078" s="3"/>
    </row>
    <row r="2079" spans="1:260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2079" s="19"/>
      <c r="IY2079" s="3"/>
      <c r="IZ2079" s="3"/>
    </row>
    <row r="2080" spans="1:260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IY2080" s="3"/>
      <c r="IZ2080" s="3"/>
    </row>
    <row r="2081" spans="1:260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2081" s="19"/>
      <c r="IY2081" s="3"/>
      <c r="IZ2081" s="3"/>
    </row>
    <row r="2082" spans="1:260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IY2082" s="3"/>
      <c r="IZ2082" s="3"/>
    </row>
    <row r="2083" spans="1:260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2083" s="19"/>
      <c r="IY2083" s="3"/>
      <c r="IZ2083" s="3"/>
    </row>
    <row r="2084" spans="1:260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IY2084" s="3"/>
      <c r="IZ2084" s="3"/>
    </row>
    <row r="2085" spans="1:260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2085" s="19"/>
      <c r="IY2085" s="3"/>
      <c r="IZ2085" s="3"/>
    </row>
    <row r="2086" spans="1:260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IY2086" s="3"/>
      <c r="IZ2086" s="3"/>
    </row>
    <row r="2087" spans="1:260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2087" s="19"/>
      <c r="IY2087" s="3"/>
      <c r="IZ2087" s="3"/>
    </row>
    <row r="2088" spans="1:260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IY2088" s="3"/>
      <c r="IZ2088" s="3"/>
    </row>
    <row r="2089" spans="1:260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2089" s="19"/>
      <c r="IY2089" s="3"/>
      <c r="IZ2089" s="3"/>
    </row>
    <row r="2090" spans="1:260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IY2090" s="3"/>
      <c r="IZ2090" s="3"/>
    </row>
    <row r="2091" spans="1:260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2091" s="19"/>
      <c r="IY2091" s="3"/>
      <c r="IZ2091" s="3"/>
    </row>
    <row r="2092" spans="1:260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IY2092" s="3"/>
      <c r="IZ2092" s="3"/>
    </row>
    <row r="2093" spans="1:260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2093" s="19"/>
      <c r="IY2093" s="3"/>
      <c r="IZ2093" s="3"/>
    </row>
    <row r="2094" spans="1:260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IY2094" s="3"/>
      <c r="IZ2094" s="3"/>
    </row>
    <row r="2095" spans="1:260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2095" s="19"/>
      <c r="IY2095" s="3"/>
      <c r="IZ2095" s="3"/>
    </row>
    <row r="2096" spans="1:260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IY2096" s="3"/>
      <c r="IZ2096" s="3"/>
    </row>
    <row r="2097" spans="1:260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2097" s="19"/>
      <c r="IY2097" s="3"/>
      <c r="IZ2097" s="3"/>
    </row>
    <row r="2098" spans="1:260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IY2098" s="3"/>
      <c r="IZ2098" s="3"/>
    </row>
    <row r="2099" spans="1:260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2099" s="19"/>
      <c r="IY2099" s="3"/>
      <c r="IZ2099" s="3"/>
    </row>
    <row r="2100" spans="1:260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IY2100" s="3"/>
      <c r="IZ2100" s="3"/>
    </row>
    <row r="2101" spans="1:260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2101" s="19"/>
      <c r="IY2101" s="3"/>
      <c r="IZ2101" s="3"/>
    </row>
    <row r="2102" spans="1:260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IY2102" s="3"/>
      <c r="IZ2102" s="3"/>
    </row>
    <row r="2103" spans="1:260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2103" s="19"/>
      <c r="IY2103" s="3"/>
      <c r="IZ2103" s="3"/>
    </row>
    <row r="2104" spans="1:260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IY2104" s="3"/>
      <c r="IZ2104" s="3"/>
    </row>
    <row r="2105" spans="1:260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2105" s="19"/>
      <c r="IY2105" s="3"/>
      <c r="IZ2105" s="3"/>
    </row>
    <row r="2106" spans="1:260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IY2106" s="3"/>
      <c r="IZ2106" s="3"/>
    </row>
    <row r="2107" spans="1:260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2107" s="19"/>
      <c r="IY2107" s="3"/>
      <c r="IZ2107" s="3"/>
    </row>
    <row r="2108" spans="1:260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IY2108" s="3"/>
      <c r="IZ2108" s="3"/>
    </row>
    <row r="2109" spans="1:260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2109" s="19"/>
      <c r="IY2109" s="3"/>
      <c r="IZ2109" s="3"/>
    </row>
    <row r="2110" spans="1:260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IY2110" s="3"/>
      <c r="IZ2110" s="3"/>
    </row>
    <row r="2111" spans="1:260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2111" s="19"/>
      <c r="IY2111" s="3"/>
      <c r="IZ2111" s="3"/>
    </row>
    <row r="2112" spans="1:260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IY2112" s="3"/>
      <c r="IZ2112" s="3"/>
    </row>
    <row r="2113" spans="1:260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2113" s="19"/>
      <c r="IY2113" s="3"/>
      <c r="IZ2113" s="3"/>
    </row>
    <row r="2114" spans="1:260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IY2114" s="3"/>
      <c r="IZ2114" s="3"/>
    </row>
    <row r="2115" spans="1:260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2115" s="19"/>
      <c r="IY2115" s="3"/>
      <c r="IZ2115" s="3"/>
    </row>
    <row r="2116" spans="1:260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IY2116" s="3"/>
      <c r="IZ2116" s="3"/>
    </row>
    <row r="2117" spans="1:260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2117" s="19"/>
      <c r="IY2117" s="3"/>
      <c r="IZ2117" s="3"/>
    </row>
    <row r="2118" spans="1:260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IY2118" s="3"/>
      <c r="IZ2118" s="3"/>
    </row>
    <row r="2119" spans="1:260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2119" s="19"/>
      <c r="IY2119" s="3"/>
      <c r="IZ2119" s="3"/>
    </row>
    <row r="2120" spans="1:260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IY2120" s="3"/>
      <c r="IZ2120" s="3"/>
    </row>
    <row r="2121" spans="1:260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2121" s="19"/>
      <c r="IY2121" s="3"/>
      <c r="IZ2121" s="3"/>
    </row>
    <row r="2122" spans="1:260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IY2122" s="3"/>
      <c r="IZ2122" s="3"/>
    </row>
    <row r="2123" spans="1:260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2123" s="19"/>
      <c r="IY2123" s="3"/>
      <c r="IZ2123" s="3"/>
    </row>
    <row r="2124" spans="1:260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IY2124" s="3"/>
      <c r="IZ2124" s="3"/>
    </row>
    <row r="2125" spans="1:260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2125" s="19"/>
      <c r="IY2125" s="3"/>
      <c r="IZ2125" s="3"/>
    </row>
    <row r="2126" spans="1:260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IY2126" s="3"/>
      <c r="IZ2126" s="3"/>
    </row>
    <row r="2127" spans="1:260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2127" s="19"/>
      <c r="IY2127" s="3"/>
      <c r="IZ2127" s="3"/>
    </row>
    <row r="2128" spans="1:260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IY2128" s="3"/>
      <c r="IZ2128" s="3"/>
    </row>
    <row r="2129" spans="1:260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2129" s="19"/>
      <c r="IY2129" s="3"/>
      <c r="IZ2129" s="3"/>
    </row>
    <row r="2130" spans="1:260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IY2130" s="3"/>
      <c r="IZ2130" s="3"/>
    </row>
    <row r="2131" spans="1:260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2131" s="19"/>
      <c r="IY2131" s="3"/>
      <c r="IZ2131" s="3"/>
    </row>
    <row r="2132" spans="1:260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IY2132" s="3"/>
      <c r="IZ2132" s="3"/>
    </row>
    <row r="2133" spans="1:260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2133" s="19"/>
      <c r="IY2133" s="3"/>
      <c r="IZ2133" s="3"/>
    </row>
    <row r="2134" spans="1:260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IY2134" s="3"/>
      <c r="IZ2134" s="3"/>
    </row>
    <row r="2135" spans="1:260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2135" s="19"/>
      <c r="IY2135" s="3"/>
      <c r="IZ2135" s="3"/>
    </row>
    <row r="2136" spans="1:260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IY2136" s="3"/>
      <c r="IZ2136" s="3"/>
    </row>
    <row r="2137" spans="1:260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2137" s="19"/>
      <c r="IY2137" s="3"/>
      <c r="IZ2137" s="3"/>
    </row>
    <row r="2138" spans="1:260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IY2138" s="3"/>
      <c r="IZ2138" s="3"/>
    </row>
    <row r="2139" spans="1:260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2139" s="19"/>
      <c r="IY2139" s="3"/>
      <c r="IZ2139" s="3"/>
    </row>
    <row r="2140" spans="1:260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IY2140" s="3"/>
      <c r="IZ2140" s="3"/>
    </row>
    <row r="2141" spans="1:260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2141" s="19"/>
      <c r="IY2141" s="3"/>
      <c r="IZ2141" s="3"/>
    </row>
    <row r="2142" spans="1:260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IY2142" s="3"/>
      <c r="IZ2142" s="3"/>
    </row>
    <row r="2143" spans="1:260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2143" s="19"/>
      <c r="IY2143" s="3"/>
      <c r="IZ2143" s="3"/>
    </row>
    <row r="2144" spans="1:260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IY2144" s="3"/>
      <c r="IZ2144" s="3"/>
    </row>
    <row r="2145" spans="1:260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2145" s="19"/>
      <c r="IY2145" s="3"/>
      <c r="IZ2145" s="3"/>
    </row>
    <row r="2146" spans="1:260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IY2146" s="3"/>
      <c r="IZ2146" s="3"/>
    </row>
    <row r="2147" spans="1:260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2147" s="19"/>
      <c r="IY2147" s="3"/>
      <c r="IZ2147" s="3"/>
    </row>
    <row r="2148" spans="1:260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IY2148" s="3"/>
      <c r="IZ2148" s="3"/>
    </row>
    <row r="2149" spans="1:260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2149" s="19"/>
      <c r="IY2149" s="3"/>
      <c r="IZ2149" s="3"/>
    </row>
    <row r="2150" spans="1:260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IY2150" s="3"/>
      <c r="IZ2150" s="3"/>
    </row>
    <row r="2151" spans="1:260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2151" s="19"/>
      <c r="IY2151" s="3"/>
      <c r="IZ2151" s="3"/>
    </row>
    <row r="2152" spans="1:260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IY2152" s="3"/>
      <c r="IZ2152" s="3"/>
    </row>
    <row r="2153" spans="1:260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2153" s="19"/>
      <c r="IY2153" s="3"/>
      <c r="IZ2153" s="3"/>
    </row>
    <row r="2154" spans="1:260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IY2154" s="3"/>
      <c r="IZ2154" s="3"/>
    </row>
    <row r="2155" spans="1:260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2155" s="19"/>
      <c r="IY2155" s="3"/>
      <c r="IZ2155" s="3"/>
    </row>
    <row r="2156" spans="1:260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IY2156" s="3"/>
      <c r="IZ2156" s="3"/>
    </row>
    <row r="2157" spans="1:260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2157" s="19"/>
      <c r="IY2157" s="3"/>
      <c r="IZ2157" s="3"/>
    </row>
    <row r="2158" spans="1:260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IY2158" s="3"/>
      <c r="IZ2158" s="3"/>
    </row>
    <row r="2159" spans="1:260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2159" s="19"/>
      <c r="IY2159" s="3"/>
      <c r="IZ2159" s="3"/>
    </row>
    <row r="2160" spans="1:260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IY2160" s="3"/>
      <c r="IZ2160" s="3"/>
    </row>
    <row r="2161" spans="1:260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2161" s="19"/>
      <c r="IY2161" s="3"/>
      <c r="IZ2161" s="3"/>
    </row>
    <row r="2162" spans="1:260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IY2162" s="3"/>
      <c r="IZ2162" s="3"/>
    </row>
    <row r="2163" spans="1:260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2163" s="19"/>
      <c r="IY2163" s="3"/>
      <c r="IZ2163" s="3"/>
    </row>
    <row r="2164" spans="1:260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IY2164" s="3"/>
      <c r="IZ2164" s="3"/>
    </row>
    <row r="2165" spans="1:260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2165" s="19"/>
      <c r="IY2165" s="3"/>
      <c r="IZ2165" s="3"/>
    </row>
    <row r="2166" spans="1:260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IY2166" s="3"/>
      <c r="IZ2166" s="3"/>
    </row>
    <row r="2167" spans="1:260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2167" s="19"/>
      <c r="IY2167" s="3"/>
      <c r="IZ2167" s="3"/>
    </row>
    <row r="2168" spans="1:260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IY2168" s="3"/>
      <c r="IZ2168" s="3"/>
    </row>
    <row r="2169" spans="1:260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2169" s="19"/>
      <c r="IY2169" s="3"/>
      <c r="IZ2169" s="3"/>
    </row>
    <row r="2170" spans="1:260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IY2170" s="3"/>
      <c r="IZ2170" s="3"/>
    </row>
    <row r="2171" spans="1:260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2171" s="19"/>
      <c r="IY2171" s="3"/>
      <c r="IZ2171" s="3"/>
    </row>
    <row r="2172" spans="1:260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IY2172" s="3"/>
      <c r="IZ2172" s="3"/>
    </row>
    <row r="2173" spans="1:260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2173" s="19"/>
      <c r="IY2173" s="3"/>
      <c r="IZ2173" s="3"/>
    </row>
    <row r="2174" spans="1:260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IY2174" s="3"/>
      <c r="IZ2174" s="3"/>
    </row>
    <row r="2175" spans="1:260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2175" s="19"/>
      <c r="IY2175" s="3"/>
      <c r="IZ2175" s="3"/>
    </row>
    <row r="2176" spans="1:260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IY2176" s="3"/>
      <c r="IZ2176" s="3"/>
    </row>
    <row r="2177" spans="1:260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2177" s="19"/>
      <c r="IY2177" s="3"/>
      <c r="IZ2177" s="3"/>
    </row>
    <row r="2178" spans="1:260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IY2178" s="3"/>
      <c r="IZ2178" s="3"/>
    </row>
    <row r="2179" spans="1:260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2179" s="19"/>
      <c r="IY2179" s="3"/>
      <c r="IZ2179" s="3"/>
    </row>
    <row r="2180" spans="1:260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IY2180" s="3"/>
      <c r="IZ2180" s="3"/>
    </row>
    <row r="2181" spans="1:260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2181" s="19"/>
      <c r="IY2181" s="3"/>
      <c r="IZ2181" s="3"/>
    </row>
    <row r="2182" spans="1:260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IY2182" s="3"/>
      <c r="IZ2182" s="3"/>
    </row>
    <row r="2183" spans="1:260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2183" s="19"/>
      <c r="IY2183" s="3"/>
      <c r="IZ2183" s="3"/>
    </row>
    <row r="2184" spans="1:260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IY2184" s="3"/>
      <c r="IZ2184" s="3"/>
    </row>
    <row r="2185" spans="1:260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2185" s="19"/>
      <c r="IY2185" s="3"/>
      <c r="IZ2185" s="3"/>
    </row>
    <row r="2186" spans="1:260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IY2186" s="3"/>
      <c r="IZ2186" s="3"/>
    </row>
    <row r="2187" spans="1:260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2187" s="19"/>
      <c r="IY2187" s="3"/>
      <c r="IZ2187" s="3"/>
    </row>
    <row r="2188" spans="1:260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IY2188" s="3"/>
      <c r="IZ2188" s="3"/>
    </row>
    <row r="2189" spans="1:260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2189" s="19"/>
      <c r="IY2189" s="3"/>
      <c r="IZ2189" s="3"/>
    </row>
    <row r="2190" spans="1:260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IY2190" s="3"/>
      <c r="IZ2190" s="3"/>
    </row>
    <row r="2191" spans="1:260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2191" s="19"/>
      <c r="IY2191" s="3"/>
      <c r="IZ2191" s="3"/>
    </row>
    <row r="2192" spans="1:260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IY2192" s="3"/>
      <c r="IZ2192" s="3"/>
    </row>
    <row r="2193" spans="1:260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2193" s="19"/>
      <c r="IY2193" s="3"/>
      <c r="IZ2193" s="3"/>
    </row>
    <row r="2194" spans="1:260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IY2194" s="3"/>
      <c r="IZ2194" s="3"/>
    </row>
    <row r="2195" spans="1:260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2195" s="19"/>
      <c r="IY2195" s="3"/>
      <c r="IZ2195" s="3"/>
    </row>
    <row r="2196" spans="1:260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IY2196" s="3"/>
      <c r="IZ2196" s="3"/>
    </row>
    <row r="2197" spans="1:260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2197" s="19"/>
      <c r="IY2197" s="3"/>
      <c r="IZ2197" s="3"/>
    </row>
    <row r="2198" spans="1:260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IY2198" s="3"/>
      <c r="IZ2198" s="3"/>
    </row>
    <row r="2199" spans="1:260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2199" s="19"/>
      <c r="IY2199" s="3"/>
      <c r="IZ2199" s="3"/>
    </row>
    <row r="2200" spans="1:260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IY2200" s="3"/>
      <c r="IZ2200" s="3"/>
    </row>
    <row r="2201" spans="1:260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2201" s="19"/>
      <c r="IY2201" s="3"/>
      <c r="IZ2201" s="3"/>
    </row>
    <row r="2202" spans="1:260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IY2202" s="3"/>
      <c r="IZ2202" s="3"/>
    </row>
    <row r="2203" spans="1:260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2203" s="19"/>
      <c r="IY2203" s="3"/>
      <c r="IZ2203" s="3"/>
    </row>
    <row r="2204" spans="1:260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IY2204" s="3"/>
      <c r="IZ2204" s="3"/>
    </row>
    <row r="2205" spans="1:260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2205" s="19"/>
      <c r="IY2205" s="3"/>
      <c r="IZ2205" s="3"/>
    </row>
    <row r="2206" spans="1:260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IY2206" s="3"/>
      <c r="IZ2206" s="3"/>
    </row>
    <row r="2207" spans="1:260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2207" s="19"/>
      <c r="IY2207" s="3"/>
      <c r="IZ2207" s="3"/>
    </row>
    <row r="2208" spans="1:260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IY2208" s="3"/>
      <c r="IZ2208" s="3"/>
    </row>
    <row r="2209" spans="1:260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2209" s="19"/>
      <c r="IY2209" s="3"/>
      <c r="IZ2209" s="3"/>
    </row>
    <row r="2210" spans="1:260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IY2210" s="3"/>
      <c r="IZ2210" s="3"/>
    </row>
    <row r="2211" spans="1:260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2211" s="19"/>
      <c r="IY2211" s="3"/>
      <c r="IZ2211" s="3"/>
    </row>
    <row r="2212" spans="1:260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IY2212" s="3"/>
      <c r="IZ2212" s="3"/>
    </row>
    <row r="2213" spans="1:260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2213" s="19"/>
      <c r="IY2213" s="3"/>
      <c r="IZ2213" s="3"/>
    </row>
    <row r="2214" spans="1:260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IY2214" s="3"/>
      <c r="IZ2214" s="3"/>
    </row>
    <row r="2215" spans="1:260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2215" s="19"/>
      <c r="IY2215" s="3"/>
      <c r="IZ2215" s="3"/>
    </row>
    <row r="2216" spans="1:260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IY2216" s="3"/>
      <c r="IZ2216" s="3"/>
    </row>
    <row r="2217" spans="1:260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2217" s="19"/>
      <c r="IY2217" s="3"/>
      <c r="IZ2217" s="3"/>
    </row>
    <row r="2218" spans="1:260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IY2218" s="3"/>
      <c r="IZ2218" s="3"/>
    </row>
    <row r="2219" spans="1:260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2219" s="19"/>
      <c r="IY2219" s="3"/>
      <c r="IZ2219" s="3"/>
    </row>
    <row r="2220" spans="1:260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IY2220" s="3"/>
      <c r="IZ2220" s="3"/>
    </row>
    <row r="2221" spans="1:260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2221" s="19"/>
      <c r="IY2221" s="3"/>
      <c r="IZ2221" s="3"/>
    </row>
    <row r="2222" spans="1:260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IY2222" s="3"/>
      <c r="IZ2222" s="3"/>
    </row>
    <row r="2223" spans="1:260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2223" s="19"/>
      <c r="IY2223" s="3"/>
      <c r="IZ2223" s="3"/>
    </row>
    <row r="2224" spans="1:260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IY2224" s="3"/>
      <c r="IZ2224" s="3"/>
    </row>
    <row r="2225" spans="1:260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2225" s="19"/>
      <c r="IY2225" s="3"/>
      <c r="IZ2225" s="3"/>
    </row>
    <row r="2226" spans="1:260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IY2226" s="3"/>
      <c r="IZ2226" s="3"/>
    </row>
    <row r="2227" spans="1:260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2227" s="19"/>
      <c r="IY2227" s="3"/>
      <c r="IZ2227" s="3"/>
    </row>
    <row r="2228" spans="1:260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IY2228" s="3"/>
      <c r="IZ2228" s="3"/>
    </row>
    <row r="2229" spans="1:260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2229" s="19"/>
      <c r="IY2229" s="3"/>
      <c r="IZ2229" s="3"/>
    </row>
    <row r="2230" spans="1:260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IY2230" s="3"/>
      <c r="IZ2230" s="3"/>
    </row>
    <row r="2231" spans="1:260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2231" s="19"/>
      <c r="IY2231" s="3"/>
      <c r="IZ2231" s="3"/>
    </row>
    <row r="2232" spans="1:260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IY2232" s="3"/>
      <c r="IZ2232" s="3"/>
    </row>
    <row r="2233" spans="1:260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2233" s="19"/>
      <c r="IY2233" s="3"/>
      <c r="IZ2233" s="3"/>
    </row>
    <row r="2234" spans="1:260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IY2234" s="3"/>
      <c r="IZ2234" s="3"/>
    </row>
    <row r="2235" spans="1:260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2235" s="19"/>
      <c r="IY2235" s="3"/>
      <c r="IZ2235" s="3"/>
    </row>
    <row r="2236" spans="1:260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IY2236" s="3"/>
      <c r="IZ2236" s="3"/>
    </row>
    <row r="2237" spans="1:260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2237" s="19"/>
      <c r="IY2237" s="3"/>
      <c r="IZ2237" s="3"/>
    </row>
    <row r="2238" spans="1:260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IY2238" s="3"/>
      <c r="IZ2238" s="3"/>
    </row>
    <row r="2239" spans="1:260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2239" s="19"/>
      <c r="IY2239" s="3"/>
      <c r="IZ2239" s="3"/>
    </row>
    <row r="2240" spans="1:260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IY2240" s="3"/>
      <c r="IZ2240" s="3"/>
    </row>
    <row r="2241" spans="1:260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2241" s="19"/>
      <c r="IY2241" s="3"/>
      <c r="IZ2241" s="3"/>
    </row>
    <row r="2242" spans="1:260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2242" s="19"/>
      <c r="IY2242" s="3"/>
      <c r="IZ2242" s="3"/>
    </row>
    <row r="2243" spans="1:260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2243" s="19"/>
      <c r="IY2243" s="3"/>
      <c r="IZ2243" s="3"/>
    </row>
    <row r="2244" spans="1:260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2244" s="19"/>
      <c r="IY2244" s="3"/>
      <c r="IZ2244" s="3"/>
    </row>
    <row r="2245" spans="1:260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2245" s="19"/>
      <c r="IY2245" s="3"/>
      <c r="IZ2245" s="3"/>
    </row>
    <row r="2246" spans="1:260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2246" s="19"/>
      <c r="IY2246" s="3"/>
      <c r="IZ2246" s="3"/>
    </row>
    <row r="2247" spans="1:260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2247" s="19"/>
      <c r="IY2247" s="3"/>
      <c r="IZ2247" s="3"/>
    </row>
    <row r="2248" spans="1:260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2248" s="19"/>
      <c r="IY2248" s="3"/>
      <c r="IZ2248" s="3"/>
    </row>
    <row r="2249" spans="1:260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2249" s="19"/>
      <c r="IY2249" s="3"/>
      <c r="IZ2249" s="3"/>
    </row>
    <row r="2250" spans="1:260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2250" s="19"/>
      <c r="IY2250" s="3"/>
      <c r="IZ2250" s="3"/>
    </row>
    <row r="2251" spans="1:260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2251" s="19"/>
      <c r="IY2251" s="3"/>
      <c r="IZ2251" s="3"/>
    </row>
    <row r="2252" spans="1:260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2252" s="19"/>
      <c r="IY2252" s="3"/>
      <c r="IZ2252" s="3"/>
    </row>
    <row r="2253" spans="1:260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2253" s="19"/>
      <c r="IY2253" s="3"/>
      <c r="IZ2253" s="3"/>
    </row>
    <row r="2254" spans="1:260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2254" s="19"/>
      <c r="IY2254" s="3"/>
      <c r="IZ2254" s="3"/>
    </row>
    <row r="2255" spans="1:260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2255" s="19"/>
      <c r="IY2255" s="3"/>
      <c r="IZ2255" s="3"/>
    </row>
    <row r="2256" spans="1:260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2256" s="19"/>
      <c r="IY2256" s="3"/>
      <c r="IZ2256" s="3"/>
    </row>
    <row r="2257" spans="1:260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2257" s="19"/>
      <c r="IY2257" s="3"/>
      <c r="IZ2257" s="3"/>
    </row>
    <row r="2258" spans="1:260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2258" s="19"/>
      <c r="IY2258" s="3"/>
      <c r="IZ2258" s="3"/>
    </row>
    <row r="2259" spans="1:260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2259" s="19"/>
      <c r="IY2259" s="3"/>
      <c r="IZ2259" s="3"/>
    </row>
    <row r="2260" spans="1:260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2260" s="19"/>
      <c r="IY2260" s="3"/>
      <c r="IZ2260" s="3"/>
    </row>
    <row r="2261" spans="1:260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2261" s="19"/>
      <c r="IY2261" s="3"/>
      <c r="IZ2261" s="3"/>
    </row>
    <row r="2262" spans="1:260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2262" s="19"/>
      <c r="IY2262" s="3"/>
      <c r="IZ2262" s="3"/>
    </row>
    <row r="2263" spans="1:260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2263" s="19"/>
      <c r="IY2263" s="3"/>
      <c r="IZ2263" s="3"/>
    </row>
    <row r="2264" spans="1:260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2264" s="19"/>
      <c r="IY2264" s="3"/>
      <c r="IZ2264" s="3"/>
    </row>
    <row r="2265" spans="1:260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2265" s="19"/>
      <c r="IY2265" s="3"/>
      <c r="IZ2265" s="3"/>
    </row>
    <row r="2266" spans="1:260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2266" s="19"/>
      <c r="IY2266" s="3"/>
      <c r="IZ2266" s="3"/>
    </row>
    <row r="2267" spans="1:260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2267" s="19"/>
      <c r="IY2267" s="3"/>
      <c r="IZ2267" s="3"/>
    </row>
    <row r="2268" spans="1:260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2268" s="19"/>
      <c r="IY2268" s="3"/>
      <c r="IZ2268" s="3"/>
    </row>
    <row r="2269" spans="1:260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2269" s="19"/>
      <c r="IY2269" s="3"/>
      <c r="IZ2269" s="3"/>
    </row>
    <row r="2270" spans="1:260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2270" s="19"/>
      <c r="IY2270" s="3"/>
      <c r="IZ2270" s="3"/>
    </row>
    <row r="2271" spans="1:260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2271" s="19"/>
      <c r="IY2271" s="3"/>
      <c r="IZ2271" s="3"/>
    </row>
    <row r="2272" spans="1:260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2272" s="19"/>
      <c r="IY2272" s="3"/>
      <c r="IZ2272" s="3"/>
    </row>
    <row r="2273" spans="1:260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2273" s="19"/>
      <c r="IY2273" s="3"/>
      <c r="IZ2273" s="3"/>
    </row>
    <row r="2274" spans="1:260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2274" s="19"/>
      <c r="IY2274" s="3"/>
      <c r="IZ2274" s="3"/>
    </row>
    <row r="2275" spans="1:260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2275" s="19"/>
      <c r="IY2275" s="3"/>
      <c r="IZ2275" s="3"/>
    </row>
    <row r="2276" spans="1:260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2276" s="19"/>
      <c r="IY2276" s="3"/>
      <c r="IZ2276" s="3"/>
    </row>
    <row r="2277" spans="1:260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2277" s="19"/>
      <c r="IY2277" s="3"/>
      <c r="IZ2277" s="3"/>
    </row>
    <row r="2278" spans="1:260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2278" s="19"/>
      <c r="IY2278" s="3"/>
      <c r="IZ2278" s="3"/>
    </row>
    <row r="2279" spans="1:260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2279" s="19"/>
      <c r="IY2279" s="3"/>
      <c r="IZ2279" s="3"/>
    </row>
    <row r="2280" spans="1:260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2280" s="19"/>
      <c r="IY2280" s="3"/>
      <c r="IZ2280" s="3"/>
    </row>
    <row r="2281" spans="1:260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2281" s="19"/>
      <c r="IY2281" s="3"/>
      <c r="IZ2281" s="3"/>
    </row>
    <row r="2282" spans="1:260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2282" s="19"/>
      <c r="IY2282" s="3"/>
      <c r="IZ2282" s="3"/>
    </row>
    <row r="2283" spans="1:260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2283" s="19"/>
      <c r="IY2283" s="3"/>
      <c r="IZ2283" s="3"/>
    </row>
    <row r="2284" spans="1:260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2284" s="19"/>
      <c r="IY2284" s="3"/>
      <c r="IZ2284" s="3"/>
    </row>
    <row r="2285" spans="1:260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2285" s="19"/>
      <c r="IY2285" s="3"/>
      <c r="IZ2285" s="3"/>
    </row>
    <row r="2286" spans="1:260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2286" s="19"/>
      <c r="IY2286" s="3"/>
      <c r="IZ2286" s="3"/>
    </row>
    <row r="2287" spans="1:260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2287" s="19"/>
      <c r="IY2287" s="3"/>
      <c r="IZ2287" s="3"/>
    </row>
    <row r="2288" spans="1:260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2288" s="19"/>
      <c r="IY2288" s="3"/>
      <c r="IZ2288" s="3"/>
    </row>
    <row r="2289" spans="1:260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2289" s="19"/>
      <c r="IY2289" s="3"/>
      <c r="IZ2289" s="3"/>
    </row>
    <row r="2290" spans="1:260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2290" s="19"/>
      <c r="IY2290" s="3"/>
      <c r="IZ2290" s="3"/>
    </row>
    <row r="2291" spans="1:260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2291" s="19"/>
      <c r="IY2291" s="3"/>
      <c r="IZ2291" s="3"/>
    </row>
    <row r="2292" spans="1:260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2292" s="19"/>
      <c r="IY2292" s="3"/>
      <c r="IZ2292" s="3"/>
    </row>
    <row r="2293" spans="1:260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2293" s="19"/>
      <c r="IY2293" s="3"/>
      <c r="IZ2293" s="3"/>
    </row>
    <row r="2294" spans="1:260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2294" s="19"/>
      <c r="IY2294" s="3"/>
      <c r="IZ2294" s="3"/>
    </row>
    <row r="2295" spans="1:260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2295" s="19"/>
      <c r="IY2295" s="3"/>
      <c r="IZ2295" s="3"/>
    </row>
    <row r="2296" spans="1:260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2296" s="19"/>
      <c r="IY2296" s="3"/>
      <c r="IZ2296" s="3"/>
    </row>
    <row r="2297" spans="1:260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2297" s="19"/>
      <c r="IY2297" s="3"/>
      <c r="IZ2297" s="3"/>
    </row>
    <row r="2298" spans="1:260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2298" s="19"/>
      <c r="IY2298" s="3"/>
      <c r="IZ2298" s="3"/>
    </row>
    <row r="2299" spans="1:260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2299" s="19"/>
      <c r="IY2299" s="3"/>
      <c r="IZ2299" s="3"/>
    </row>
    <row r="2300" spans="1:260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2300" s="19"/>
      <c r="IY2300" s="3"/>
      <c r="IZ2300" s="3"/>
    </row>
    <row r="2301" spans="1:260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2301" s="19"/>
      <c r="IY2301" s="3"/>
      <c r="IZ2301" s="3"/>
    </row>
    <row r="2302" spans="1:260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2302" s="19"/>
      <c r="IY2302" s="3"/>
      <c r="IZ2302" s="3"/>
    </row>
    <row r="2303" spans="1:260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2303" s="19"/>
      <c r="IY2303" s="3"/>
      <c r="IZ2303" s="3"/>
    </row>
    <row r="2304" spans="1:260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2304" s="19"/>
      <c r="IY2304" s="3"/>
      <c r="IZ2304" s="3"/>
    </row>
    <row r="2305" spans="1:260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2305" s="19"/>
      <c r="IY2305" s="3"/>
      <c r="IZ2305" s="3"/>
    </row>
    <row r="2306" spans="1:260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2306" s="19"/>
      <c r="IY2306" s="3"/>
      <c r="IZ2306" s="3"/>
    </row>
    <row r="2307" spans="1:260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2307" s="19"/>
      <c r="IY2307" s="3"/>
      <c r="IZ2307" s="3"/>
    </row>
    <row r="2308" spans="1:260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2308" s="19"/>
      <c r="IY2308" s="3"/>
      <c r="IZ2308" s="3"/>
    </row>
    <row r="2309" spans="1:260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2309" s="19"/>
      <c r="IY2309" s="3"/>
      <c r="IZ2309" s="3"/>
    </row>
    <row r="2310" spans="1:260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2310" s="19"/>
      <c r="IY2310" s="3"/>
      <c r="IZ2310" s="3"/>
    </row>
    <row r="2311" spans="1:260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2311" s="19"/>
      <c r="IY2311" s="3"/>
      <c r="IZ2311" s="3"/>
    </row>
    <row r="2312" spans="1:260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2312" s="19"/>
      <c r="IY2312" s="3"/>
      <c r="IZ2312" s="3"/>
    </row>
    <row r="2313" spans="1:260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2313" s="19"/>
      <c r="IY2313" s="3"/>
      <c r="IZ2313" s="3"/>
    </row>
    <row r="2314" spans="1:260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2314" s="19"/>
      <c r="IY2314" s="3"/>
      <c r="IZ2314" s="3"/>
    </row>
    <row r="2315" spans="1:260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2315" s="19"/>
      <c r="IY2315" s="3"/>
      <c r="IZ2315" s="3"/>
    </row>
    <row r="2316" spans="1:260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2316" s="19"/>
      <c r="IY2316" s="3"/>
      <c r="IZ2316" s="3"/>
    </row>
    <row r="2317" spans="1:260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2317" s="19"/>
      <c r="IY2317" s="3"/>
      <c r="IZ2317" s="3"/>
    </row>
    <row r="2318" spans="1:260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2318" s="19"/>
      <c r="IY2318" s="3"/>
      <c r="IZ2318" s="3"/>
    </row>
    <row r="2319" spans="1:260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2319" s="19"/>
      <c r="IY2319" s="3"/>
      <c r="IZ2319" s="3"/>
    </row>
    <row r="2320" spans="1:260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2320" s="19"/>
      <c r="IY2320" s="3"/>
      <c r="IZ2320" s="3"/>
    </row>
    <row r="2321" spans="1:260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2321" s="19"/>
      <c r="IY2321" s="3"/>
      <c r="IZ2321" s="3"/>
    </row>
    <row r="2322" spans="1:260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2322" s="19"/>
      <c r="IY2322" s="3"/>
      <c r="IZ2322" s="3"/>
    </row>
    <row r="2323" spans="1:260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2323" s="19"/>
      <c r="IY2323" s="3"/>
      <c r="IZ2323" s="3"/>
    </row>
    <row r="2324" spans="1:260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2324" s="19"/>
      <c r="IY2324" s="3"/>
      <c r="IZ2324" s="3"/>
    </row>
    <row r="2325" spans="1:260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2325" s="19"/>
      <c r="IY2325" s="3"/>
      <c r="IZ2325" s="3"/>
    </row>
    <row r="2326" spans="1:260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2326" s="19"/>
      <c r="IY2326" s="3"/>
      <c r="IZ2326" s="3"/>
    </row>
    <row r="2327" spans="1:260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2327" s="19"/>
      <c r="IY2327" s="3"/>
      <c r="IZ2327" s="3"/>
    </row>
    <row r="2328" spans="1:260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2328" s="19"/>
      <c r="IY2328" s="3"/>
      <c r="IZ2328" s="3"/>
    </row>
    <row r="2329" spans="1:260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2329" s="19"/>
      <c r="IY2329" s="3"/>
      <c r="IZ2329" s="3"/>
    </row>
    <row r="2330" spans="1:260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2330" s="19"/>
      <c r="IY2330" s="3"/>
      <c r="IZ2330" s="3"/>
    </row>
    <row r="2331" spans="1:260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2331" s="19"/>
      <c r="IY2331" s="3"/>
      <c r="IZ2331" s="3"/>
    </row>
    <row r="2332" spans="1:260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2332" s="19"/>
      <c r="IY2332" s="3"/>
      <c r="IZ2332" s="3"/>
    </row>
    <row r="2333" spans="1:260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2333" s="19"/>
      <c r="IY2333" s="3"/>
      <c r="IZ2333" s="3"/>
    </row>
    <row r="2334" spans="1:260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2334" s="19"/>
      <c r="IY2334" s="3"/>
      <c r="IZ2334" s="3"/>
    </row>
    <row r="2335" spans="1:260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2335" s="19"/>
      <c r="IY2335" s="3"/>
      <c r="IZ2335" s="3"/>
    </row>
    <row r="2336" spans="1:260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2336" s="19"/>
      <c r="IY2336" s="3"/>
      <c r="IZ2336" s="3"/>
    </row>
    <row r="2337" spans="1:260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2337" s="19"/>
      <c r="IY2337" s="3"/>
      <c r="IZ2337" s="3"/>
    </row>
    <row r="2338" spans="1:260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2338" s="19"/>
      <c r="IY2338" s="3"/>
      <c r="IZ2338" s="3"/>
    </row>
    <row r="2339" spans="1:260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2339" s="19"/>
      <c r="IY2339" s="3"/>
      <c r="IZ2339" s="3"/>
    </row>
    <row r="2340" spans="1:260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2340" s="19"/>
      <c r="IY2340" s="3"/>
      <c r="IZ2340" s="3"/>
    </row>
    <row r="2341" spans="1:260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2341" s="19"/>
      <c r="IY2341" s="3"/>
      <c r="IZ2341" s="3"/>
    </row>
    <row r="2342" spans="1:260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2342" s="19"/>
      <c r="IY2342" s="3"/>
      <c r="IZ2342" s="3"/>
    </row>
    <row r="2343" spans="1:260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2343" s="19"/>
      <c r="IY2343" s="3"/>
      <c r="IZ2343" s="3"/>
    </row>
    <row r="2344" spans="1:260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2344" s="19"/>
      <c r="IY2344" s="3"/>
      <c r="IZ2344" s="3"/>
    </row>
    <row r="2345" spans="1:260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2345" s="19"/>
      <c r="IY2345" s="3"/>
      <c r="IZ2345" s="3"/>
    </row>
    <row r="2346" spans="1:260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2346" s="19"/>
      <c r="IY2346" s="3"/>
      <c r="IZ2346" s="3"/>
    </row>
    <row r="2347" spans="1:260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2347" s="19"/>
      <c r="IY2347" s="3"/>
      <c r="IZ2347" s="3"/>
    </row>
    <row r="2348" spans="1:260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2348" s="19"/>
      <c r="IY2348" s="3"/>
      <c r="IZ2348" s="3"/>
    </row>
    <row r="2349" spans="1:260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2349" s="19"/>
      <c r="IY2349" s="3"/>
      <c r="IZ2349" s="3"/>
    </row>
    <row r="2350" spans="1:260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2350" s="19"/>
      <c r="IY2350" s="3"/>
      <c r="IZ2350" s="3"/>
    </row>
    <row r="2351" spans="1:260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2351" s="19"/>
      <c r="IY2351" s="3"/>
      <c r="IZ2351" s="3"/>
    </row>
    <row r="2352" spans="1:260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2352" s="19"/>
      <c r="IY2352" s="3"/>
      <c r="IZ2352" s="3"/>
    </row>
    <row r="2353" spans="1:260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2353" s="19"/>
      <c r="IY2353" s="3"/>
      <c r="IZ2353" s="3"/>
    </row>
    <row r="2354" spans="1:260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2354" s="19"/>
      <c r="IY2354" s="3"/>
      <c r="IZ2354" s="3"/>
    </row>
    <row r="2355" spans="1:260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2355" s="19"/>
      <c r="IY2355" s="3"/>
      <c r="IZ2355" s="3"/>
    </row>
    <row r="2356" spans="1:260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2356" s="19"/>
      <c r="IY2356" s="3"/>
      <c r="IZ2356" s="3"/>
    </row>
    <row r="2357" spans="1:260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2357" s="19"/>
      <c r="IY2357" s="3"/>
      <c r="IZ2357" s="3"/>
    </row>
    <row r="2358" spans="1:260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2358" s="19"/>
      <c r="IY2358" s="3"/>
      <c r="IZ2358" s="3"/>
    </row>
    <row r="2359" spans="1:260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2359" s="19"/>
      <c r="IY2359" s="3"/>
      <c r="IZ2359" s="3"/>
    </row>
    <row r="2360" spans="1:260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2360" s="19"/>
      <c r="IY2360" s="3"/>
      <c r="IZ2360" s="3"/>
    </row>
    <row r="2361" spans="1:260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2361" s="19"/>
      <c r="IY2361" s="3"/>
      <c r="IZ2361" s="3"/>
    </row>
    <row r="2362" spans="1:260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2362" s="19"/>
      <c r="IY2362" s="3"/>
      <c r="IZ2362" s="3"/>
    </row>
    <row r="2363" spans="1:260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2363" s="19"/>
      <c r="IY2363" s="3"/>
      <c r="IZ2363" s="3"/>
    </row>
    <row r="2364" spans="1:260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2364" s="19"/>
      <c r="IY2364" s="3"/>
      <c r="IZ2364" s="3"/>
    </row>
    <row r="2365" spans="1:260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2365" s="19"/>
      <c r="IY2365" s="3"/>
      <c r="IZ2365" s="3"/>
    </row>
    <row r="2366" spans="1:260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2366" s="19"/>
      <c r="IY2366" s="3"/>
      <c r="IZ2366" s="3"/>
    </row>
    <row r="2367" spans="1:260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2367" s="19"/>
      <c r="IY2367" s="3"/>
      <c r="IZ2367" s="3"/>
    </row>
    <row r="2368" spans="1:260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2368" s="19"/>
      <c r="IY2368" s="3"/>
      <c r="IZ2368" s="3"/>
    </row>
    <row r="2369" spans="1:260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2369" s="19"/>
      <c r="IY2369" s="3"/>
      <c r="IZ2369" s="3"/>
    </row>
    <row r="2370" spans="1:260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2370" s="19"/>
      <c r="IY2370" s="3"/>
      <c r="IZ2370" s="3"/>
    </row>
    <row r="2371" spans="1:260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2371" s="19"/>
      <c r="IY2371" s="3"/>
      <c r="IZ2371" s="3"/>
    </row>
    <row r="2372" spans="1:260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2372" s="19"/>
      <c r="IY2372" s="3"/>
      <c r="IZ2372" s="3"/>
    </row>
    <row r="2373" spans="1:260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2373" s="19"/>
      <c r="IY2373" s="3"/>
      <c r="IZ2373" s="3"/>
    </row>
    <row r="2374" spans="1:260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2374" s="19"/>
      <c r="IY2374" s="3"/>
      <c r="IZ2374" s="3"/>
    </row>
    <row r="2375" spans="1:260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2375" s="19"/>
      <c r="IY2375" s="3"/>
      <c r="IZ2375" s="3"/>
    </row>
    <row r="2376" spans="1:260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2376" s="19"/>
      <c r="IY2376" s="3"/>
      <c r="IZ2376" s="3"/>
    </row>
    <row r="2377" spans="1:260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2377" s="19"/>
      <c r="IY2377" s="3"/>
      <c r="IZ2377" s="3"/>
    </row>
    <row r="2378" spans="1:260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2378" s="19"/>
      <c r="IY2378" s="3"/>
      <c r="IZ2378" s="3"/>
    </row>
    <row r="2379" spans="1:260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2379" s="19"/>
      <c r="IY2379" s="3"/>
      <c r="IZ2379" s="3"/>
    </row>
    <row r="2380" spans="1:260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2380" s="19"/>
      <c r="IY2380" s="3"/>
      <c r="IZ2380" s="3"/>
    </row>
    <row r="2381" spans="1:260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2381" s="19"/>
      <c r="IY2381" s="3"/>
      <c r="IZ2381" s="3"/>
    </row>
    <row r="2382" spans="1:260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2382" s="19"/>
      <c r="IY2382" s="3"/>
      <c r="IZ2382" s="3"/>
    </row>
    <row r="2383" spans="1:260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2383" s="19"/>
      <c r="IY2383" s="3"/>
      <c r="IZ2383" s="3"/>
    </row>
    <row r="2384" spans="1:260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2384" s="19"/>
      <c r="IY2384" s="3"/>
      <c r="IZ2384" s="3"/>
    </row>
    <row r="2385" spans="1:260" x14ac:dyDescent="0.2">
      <c r="A2385" s="18"/>
      <c r="B2385" s="19"/>
      <c r="C2385" s="19"/>
      <c r="D2385" s="19"/>
      <c r="E2385" s="19"/>
      <c r="F2385" s="19"/>
      <c r="G2385" s="19"/>
      <c r="H2385" s="19"/>
      <c r="I2385" s="19"/>
      <c r="J2385" s="19"/>
      <c r="K2385" s="19"/>
      <c r="IY2385" s="3"/>
      <c r="IZ2385" s="3"/>
    </row>
    <row r="2386" spans="1:260" x14ac:dyDescent="0.2">
      <c r="A2386" s="18"/>
      <c r="B2386" s="19"/>
      <c r="C2386" s="19"/>
      <c r="D2386" s="19"/>
      <c r="E2386" s="19"/>
      <c r="F2386" s="19"/>
      <c r="G2386" s="19"/>
      <c r="H2386" s="19"/>
      <c r="I2386" s="19"/>
      <c r="J2386" s="19"/>
      <c r="K2386" s="19"/>
      <c r="IY2386" s="3"/>
      <c r="IZ2386" s="3"/>
    </row>
    <row r="2387" spans="1:260" x14ac:dyDescent="0.2">
      <c r="A2387" s="18"/>
      <c r="B2387" s="19"/>
      <c r="C2387" s="19"/>
      <c r="D2387" s="19"/>
      <c r="E2387" s="19"/>
      <c r="F2387" s="19"/>
      <c r="G2387" s="19"/>
      <c r="H2387" s="19"/>
      <c r="I2387" s="19"/>
      <c r="J2387" s="19"/>
      <c r="K2387" s="19"/>
      <c r="IY2387" s="3"/>
      <c r="IZ2387" s="3"/>
    </row>
    <row r="2388" spans="1:260" x14ac:dyDescent="0.2">
      <c r="A2388" s="18"/>
      <c r="B2388" s="19"/>
      <c r="C2388" s="19"/>
      <c r="D2388" s="19"/>
      <c r="E2388" s="19"/>
      <c r="F2388" s="19"/>
      <c r="G2388" s="19"/>
      <c r="H2388" s="19"/>
      <c r="I2388" s="19"/>
      <c r="J2388" s="19"/>
      <c r="K2388" s="19"/>
      <c r="IY2388" s="3"/>
      <c r="IZ2388" s="3"/>
    </row>
    <row r="2389" spans="1:260" x14ac:dyDescent="0.2">
      <c r="A2389" s="18"/>
      <c r="B2389" s="19"/>
      <c r="C2389" s="19"/>
      <c r="D2389" s="19"/>
      <c r="E2389" s="19"/>
      <c r="F2389" s="19"/>
      <c r="G2389" s="19"/>
      <c r="H2389" s="19"/>
      <c r="I2389" s="19"/>
      <c r="J2389" s="19"/>
      <c r="K2389" s="19"/>
      <c r="IY2389" s="3"/>
      <c r="IZ2389" s="3"/>
    </row>
    <row r="2390" spans="1:260" x14ac:dyDescent="0.2">
      <c r="A2390" s="18"/>
      <c r="B2390" s="19"/>
      <c r="C2390" s="19"/>
      <c r="D2390" s="19"/>
      <c r="E2390" s="19"/>
      <c r="F2390" s="19"/>
      <c r="G2390" s="19"/>
      <c r="H2390" s="19"/>
      <c r="I2390" s="19"/>
      <c r="J2390" s="19"/>
      <c r="K2390" s="19"/>
      <c r="IY2390" s="3"/>
      <c r="IZ2390" s="3"/>
    </row>
    <row r="2391" spans="1:260" x14ac:dyDescent="0.2">
      <c r="A2391" s="18"/>
      <c r="B2391" s="19"/>
      <c r="C2391" s="19"/>
      <c r="D2391" s="19"/>
      <c r="E2391" s="19"/>
      <c r="F2391" s="19"/>
      <c r="G2391" s="19"/>
      <c r="H2391" s="19"/>
      <c r="I2391" s="19"/>
      <c r="J2391" s="19"/>
      <c r="K2391" s="19"/>
      <c r="IY2391" s="3"/>
      <c r="IZ2391" s="3"/>
    </row>
    <row r="2392" spans="1:260" x14ac:dyDescent="0.2">
      <c r="A2392" s="18"/>
      <c r="B2392" s="19"/>
      <c r="C2392" s="19"/>
      <c r="D2392" s="19"/>
      <c r="E2392" s="19"/>
      <c r="F2392" s="19"/>
      <c r="G2392" s="19"/>
      <c r="H2392" s="19"/>
      <c r="I2392" s="19"/>
      <c r="J2392" s="19"/>
      <c r="K2392" s="19"/>
      <c r="IY2392" s="3"/>
      <c r="IZ2392" s="3"/>
    </row>
    <row r="2393" spans="1:260" x14ac:dyDescent="0.2">
      <c r="A2393" s="18"/>
      <c r="B2393" s="19"/>
      <c r="C2393" s="19"/>
      <c r="D2393" s="19"/>
      <c r="E2393" s="19"/>
      <c r="F2393" s="19"/>
      <c r="G2393" s="19"/>
      <c r="H2393" s="19"/>
      <c r="I2393" s="19"/>
      <c r="J2393" s="19"/>
      <c r="K2393" s="19"/>
      <c r="IY2393" s="3"/>
      <c r="IZ2393" s="3"/>
    </row>
    <row r="2394" spans="1:260" x14ac:dyDescent="0.2">
      <c r="A2394" s="18"/>
      <c r="B2394" s="19"/>
      <c r="C2394" s="19"/>
      <c r="D2394" s="19"/>
      <c r="E2394" s="19"/>
      <c r="F2394" s="19"/>
      <c r="G2394" s="19"/>
      <c r="H2394" s="19"/>
      <c r="I2394" s="19"/>
      <c r="J2394" s="19"/>
      <c r="K2394" s="19"/>
      <c r="IY2394" s="3"/>
      <c r="IZ2394" s="3"/>
    </row>
    <row r="2395" spans="1:260" x14ac:dyDescent="0.2">
      <c r="A2395" s="18"/>
      <c r="B2395" s="19"/>
      <c r="C2395" s="19"/>
      <c r="D2395" s="19"/>
      <c r="E2395" s="19"/>
      <c r="F2395" s="19"/>
      <c r="G2395" s="19"/>
      <c r="H2395" s="19"/>
      <c r="I2395" s="19"/>
      <c r="J2395" s="19"/>
      <c r="K2395" s="19"/>
      <c r="IY2395" s="3"/>
      <c r="IZ2395" s="3"/>
    </row>
    <row r="2396" spans="1:260" x14ac:dyDescent="0.2">
      <c r="A2396" s="18"/>
      <c r="B2396" s="19"/>
      <c r="C2396" s="19"/>
      <c r="D2396" s="19"/>
      <c r="E2396" s="19"/>
      <c r="F2396" s="19"/>
      <c r="G2396" s="19"/>
      <c r="H2396" s="19"/>
      <c r="I2396" s="19"/>
      <c r="J2396" s="19"/>
      <c r="K2396" s="19"/>
      <c r="IY2396" s="3"/>
      <c r="IZ2396" s="3"/>
    </row>
    <row r="2397" spans="1:260" x14ac:dyDescent="0.2">
      <c r="A2397" s="18"/>
      <c r="B2397" s="19"/>
      <c r="C2397" s="19"/>
      <c r="D2397" s="19"/>
      <c r="E2397" s="19"/>
      <c r="F2397" s="19"/>
      <c r="G2397" s="19"/>
      <c r="H2397" s="19"/>
      <c r="I2397" s="19"/>
      <c r="J2397" s="19"/>
      <c r="K2397" s="19"/>
      <c r="IY2397" s="3"/>
      <c r="IZ2397" s="3"/>
    </row>
  </sheetData>
  <sheetProtection formatCells="0" formatColumns="0" formatRows="0" insertColumns="0" insertRows="0" insertHyperlinks="0" deleteColumns="0" deleteRows="0" sort="0" autoFilter="0" pivotTables="0"/>
  <autoFilter ref="A1:IZ611">
    <sortState ref="A380:IX380">
      <sortCondition ref="B1:B409"/>
    </sortState>
  </autoFilter>
  <customSheetViews>
    <customSheetView guid="{B41285D4-7F16-4BC3-8288-DCA0600ADAEA}" filter="1" showAutoFilter="1" hiddenColumns="1">
      <pane xSplit="2" ySplit="1" topLeftCell="IY660" activePane="bottomRight" state="frozenSplit"/>
      <selection pane="bottomRight" activeCell="JO688" sqref="JO688"/>
      <rowBreaks count="1" manualBreakCount="1">
        <brk id="677" max="290" man="1"/>
      </rowBreaks>
      <pageMargins left="0.75" right="0.75" top="1" bottom="1" header="0.5" footer="0.5"/>
      <pageSetup paperSize="9" scale="60" orientation="portrait" horizontalDpi="300" verticalDpi="300" r:id="rId1"/>
      <headerFooter alignWithMargins="0"/>
      <autoFilter ref="A1:JQ678">
        <filterColumn colId="263">
          <customFilters>
            <customFilter operator="greaterThan" val="0"/>
          </customFilters>
        </filterColumn>
        <sortState ref="A380:IX380">
          <sortCondition ref="B1:B409"/>
        </sortState>
      </autoFilter>
    </customSheetView>
  </customSheetViews>
  <phoneticPr fontId="0" type="noConversion"/>
  <pageMargins left="0.75" right="0.75" top="1" bottom="1" header="0.5" footer="0.5"/>
  <pageSetup paperSize="9" scale="60" orientation="portrait" horizontalDpi="300" verticalDpi="300" r:id="rId2"/>
  <headerFooter alignWithMargins="0"/>
  <rowBreaks count="1" manualBreakCount="1">
    <brk id="610" max="29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2.75" x14ac:dyDescent="0.2"/>
  <sheetData/>
  <customSheetViews>
    <customSheetView guid="{B41285D4-7F16-4BC3-8288-DCA0600ADAEA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отгрузка</vt:lpstr>
      <vt:lpstr>Лист1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cp:lastPrinted>2018-09-04T08:30:24Z</cp:lastPrinted>
  <dcterms:created xsi:type="dcterms:W3CDTF">2002-05-06T11:33:47Z</dcterms:created>
  <dcterms:modified xsi:type="dcterms:W3CDTF">2021-12-17T11:04:43Z</dcterms:modified>
</cp:coreProperties>
</file>
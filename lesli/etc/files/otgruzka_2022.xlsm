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-12" yWindow="10968" windowWidth="19440" windowHeight="1188" tabRatio="601" activeTab="1"/>
  </bookViews>
  <sheets>
    <sheet name="отгрузка" sheetId="10" r:id="rId1"/>
    <sheet name="склад" sheetId="11" r:id="rId2"/>
  </sheets>
  <definedNames>
    <definedName name="_xlnm._FilterDatabase" localSheetId="0" hidden="1">отгрузка!$A$1:$OD$179</definedName>
    <definedName name="_xlnm._FilterDatabase" localSheetId="1" hidden="1">склад!$A$1:$CE$374</definedName>
    <definedName name="_xlnm.Print_Area" localSheetId="0">отгрузка!$A$1:$OD$178</definedName>
    <definedName name="_xlnm.Print_Area" localSheetId="1">склад!$A$1:$CE$392</definedName>
  </definedNames>
  <calcPr calcId="144525"/>
</workbook>
</file>

<file path=xl/calcChain.xml><?xml version="1.0" encoding="utf-8"?>
<calcChain xmlns="http://schemas.openxmlformats.org/spreadsheetml/2006/main">
  <c r="B223" i="11" l="1"/>
  <c r="F223" i="11" s="1"/>
  <c r="B121" i="11"/>
  <c r="F121" i="11" s="1"/>
  <c r="B30" i="11"/>
  <c r="F30" i="11" s="1"/>
  <c r="B31" i="11"/>
  <c r="F31" i="11" s="1"/>
  <c r="B26" i="11"/>
  <c r="F26" i="11" s="1"/>
  <c r="B275" i="11"/>
  <c r="F275" i="11" s="1"/>
  <c r="B358" i="11"/>
  <c r="F358" i="11" s="1"/>
  <c r="CE223" i="11" l="1"/>
  <c r="CE121" i="11"/>
  <c r="CE31" i="11"/>
  <c r="CE30" i="11"/>
  <c r="CE26" i="11"/>
  <c r="CE275" i="11"/>
  <c r="CE358" i="11"/>
  <c r="OC111" i="10"/>
  <c r="OC122" i="10"/>
  <c r="OC15" i="10"/>
  <c r="CE379" i="11"/>
  <c r="CE378" i="11"/>
  <c r="BE380" i="11"/>
  <c r="BE374" i="11"/>
  <c r="NZ177" i="10"/>
  <c r="OB177" i="10" s="1"/>
  <c r="OD177" i="10"/>
  <c r="NW177" i="10"/>
  <c r="CC374" i="11"/>
  <c r="OC178" i="10"/>
  <c r="NY178" i="10"/>
  <c r="NZ176" i="10"/>
  <c r="OB176" i="10" s="1"/>
  <c r="OD176" i="10"/>
  <c r="NW176" i="10"/>
  <c r="OC23" i="10" l="1"/>
  <c r="NZ175" i="10"/>
  <c r="OB175" i="10" s="1"/>
  <c r="OD175" i="10"/>
  <c r="NW175" i="10"/>
  <c r="CB374" i="11" l="1"/>
  <c r="NZ174" i="10"/>
  <c r="OB174" i="10" s="1"/>
  <c r="OD174" i="10"/>
  <c r="NW174" i="10"/>
  <c r="BG374" i="11"/>
  <c r="BH374" i="11"/>
  <c r="BI374" i="11"/>
  <c r="BJ374" i="11"/>
  <c r="BK374" i="11"/>
  <c r="BL374" i="11"/>
  <c r="BM374" i="11"/>
  <c r="BN374" i="11"/>
  <c r="BO374" i="11"/>
  <c r="BP374" i="11"/>
  <c r="BQ374" i="11"/>
  <c r="BR374" i="11"/>
  <c r="BS374" i="11"/>
  <c r="BT374" i="11"/>
  <c r="BU374" i="11"/>
  <c r="BV374" i="11"/>
  <c r="BW374" i="11"/>
  <c r="BX374" i="11"/>
  <c r="BY374" i="11"/>
  <c r="BZ374" i="11"/>
  <c r="CA374" i="11"/>
  <c r="NZ173" i="10"/>
  <c r="OB173" i="10" s="1"/>
  <c r="OD173" i="10"/>
  <c r="NW173" i="10"/>
  <c r="NZ172" i="10"/>
  <c r="OB172" i="10" s="1"/>
  <c r="OD172" i="10"/>
  <c r="NW172" i="10"/>
  <c r="NZ171" i="10" l="1"/>
  <c r="OB171" i="10" s="1"/>
  <c r="NW171" i="10"/>
  <c r="OD171" i="10"/>
  <c r="NZ170" i="10" l="1"/>
  <c r="OB170" i="10" s="1"/>
  <c r="OD170" i="10"/>
  <c r="NW170" i="10"/>
  <c r="NZ169" i="10"/>
  <c r="OB169" i="10" s="1"/>
  <c r="OD169" i="10"/>
  <c r="NW169" i="10"/>
  <c r="NZ168" i="10"/>
  <c r="OB168" i="10" s="1"/>
  <c r="OD168" i="10"/>
  <c r="NW168" i="10"/>
  <c r="NZ167" i="10"/>
  <c r="OB167" i="10" s="1"/>
  <c r="OD167" i="10"/>
  <c r="NW167" i="10"/>
  <c r="NZ166" i="10"/>
  <c r="OB166" i="10" s="1"/>
  <c r="OD166" i="10"/>
  <c r="NW166" i="10"/>
  <c r="OD165" i="10"/>
  <c r="NZ165" i="10"/>
  <c r="OB165" i="10" s="1"/>
  <c r="NW165" i="10"/>
  <c r="OD164" i="10"/>
  <c r="NZ164" i="10"/>
  <c r="OB164" i="10" s="1"/>
  <c r="NW164" i="10"/>
  <c r="OC102" i="10" l="1"/>
  <c r="NZ163" i="10"/>
  <c r="OB163" i="10" s="1"/>
  <c r="OD163" i="10"/>
  <c r="NW163" i="10"/>
  <c r="OD162" i="10" l="1"/>
  <c r="NZ162" i="10"/>
  <c r="OB162" i="10" s="1"/>
  <c r="NW162" i="10"/>
  <c r="NZ161" i="10"/>
  <c r="OB161" i="10" s="1"/>
  <c r="OD161" i="10"/>
  <c r="NW161" i="10"/>
  <c r="NZ160" i="10"/>
  <c r="OB160" i="10" s="1"/>
  <c r="OD160" i="10"/>
  <c r="NW160" i="10"/>
  <c r="NZ159" i="10" l="1"/>
  <c r="OB159" i="10" s="1"/>
  <c r="OD159" i="10"/>
  <c r="NW159" i="10"/>
  <c r="NZ158" i="10"/>
  <c r="OB158" i="10" s="1"/>
  <c r="OD158" i="10"/>
  <c r="NW158" i="10"/>
  <c r="NZ156" i="10"/>
  <c r="OB156" i="10" s="1"/>
  <c r="NZ157" i="10"/>
  <c r="OB157" i="10" s="1"/>
  <c r="OD157" i="10"/>
  <c r="NW157" i="10"/>
  <c r="OD156" i="10"/>
  <c r="NW156" i="10"/>
  <c r="NZ155" i="10"/>
  <c r="OB155" i="10" s="1"/>
  <c r="OD155" i="10"/>
  <c r="NW155" i="10"/>
  <c r="NZ154" i="10"/>
  <c r="OB154" i="10" s="1"/>
  <c r="OD154" i="10"/>
  <c r="NW154" i="10"/>
  <c r="NZ153" i="10" l="1"/>
  <c r="OB153" i="10" s="1"/>
  <c r="OD153" i="10"/>
  <c r="NW153" i="10"/>
  <c r="NZ152" i="10"/>
  <c r="OB152" i="10" s="1"/>
  <c r="OD152" i="10"/>
  <c r="NW152" i="10"/>
  <c r="NZ151" i="10"/>
  <c r="OB151" i="10" s="1"/>
  <c r="OD151" i="10"/>
  <c r="NW151" i="10"/>
  <c r="C178" i="10"/>
  <c r="D178" i="10"/>
  <c r="E178" i="10"/>
  <c r="F178" i="10"/>
  <c r="G178" i="10"/>
  <c r="H178" i="10"/>
  <c r="I178" i="10"/>
  <c r="J178" i="10"/>
  <c r="K178" i="10"/>
  <c r="L178" i="10"/>
  <c r="M178" i="10"/>
  <c r="N178" i="10"/>
  <c r="O178" i="10"/>
  <c r="P178" i="10"/>
  <c r="Q178" i="10"/>
  <c r="R178" i="10"/>
  <c r="S178" i="10"/>
  <c r="T178" i="10"/>
  <c r="U178" i="10"/>
  <c r="V178" i="10"/>
  <c r="W178" i="10"/>
  <c r="X178" i="10"/>
  <c r="Y178" i="10"/>
  <c r="Z178" i="10"/>
  <c r="AA178" i="10"/>
  <c r="AB178" i="10"/>
  <c r="AC178" i="10"/>
  <c r="AD178" i="10"/>
  <c r="AE178" i="10"/>
  <c r="AF178" i="10"/>
  <c r="AG178" i="10"/>
  <c r="AH178" i="10"/>
  <c r="AI178" i="10"/>
  <c r="AJ178" i="10"/>
  <c r="AK178" i="10"/>
  <c r="AL178" i="10"/>
  <c r="AM178" i="10"/>
  <c r="AN178" i="10"/>
  <c r="AO178" i="10"/>
  <c r="AP178" i="10"/>
  <c r="AQ178" i="10"/>
  <c r="AR178" i="10"/>
  <c r="AS178" i="10"/>
  <c r="AT178" i="10"/>
  <c r="AU178" i="10"/>
  <c r="AV178" i="10"/>
  <c r="AW178" i="10"/>
  <c r="AX178" i="10"/>
  <c r="AY178" i="10"/>
  <c r="AZ178" i="10"/>
  <c r="BA178" i="10"/>
  <c r="BB178" i="10"/>
  <c r="BC178" i="10"/>
  <c r="BD178" i="10"/>
  <c r="BE178" i="10"/>
  <c r="BF178" i="10"/>
  <c r="BG178" i="10"/>
  <c r="BH178" i="10"/>
  <c r="BI178" i="10"/>
  <c r="BJ178" i="10"/>
  <c r="BK178" i="10"/>
  <c r="BL178" i="10"/>
  <c r="BM178" i="10"/>
  <c r="BN178" i="10"/>
  <c r="BO178" i="10"/>
  <c r="BP178" i="10"/>
  <c r="BQ178" i="10"/>
  <c r="BR178" i="10"/>
  <c r="BS178" i="10"/>
  <c r="BT178" i="10"/>
  <c r="BU178" i="10"/>
  <c r="BV178" i="10"/>
  <c r="BW178" i="10"/>
  <c r="BX178" i="10"/>
  <c r="BY178" i="10"/>
  <c r="BZ178" i="10"/>
  <c r="CA178" i="10"/>
  <c r="CB178" i="10"/>
  <c r="CC178" i="10"/>
  <c r="CD178" i="10"/>
  <c r="CE178" i="10"/>
  <c r="CF178" i="10"/>
  <c r="CG178" i="10"/>
  <c r="CH178" i="10"/>
  <c r="CI178" i="10"/>
  <c r="CJ178" i="10"/>
  <c r="CK178" i="10"/>
  <c r="CL178" i="10"/>
  <c r="CM178" i="10"/>
  <c r="CN178" i="10"/>
  <c r="CO178" i="10"/>
  <c r="CP178" i="10"/>
  <c r="CQ178" i="10"/>
  <c r="CR178" i="10"/>
  <c r="CS178" i="10"/>
  <c r="CT178" i="10"/>
  <c r="CU178" i="10"/>
  <c r="CV178" i="10"/>
  <c r="CW178" i="10"/>
  <c r="CX178" i="10"/>
  <c r="CY178" i="10"/>
  <c r="CZ178" i="10"/>
  <c r="DA178" i="10"/>
  <c r="DB178" i="10"/>
  <c r="DC178" i="10"/>
  <c r="DD178" i="10"/>
  <c r="DE178" i="10"/>
  <c r="DF178" i="10"/>
  <c r="DG178" i="10"/>
  <c r="DH178" i="10"/>
  <c r="DI178" i="10"/>
  <c r="DJ178" i="10"/>
  <c r="DK178" i="10"/>
  <c r="DL178" i="10"/>
  <c r="DM178" i="10"/>
  <c r="DN178" i="10"/>
  <c r="DO178" i="10"/>
  <c r="DP178" i="10"/>
  <c r="DQ178" i="10"/>
  <c r="DR178" i="10"/>
  <c r="DS178" i="10"/>
  <c r="DT178" i="10"/>
  <c r="DU178" i="10"/>
  <c r="DV178" i="10"/>
  <c r="DW178" i="10"/>
  <c r="DX178" i="10"/>
  <c r="DY178" i="10"/>
  <c r="DZ178" i="10"/>
  <c r="EA178" i="10"/>
  <c r="EB178" i="10"/>
  <c r="EC178" i="10"/>
  <c r="ED178" i="10"/>
  <c r="EE178" i="10"/>
  <c r="EF178" i="10"/>
  <c r="EG178" i="10"/>
  <c r="EH178" i="10"/>
  <c r="EI178" i="10"/>
  <c r="EJ178" i="10"/>
  <c r="EK178" i="10"/>
  <c r="EL178" i="10"/>
  <c r="EM178" i="10"/>
  <c r="EN178" i="10"/>
  <c r="EO178" i="10"/>
  <c r="EP178" i="10"/>
  <c r="EQ178" i="10"/>
  <c r="ER178" i="10"/>
  <c r="ES178" i="10"/>
  <c r="ET178" i="10"/>
  <c r="EU178" i="10"/>
  <c r="EV178" i="10"/>
  <c r="EW178" i="10"/>
  <c r="EX178" i="10"/>
  <c r="EY178" i="10"/>
  <c r="EZ178" i="10"/>
  <c r="FA178" i="10"/>
  <c r="FB178" i="10"/>
  <c r="FC178" i="10"/>
  <c r="FD178" i="10"/>
  <c r="FE178" i="10"/>
  <c r="FF178" i="10"/>
  <c r="FG178" i="10"/>
  <c r="FH178" i="10"/>
  <c r="FI178" i="10"/>
  <c r="FJ178" i="10"/>
  <c r="FK178" i="10"/>
  <c r="FL178" i="10"/>
  <c r="FM178" i="10"/>
  <c r="FN178" i="10"/>
  <c r="FO178" i="10"/>
  <c r="FP178" i="10"/>
  <c r="FQ178" i="10"/>
  <c r="FR178" i="10"/>
  <c r="FS178" i="10"/>
  <c r="FT178" i="10"/>
  <c r="FU178" i="10"/>
  <c r="FV178" i="10"/>
  <c r="FW178" i="10"/>
  <c r="FX178" i="10"/>
  <c r="FY178" i="10"/>
  <c r="FZ178" i="10"/>
  <c r="GA178" i="10"/>
  <c r="GB178" i="10"/>
  <c r="GC178" i="10"/>
  <c r="GD178" i="10"/>
  <c r="GE178" i="10"/>
  <c r="GF178" i="10"/>
  <c r="GG178" i="10"/>
  <c r="GH178" i="10"/>
  <c r="GI178" i="10"/>
  <c r="GJ178" i="10"/>
  <c r="GK178" i="10"/>
  <c r="GL178" i="10"/>
  <c r="GM178" i="10"/>
  <c r="GN178" i="10"/>
  <c r="GO178" i="10"/>
  <c r="GP178" i="10"/>
  <c r="GQ178" i="10"/>
  <c r="GR178" i="10"/>
  <c r="GS178" i="10"/>
  <c r="GT178" i="10"/>
  <c r="GU178" i="10"/>
  <c r="GV178" i="10"/>
  <c r="GW178" i="10"/>
  <c r="GX178" i="10"/>
  <c r="GY178" i="10"/>
  <c r="GZ178" i="10"/>
  <c r="HA178" i="10"/>
  <c r="HB178" i="10"/>
  <c r="HC178" i="10"/>
  <c r="HD178" i="10"/>
  <c r="HE178" i="10"/>
  <c r="HF178" i="10"/>
  <c r="HG178" i="10"/>
  <c r="HH178" i="10"/>
  <c r="HI178" i="10"/>
  <c r="HJ178" i="10"/>
  <c r="HK178" i="10"/>
  <c r="HL178" i="10"/>
  <c r="HM178" i="10"/>
  <c r="HN178" i="10"/>
  <c r="HO178" i="10"/>
  <c r="HP178" i="10"/>
  <c r="HQ178" i="10"/>
  <c r="HR178" i="10"/>
  <c r="HS178" i="10"/>
  <c r="HT178" i="10"/>
  <c r="HU178" i="10"/>
  <c r="HV178" i="10"/>
  <c r="HW178" i="10"/>
  <c r="HX178" i="10"/>
  <c r="HY178" i="10"/>
  <c r="HZ178" i="10"/>
  <c r="IA178" i="10"/>
  <c r="IB178" i="10"/>
  <c r="IC178" i="10"/>
  <c r="ID178" i="10"/>
  <c r="IE178" i="10"/>
  <c r="IF178" i="10"/>
  <c r="IG178" i="10"/>
  <c r="IH178" i="10"/>
  <c r="II178" i="10"/>
  <c r="IJ178" i="10"/>
  <c r="IK178" i="10"/>
  <c r="IL178" i="10"/>
  <c r="IM178" i="10"/>
  <c r="IN178" i="10"/>
  <c r="IO178" i="10"/>
  <c r="IP178" i="10"/>
  <c r="IQ178" i="10"/>
  <c r="IR178" i="10"/>
  <c r="IS178" i="10"/>
  <c r="IT178" i="10"/>
  <c r="IU178" i="10"/>
  <c r="IV178" i="10"/>
  <c r="IW178" i="10"/>
  <c r="IX178" i="10"/>
  <c r="IY178" i="10"/>
  <c r="IZ178" i="10"/>
  <c r="JA178" i="10"/>
  <c r="JB178" i="10"/>
  <c r="JC178" i="10"/>
  <c r="JD178" i="10"/>
  <c r="JE178" i="10"/>
  <c r="JF178" i="10"/>
  <c r="JG178" i="10"/>
  <c r="JH178" i="10"/>
  <c r="JI178" i="10"/>
  <c r="JJ178" i="10"/>
  <c r="JK178" i="10"/>
  <c r="JL178" i="10"/>
  <c r="JM178" i="10"/>
  <c r="JN178" i="10"/>
  <c r="JO178" i="10"/>
  <c r="JP178" i="10"/>
  <c r="JQ178" i="10"/>
  <c r="JR178" i="10"/>
  <c r="JS178" i="10"/>
  <c r="JT178" i="10"/>
  <c r="JU178" i="10"/>
  <c r="JV178" i="10"/>
  <c r="JW178" i="10"/>
  <c r="JX178" i="10"/>
  <c r="JY178" i="10"/>
  <c r="JZ178" i="10"/>
  <c r="KA178" i="10"/>
  <c r="KB178" i="10"/>
  <c r="KC178" i="10"/>
  <c r="KD178" i="10"/>
  <c r="KE178" i="10"/>
  <c r="KF178" i="10"/>
  <c r="KG178" i="10"/>
  <c r="KH178" i="10"/>
  <c r="KI178" i="10"/>
  <c r="KJ178" i="10"/>
  <c r="KK178" i="10"/>
  <c r="KL178" i="10"/>
  <c r="KM178" i="10"/>
  <c r="KN178" i="10"/>
  <c r="KO178" i="10"/>
  <c r="KP178" i="10"/>
  <c r="KQ178" i="10"/>
  <c r="KR178" i="10"/>
  <c r="KS178" i="10"/>
  <c r="KT178" i="10"/>
  <c r="KU178" i="10"/>
  <c r="KV178" i="10"/>
  <c r="KW178" i="10"/>
  <c r="KX178" i="10"/>
  <c r="KY178" i="10"/>
  <c r="KZ178" i="10"/>
  <c r="LA178" i="10"/>
  <c r="LB178" i="10"/>
  <c r="LC178" i="10"/>
  <c r="LD178" i="10"/>
  <c r="LE178" i="10"/>
  <c r="LF178" i="10"/>
  <c r="LG178" i="10"/>
  <c r="LH178" i="10"/>
  <c r="LI178" i="10"/>
  <c r="LJ178" i="10"/>
  <c r="LK178" i="10"/>
  <c r="LL178" i="10"/>
  <c r="LM178" i="10"/>
  <c r="LN178" i="10"/>
  <c r="LO178" i="10"/>
  <c r="LP178" i="10"/>
  <c r="LQ178" i="10"/>
  <c r="LR178" i="10"/>
  <c r="LS178" i="10"/>
  <c r="LT178" i="10"/>
  <c r="LU178" i="10"/>
  <c r="LV178" i="10"/>
  <c r="LW178" i="10"/>
  <c r="LX178" i="10"/>
  <c r="LY178" i="10"/>
  <c r="LZ178" i="10"/>
  <c r="MA178" i="10"/>
  <c r="MB178" i="10"/>
  <c r="MC178" i="10"/>
  <c r="MD178" i="10"/>
  <c r="ME178" i="10"/>
  <c r="MF178" i="10"/>
  <c r="MG178" i="10"/>
  <c r="MH178" i="10"/>
  <c r="MI178" i="10"/>
  <c r="MJ178" i="10"/>
  <c r="MK178" i="10"/>
  <c r="ML178" i="10"/>
  <c r="MM178" i="10"/>
  <c r="MN178" i="10"/>
  <c r="MO178" i="10"/>
  <c r="MP178" i="10"/>
  <c r="MQ178" i="10"/>
  <c r="MR178" i="10"/>
  <c r="MS178" i="10"/>
  <c r="MT178" i="10"/>
  <c r="MU178" i="10"/>
  <c r="MV178" i="10"/>
  <c r="MW178" i="10"/>
  <c r="MX178" i="10"/>
  <c r="MY178" i="10"/>
  <c r="MZ178" i="10"/>
  <c r="NA178" i="10"/>
  <c r="NB178" i="10"/>
  <c r="NC178" i="10"/>
  <c r="ND178" i="10"/>
  <c r="NE178" i="10"/>
  <c r="NF178" i="10"/>
  <c r="NG178" i="10"/>
  <c r="NH178" i="10"/>
  <c r="NI178" i="10"/>
  <c r="NJ178" i="10"/>
  <c r="NK178" i="10"/>
  <c r="NL178" i="10"/>
  <c r="NM178" i="10"/>
  <c r="NN178" i="10"/>
  <c r="NO178" i="10"/>
  <c r="NP178" i="10"/>
  <c r="NQ178" i="10"/>
  <c r="NR178" i="10"/>
  <c r="NS178" i="10"/>
  <c r="NT178" i="10"/>
  <c r="NU178" i="10"/>
  <c r="NV178" i="10"/>
  <c r="OC118" i="10" l="1"/>
  <c r="B259" i="11" l="1"/>
  <c r="F259" i="11" s="1"/>
  <c r="B239" i="11"/>
  <c r="F239" i="11" s="1"/>
  <c r="B220" i="11"/>
  <c r="F220" i="11" s="1"/>
  <c r="B94" i="11"/>
  <c r="F94" i="11" s="1"/>
  <c r="B74" i="11"/>
  <c r="F74" i="11" s="1"/>
  <c r="B84" i="11"/>
  <c r="F84" i="11" s="1"/>
  <c r="BD380" i="11"/>
  <c r="AX374" i="11"/>
  <c r="AY374" i="11"/>
  <c r="AZ374" i="11"/>
  <c r="BA374" i="11"/>
  <c r="BB374" i="11"/>
  <c r="BC374" i="11"/>
  <c r="BD374" i="11"/>
  <c r="B342" i="11"/>
  <c r="F342" i="11" s="1"/>
  <c r="B362" i="11"/>
  <c r="F362" i="11" s="1"/>
  <c r="CE389" i="11"/>
  <c r="CE388" i="11"/>
  <c r="BF390" i="11"/>
  <c r="CE390" i="11" l="1"/>
  <c r="CE94" i="11"/>
  <c r="CE259" i="11"/>
  <c r="CE239" i="11"/>
  <c r="CE220" i="11"/>
  <c r="CE74" i="11"/>
  <c r="CE84" i="11"/>
  <c r="CE362" i="11"/>
  <c r="CE342" i="11"/>
  <c r="NZ150" i="10" l="1"/>
  <c r="OB150" i="10" s="1"/>
  <c r="OD150" i="10"/>
  <c r="NW150" i="10"/>
  <c r="NZ149" i="10"/>
  <c r="OB149" i="10" s="1"/>
  <c r="OD149" i="10"/>
  <c r="NW149" i="10"/>
  <c r="OC36" i="10" l="1"/>
  <c r="NZ148" i="10" l="1"/>
  <c r="OB148" i="10" s="1"/>
  <c r="OD148" i="10"/>
  <c r="NW148" i="10"/>
  <c r="OD147" i="10" l="1"/>
  <c r="NZ147" i="10"/>
  <c r="OB147" i="10" s="1"/>
  <c r="NW147" i="10"/>
  <c r="OA146" i="10" l="1"/>
  <c r="NZ146" i="10"/>
  <c r="OB146" i="10" s="1"/>
  <c r="OD146" i="10"/>
  <c r="NW146" i="10"/>
  <c r="NZ145" i="10" l="1"/>
  <c r="OB145" i="10" s="1"/>
  <c r="OD145" i="10"/>
  <c r="NW145" i="10"/>
  <c r="NZ144" i="10"/>
  <c r="OB144" i="10" s="1"/>
  <c r="OD144" i="10"/>
  <c r="NW144" i="10"/>
  <c r="NZ143" i="10"/>
  <c r="OB143" i="10" s="1"/>
  <c r="OD143" i="10"/>
  <c r="NW143" i="10"/>
  <c r="AW374" i="11"/>
  <c r="NZ142" i="10"/>
  <c r="OB142" i="10" s="1"/>
  <c r="OD142" i="10"/>
  <c r="NW142" i="10"/>
  <c r="NZ141" i="10"/>
  <c r="OB141" i="10" s="1"/>
  <c r="OD141" i="10"/>
  <c r="NW141" i="10"/>
  <c r="NZ140" i="10" l="1"/>
  <c r="OB140" i="10" s="1"/>
  <c r="OD140" i="10"/>
  <c r="NW140" i="10"/>
  <c r="NZ139" i="10" l="1"/>
  <c r="OB139" i="10" s="1"/>
  <c r="OD139" i="10"/>
  <c r="NW139" i="10"/>
  <c r="NZ138" i="10"/>
  <c r="OB138" i="10" s="1"/>
  <c r="OD138" i="10"/>
  <c r="NW138" i="10"/>
  <c r="NZ137" i="10"/>
  <c r="OB137" i="10" s="1"/>
  <c r="OD137" i="10"/>
  <c r="NW137" i="10"/>
  <c r="NZ136" i="10"/>
  <c r="OB136" i="10" s="1"/>
  <c r="OD136" i="10"/>
  <c r="NW136" i="10"/>
  <c r="OC35" i="10"/>
  <c r="NZ135" i="10" l="1"/>
  <c r="OB135" i="10" s="1"/>
  <c r="OD135" i="10"/>
  <c r="NW135" i="10"/>
  <c r="NZ134" i="10"/>
  <c r="OB134" i="10" s="1"/>
  <c r="OD134" i="10"/>
  <c r="NW134" i="10"/>
  <c r="NZ133" i="10"/>
  <c r="OB133" i="10" s="1"/>
  <c r="OD133" i="10"/>
  <c r="NW133" i="10"/>
  <c r="NZ132" i="10"/>
  <c r="OB132" i="10" s="1"/>
  <c r="OD132" i="10"/>
  <c r="NW132" i="10"/>
  <c r="NZ131" i="10" l="1"/>
  <c r="OB131" i="10" s="1"/>
  <c r="OD131" i="10"/>
  <c r="NW131" i="10"/>
  <c r="AU374" i="11" l="1"/>
  <c r="AV374" i="11"/>
  <c r="AW380" i="11" l="1"/>
  <c r="B277" i="11"/>
  <c r="F277" i="11" s="1"/>
  <c r="B274" i="11"/>
  <c r="F274" i="11" s="1"/>
  <c r="B368" i="11"/>
  <c r="F368" i="11" s="1"/>
  <c r="B369" i="11"/>
  <c r="F369" i="11" s="1"/>
  <c r="B370" i="11"/>
  <c r="F370" i="11" s="1"/>
  <c r="B371" i="11"/>
  <c r="F371" i="11" s="1"/>
  <c r="B352" i="11"/>
  <c r="F352" i="11" s="1"/>
  <c r="B353" i="11"/>
  <c r="F353" i="11" s="1"/>
  <c r="B354" i="11"/>
  <c r="F354" i="11" s="1"/>
  <c r="B355" i="11"/>
  <c r="F355" i="11" s="1"/>
  <c r="B356" i="11"/>
  <c r="F356" i="11" s="1"/>
  <c r="B357" i="11"/>
  <c r="F357" i="11" s="1"/>
  <c r="B359" i="11"/>
  <c r="B360" i="11"/>
  <c r="F360" i="11" s="1"/>
  <c r="B361" i="11"/>
  <c r="B363" i="11"/>
  <c r="F363" i="11" s="1"/>
  <c r="B364" i="11"/>
  <c r="B365" i="11"/>
  <c r="B334" i="11"/>
  <c r="F334" i="11" s="1"/>
  <c r="B335" i="11"/>
  <c r="F335" i="11" s="1"/>
  <c r="B336" i="11"/>
  <c r="F336" i="11" s="1"/>
  <c r="B337" i="11"/>
  <c r="B338" i="11"/>
  <c r="F338" i="11" s="1"/>
  <c r="B339" i="11"/>
  <c r="F339" i="11" s="1"/>
  <c r="B340" i="11"/>
  <c r="B341" i="11"/>
  <c r="B343" i="11"/>
  <c r="F343" i="11" s="1"/>
  <c r="B344" i="11"/>
  <c r="F344" i="11" s="1"/>
  <c r="B345" i="11"/>
  <c r="B346" i="11"/>
  <c r="B347" i="11"/>
  <c r="F347" i="11" s="1"/>
  <c r="B348" i="11"/>
  <c r="F348" i="11" s="1"/>
  <c r="B349" i="11"/>
  <c r="B350" i="11"/>
  <c r="B351" i="11"/>
  <c r="F351" i="11" s="1"/>
  <c r="B307" i="11"/>
  <c r="F307" i="11" s="1"/>
  <c r="B308" i="11"/>
  <c r="F308" i="11" s="1"/>
  <c r="B309" i="11"/>
  <c r="F309" i="11" s="1"/>
  <c r="B310" i="11"/>
  <c r="B311" i="11"/>
  <c r="F311" i="11" s="1"/>
  <c r="B312" i="11"/>
  <c r="F312" i="11" s="1"/>
  <c r="B313" i="11"/>
  <c r="F313" i="11" s="1"/>
  <c r="B314" i="11"/>
  <c r="B315" i="11"/>
  <c r="F315" i="11" s="1"/>
  <c r="B316" i="11"/>
  <c r="B317" i="11"/>
  <c r="F317" i="11" s="1"/>
  <c r="B318" i="11"/>
  <c r="B319" i="11"/>
  <c r="F319" i="11" s="1"/>
  <c r="B320" i="11"/>
  <c r="B321" i="11"/>
  <c r="F321" i="11" s="1"/>
  <c r="B322" i="11"/>
  <c r="F322" i="11" s="1"/>
  <c r="B323" i="11"/>
  <c r="F323" i="11" s="1"/>
  <c r="B324" i="11"/>
  <c r="F324" i="11" s="1"/>
  <c r="B325" i="11"/>
  <c r="F325" i="11" s="1"/>
  <c r="B326" i="11"/>
  <c r="B327" i="11"/>
  <c r="B328" i="11"/>
  <c r="B329" i="11"/>
  <c r="F329" i="11" s="1"/>
  <c r="B330" i="11"/>
  <c r="F330" i="11" s="1"/>
  <c r="B331" i="11"/>
  <c r="F331" i="11" s="1"/>
  <c r="B332" i="11"/>
  <c r="B333" i="11"/>
  <c r="F333" i="11" s="1"/>
  <c r="B288" i="11"/>
  <c r="F288" i="11" s="1"/>
  <c r="B289" i="11"/>
  <c r="B290" i="11"/>
  <c r="B291" i="11"/>
  <c r="B292" i="11"/>
  <c r="B293" i="11"/>
  <c r="B294" i="11"/>
  <c r="F294" i="11" s="1"/>
  <c r="B295" i="11"/>
  <c r="F295" i="11" s="1"/>
  <c r="B296" i="11"/>
  <c r="F296" i="11" s="1"/>
  <c r="B297" i="11"/>
  <c r="F297" i="11" s="1"/>
  <c r="B298" i="11"/>
  <c r="F298" i="11" s="1"/>
  <c r="B299" i="11"/>
  <c r="F299" i="11" s="1"/>
  <c r="B300" i="11"/>
  <c r="F300" i="11" s="1"/>
  <c r="B301" i="11"/>
  <c r="B302" i="11"/>
  <c r="B303" i="11"/>
  <c r="F303" i="11" s="1"/>
  <c r="B304" i="11"/>
  <c r="F304" i="11" s="1"/>
  <c r="B305" i="11"/>
  <c r="B306" i="11"/>
  <c r="F306" i="11" s="1"/>
  <c r="B267" i="11"/>
  <c r="F267" i="11" s="1"/>
  <c r="B268" i="11"/>
  <c r="F268" i="11" s="1"/>
  <c r="B269" i="11"/>
  <c r="F269" i="11" s="1"/>
  <c r="B270" i="11"/>
  <c r="B271" i="11"/>
  <c r="B272" i="11"/>
  <c r="F272" i="11" s="1"/>
  <c r="B273" i="11"/>
  <c r="F273" i="11" s="1"/>
  <c r="B276" i="11"/>
  <c r="F276" i="11" s="1"/>
  <c r="B278" i="11"/>
  <c r="F278" i="11" s="1"/>
  <c r="B279" i="11"/>
  <c r="F279" i="11" s="1"/>
  <c r="B280" i="11"/>
  <c r="F280" i="11" s="1"/>
  <c r="B281" i="11"/>
  <c r="F281" i="11" s="1"/>
  <c r="B282" i="11"/>
  <c r="F282" i="11" s="1"/>
  <c r="B283" i="11"/>
  <c r="F283" i="11" s="1"/>
  <c r="B284" i="11"/>
  <c r="F284" i="11" s="1"/>
  <c r="B285" i="11"/>
  <c r="F285" i="11" s="1"/>
  <c r="B249" i="11"/>
  <c r="F249" i="11" s="1"/>
  <c r="B250" i="11"/>
  <c r="CE250" i="11" s="1"/>
  <c r="B251" i="11"/>
  <c r="F251" i="11" s="1"/>
  <c r="B252" i="11"/>
  <c r="F252" i="11" s="1"/>
  <c r="B253" i="11"/>
  <c r="CE253" i="11" s="1"/>
  <c r="B254" i="11"/>
  <c r="F254" i="11" s="1"/>
  <c r="B255" i="11"/>
  <c r="F255" i="11" s="1"/>
  <c r="B256" i="11"/>
  <c r="CE256" i="11" s="1"/>
  <c r="B257" i="11"/>
  <c r="F257" i="11" s="1"/>
  <c r="B258" i="11"/>
  <c r="CE258" i="11" s="1"/>
  <c r="B260" i="11"/>
  <c r="F260" i="11" s="1"/>
  <c r="B261" i="11"/>
  <c r="F261" i="11" s="1"/>
  <c r="B262" i="11"/>
  <c r="F262" i="11" s="1"/>
  <c r="B263" i="11"/>
  <c r="F263" i="11" s="1"/>
  <c r="B264" i="11"/>
  <c r="F264" i="11" s="1"/>
  <c r="B265" i="11"/>
  <c r="F265" i="11" s="1"/>
  <c r="B266" i="11"/>
  <c r="F266" i="11" s="1"/>
  <c r="B231" i="11"/>
  <c r="F231" i="11" s="1"/>
  <c r="B232" i="11"/>
  <c r="F232" i="11" s="1"/>
  <c r="B233" i="11"/>
  <c r="F233" i="11" s="1"/>
  <c r="B234" i="11"/>
  <c r="F234" i="11" s="1"/>
  <c r="B235" i="11"/>
  <c r="F235" i="11" s="1"/>
  <c r="B236" i="11"/>
  <c r="F236" i="11" s="1"/>
  <c r="B237" i="11"/>
  <c r="F237" i="11" s="1"/>
  <c r="B238" i="11"/>
  <c r="CE238" i="11" s="1"/>
  <c r="B240" i="11"/>
  <c r="F240" i="11" s="1"/>
  <c r="B241" i="11"/>
  <c r="F241" i="11" s="1"/>
  <c r="B242" i="11"/>
  <c r="F242" i="11" s="1"/>
  <c r="B243" i="11"/>
  <c r="F243" i="11" s="1"/>
  <c r="B244" i="11"/>
  <c r="F244" i="11" s="1"/>
  <c r="B245" i="11"/>
  <c r="F245" i="11" s="1"/>
  <c r="B246" i="11"/>
  <c r="F246" i="11" s="1"/>
  <c r="B247" i="11"/>
  <c r="F247" i="11" s="1"/>
  <c r="B248" i="11"/>
  <c r="F248" i="11" s="1"/>
  <c r="B213" i="11"/>
  <c r="CE213" i="11" s="1"/>
  <c r="B214" i="11"/>
  <c r="CE214" i="11" s="1"/>
  <c r="B215" i="11"/>
  <c r="CE215" i="11" s="1"/>
  <c r="B216" i="11"/>
  <c r="CE216" i="11" s="1"/>
  <c r="B217" i="11"/>
  <c r="CE217" i="11" s="1"/>
  <c r="B218" i="11"/>
  <c r="CE218" i="11" s="1"/>
  <c r="B219" i="11"/>
  <c r="F219" i="11" s="1"/>
  <c r="B221" i="11"/>
  <c r="F221" i="11" s="1"/>
  <c r="B222" i="11"/>
  <c r="CE222" i="11" s="1"/>
  <c r="B224" i="11"/>
  <c r="F224" i="11" s="1"/>
  <c r="B225" i="11"/>
  <c r="F225" i="11" s="1"/>
  <c r="B226" i="11"/>
  <c r="F226" i="11" s="1"/>
  <c r="B227" i="11"/>
  <c r="CE227" i="11" s="1"/>
  <c r="B228" i="11"/>
  <c r="CE228" i="11" s="1"/>
  <c r="B229" i="11"/>
  <c r="F229" i="11" s="1"/>
  <c r="B230" i="11"/>
  <c r="F230" i="11" s="1"/>
  <c r="B188" i="11"/>
  <c r="F188" i="11" s="1"/>
  <c r="B189" i="11"/>
  <c r="F189" i="11" s="1"/>
  <c r="B190" i="11"/>
  <c r="CE190" i="11" s="1"/>
  <c r="B191" i="11"/>
  <c r="F191" i="11" s="1"/>
  <c r="B192" i="11"/>
  <c r="CE192" i="11" s="1"/>
  <c r="B193" i="11"/>
  <c r="F193" i="11" s="1"/>
  <c r="B194" i="11"/>
  <c r="F194" i="11" s="1"/>
  <c r="B195" i="11"/>
  <c r="CE195" i="11" s="1"/>
  <c r="B196" i="11"/>
  <c r="CE196" i="11" s="1"/>
  <c r="B197" i="11"/>
  <c r="CE197" i="11" s="1"/>
  <c r="B198" i="11"/>
  <c r="F198" i="11" s="1"/>
  <c r="B199" i="11"/>
  <c r="F199" i="11" s="1"/>
  <c r="B200" i="11"/>
  <c r="CE200" i="11" s="1"/>
  <c r="B201" i="11"/>
  <c r="F201" i="11" s="1"/>
  <c r="B202" i="11"/>
  <c r="CE202" i="11" s="1"/>
  <c r="B203" i="11"/>
  <c r="F203" i="11" s="1"/>
  <c r="B204" i="11"/>
  <c r="CE204" i="11" s="1"/>
  <c r="B205" i="11"/>
  <c r="CE205" i="11" s="1"/>
  <c r="B206" i="11"/>
  <c r="CE206" i="11" s="1"/>
  <c r="B207" i="11"/>
  <c r="F207" i="11" s="1"/>
  <c r="B208" i="11"/>
  <c r="CE208" i="11" s="1"/>
  <c r="B209" i="11"/>
  <c r="F209" i="11" s="1"/>
  <c r="B210" i="11"/>
  <c r="F210" i="11" s="1"/>
  <c r="B211" i="11"/>
  <c r="CE211" i="11" s="1"/>
  <c r="B212" i="11"/>
  <c r="CE212" i="11" s="1"/>
  <c r="B166" i="11"/>
  <c r="CE166" i="11" s="1"/>
  <c r="B167" i="11"/>
  <c r="CE167" i="11" s="1"/>
  <c r="B168" i="11"/>
  <c r="F168" i="11" s="1"/>
  <c r="B169" i="11"/>
  <c r="CE169" i="11" s="1"/>
  <c r="B170" i="11"/>
  <c r="CE170" i="11" s="1"/>
  <c r="B171" i="11"/>
  <c r="F171" i="11" s="1"/>
  <c r="B172" i="11"/>
  <c r="F172" i="11" s="1"/>
  <c r="B173" i="11"/>
  <c r="CE173" i="11" s="1"/>
  <c r="B174" i="11"/>
  <c r="F174" i="11" s="1"/>
  <c r="B175" i="11"/>
  <c r="F175" i="11" s="1"/>
  <c r="B176" i="11"/>
  <c r="F176" i="11" s="1"/>
  <c r="B177" i="11"/>
  <c r="F177" i="11" s="1"/>
  <c r="B178" i="11"/>
  <c r="F178" i="11" s="1"/>
  <c r="B179" i="11"/>
  <c r="CE179" i="11" s="1"/>
  <c r="B180" i="11"/>
  <c r="F180" i="11" s="1"/>
  <c r="B181" i="11"/>
  <c r="F181" i="11" s="1"/>
  <c r="B182" i="11"/>
  <c r="CE182" i="11" s="1"/>
  <c r="B183" i="11"/>
  <c r="F183" i="11" s="1"/>
  <c r="B184" i="11"/>
  <c r="CE184" i="11" s="1"/>
  <c r="B185" i="11"/>
  <c r="F185" i="11" s="1"/>
  <c r="B186" i="11"/>
  <c r="F186" i="11" s="1"/>
  <c r="B187" i="11"/>
  <c r="F187" i="11" s="1"/>
  <c r="B145" i="11"/>
  <c r="F145" i="11" s="1"/>
  <c r="B146" i="11"/>
  <c r="CE146" i="11" s="1"/>
  <c r="B147" i="11"/>
  <c r="CE147" i="11" s="1"/>
  <c r="B148" i="11"/>
  <c r="CE148" i="11" s="1"/>
  <c r="B149" i="11"/>
  <c r="F149" i="11" s="1"/>
  <c r="B150" i="11"/>
  <c r="CE150" i="11" s="1"/>
  <c r="B151" i="11"/>
  <c r="CE151" i="11" s="1"/>
  <c r="B152" i="11"/>
  <c r="F152" i="11" s="1"/>
  <c r="B153" i="11"/>
  <c r="CE153" i="11" s="1"/>
  <c r="B154" i="11"/>
  <c r="CE154" i="11" s="1"/>
  <c r="B155" i="11"/>
  <c r="F155" i="11" s="1"/>
  <c r="B156" i="11"/>
  <c r="F156" i="11" s="1"/>
  <c r="B157" i="11"/>
  <c r="F157" i="11" s="1"/>
  <c r="B158" i="11"/>
  <c r="F158" i="11" s="1"/>
  <c r="B159" i="11"/>
  <c r="F159" i="11" s="1"/>
  <c r="B160" i="11"/>
  <c r="F160" i="11" s="1"/>
  <c r="B161" i="11"/>
  <c r="F161" i="11" s="1"/>
  <c r="B162" i="11"/>
  <c r="F162" i="11" s="1"/>
  <c r="B163" i="11"/>
  <c r="F163" i="11" s="1"/>
  <c r="B164" i="11"/>
  <c r="F164" i="11" s="1"/>
  <c r="B165" i="11"/>
  <c r="F165" i="11" s="1"/>
  <c r="B131" i="11"/>
  <c r="F131" i="11" s="1"/>
  <c r="B132" i="11"/>
  <c r="CE132" i="11" s="1"/>
  <c r="B133" i="11"/>
  <c r="CE133" i="11" s="1"/>
  <c r="B134" i="11"/>
  <c r="F134" i="11" s="1"/>
  <c r="B135" i="11"/>
  <c r="F135" i="11" s="1"/>
  <c r="B136" i="11"/>
  <c r="CE136" i="11" s="1"/>
  <c r="B137" i="11"/>
  <c r="F137" i="11" s="1"/>
  <c r="B138" i="11"/>
  <c r="F138" i="11" s="1"/>
  <c r="B139" i="11"/>
  <c r="F139" i="11" s="1"/>
  <c r="B140" i="11"/>
  <c r="F140" i="11" s="1"/>
  <c r="B141" i="11"/>
  <c r="CE141" i="11" s="1"/>
  <c r="B142" i="11"/>
  <c r="F142" i="11" s="1"/>
  <c r="B143" i="11"/>
  <c r="F143" i="11" s="1"/>
  <c r="B144" i="11"/>
  <c r="F144" i="11" s="1"/>
  <c r="B112" i="11"/>
  <c r="F112" i="11" s="1"/>
  <c r="B113" i="11"/>
  <c r="CE113" i="11" s="1"/>
  <c r="B114" i="11"/>
  <c r="F114" i="11" s="1"/>
  <c r="B115" i="11"/>
  <c r="F115" i="11" s="1"/>
  <c r="B116" i="11"/>
  <c r="F116" i="11" s="1"/>
  <c r="B117" i="11"/>
  <c r="CE117" i="11" s="1"/>
  <c r="B118" i="11"/>
  <c r="CE118" i="11" s="1"/>
  <c r="B119" i="11"/>
  <c r="F119" i="11" s="1"/>
  <c r="B120" i="11"/>
  <c r="B122" i="11"/>
  <c r="CE122" i="11" s="1"/>
  <c r="B123" i="11"/>
  <c r="F123" i="11" s="1"/>
  <c r="B124" i="11"/>
  <c r="F124" i="11" s="1"/>
  <c r="B125" i="11"/>
  <c r="CE125" i="11" s="1"/>
  <c r="B126" i="11"/>
  <c r="CE126" i="11" s="1"/>
  <c r="B127" i="11"/>
  <c r="CE127" i="11" s="1"/>
  <c r="B128" i="11"/>
  <c r="F128" i="11" s="1"/>
  <c r="B129" i="11"/>
  <c r="F129" i="11" s="1"/>
  <c r="B130" i="11"/>
  <c r="CE130" i="11" s="1"/>
  <c r="B93" i="11"/>
  <c r="CE93" i="11" s="1"/>
  <c r="B95" i="11"/>
  <c r="F95" i="11" s="1"/>
  <c r="B96" i="11"/>
  <c r="F96" i="11" s="1"/>
  <c r="B97" i="11"/>
  <c r="CE97" i="11" s="1"/>
  <c r="B98" i="11"/>
  <c r="CE98" i="11" s="1"/>
  <c r="B99" i="11"/>
  <c r="CE99" i="11" s="1"/>
  <c r="B100" i="11"/>
  <c r="F100" i="11" s="1"/>
  <c r="B101" i="11"/>
  <c r="F101" i="11" s="1"/>
  <c r="B102" i="11"/>
  <c r="CE102" i="11" s="1"/>
  <c r="B103" i="11"/>
  <c r="F103" i="11" s="1"/>
  <c r="B104" i="11"/>
  <c r="F104" i="11" s="1"/>
  <c r="B105" i="11"/>
  <c r="CE105" i="11" s="1"/>
  <c r="B106" i="11"/>
  <c r="CE106" i="11" s="1"/>
  <c r="B107" i="11"/>
  <c r="F107" i="11" s="1"/>
  <c r="B108" i="11"/>
  <c r="CE108" i="11" s="1"/>
  <c r="B109" i="11"/>
  <c r="F109" i="11" s="1"/>
  <c r="B110" i="11"/>
  <c r="CE110" i="11" s="1"/>
  <c r="B111" i="11"/>
  <c r="F111" i="11" s="1"/>
  <c r="B75" i="11"/>
  <c r="F75" i="11" s="1"/>
  <c r="B76" i="11"/>
  <c r="F76" i="11" s="1"/>
  <c r="B77" i="11"/>
  <c r="F77" i="11" s="1"/>
  <c r="B78" i="11"/>
  <c r="CE78" i="11" s="1"/>
  <c r="B79" i="11"/>
  <c r="F79" i="11" s="1"/>
  <c r="B80" i="11"/>
  <c r="CE80" i="11" s="1"/>
  <c r="B81" i="11"/>
  <c r="CE81" i="11" s="1"/>
  <c r="B82" i="11"/>
  <c r="F82" i="11" s="1"/>
  <c r="B83" i="11"/>
  <c r="F83" i="11" s="1"/>
  <c r="B85" i="11"/>
  <c r="F85" i="11" s="1"/>
  <c r="B86" i="11"/>
  <c r="F86" i="11" s="1"/>
  <c r="B87" i="11"/>
  <c r="F87" i="11" s="1"/>
  <c r="B88" i="11"/>
  <c r="F88" i="11" s="1"/>
  <c r="B89" i="11"/>
  <c r="F89" i="11" s="1"/>
  <c r="B90" i="11"/>
  <c r="F90" i="11" s="1"/>
  <c r="B91" i="11"/>
  <c r="CE91" i="11" s="1"/>
  <c r="B92" i="11"/>
  <c r="F92" i="11" s="1"/>
  <c r="B54" i="11"/>
  <c r="CE54" i="11" s="1"/>
  <c r="B55" i="11"/>
  <c r="F55" i="11" s="1"/>
  <c r="B56" i="11"/>
  <c r="F56" i="11" s="1"/>
  <c r="B57" i="11"/>
  <c r="F57" i="11" s="1"/>
  <c r="B58" i="11"/>
  <c r="CE58" i="11" s="1"/>
  <c r="B59" i="11"/>
  <c r="F59" i="11" s="1"/>
  <c r="B60" i="11"/>
  <c r="F60" i="11" s="1"/>
  <c r="B61" i="11"/>
  <c r="CE61" i="11" s="1"/>
  <c r="B62" i="11"/>
  <c r="F62" i="11" s="1"/>
  <c r="B63" i="11"/>
  <c r="F63" i="11" s="1"/>
  <c r="B64" i="11"/>
  <c r="CE64" i="11" s="1"/>
  <c r="B65" i="11"/>
  <c r="F65" i="11" s="1"/>
  <c r="B66" i="11"/>
  <c r="F66" i="11" s="1"/>
  <c r="B67" i="11"/>
  <c r="F67" i="11" s="1"/>
  <c r="B68" i="11"/>
  <c r="F68" i="11" s="1"/>
  <c r="B69" i="11"/>
  <c r="F69" i="11" s="1"/>
  <c r="B70" i="11"/>
  <c r="CE70" i="11" s="1"/>
  <c r="B71" i="11"/>
  <c r="CE71" i="11" s="1"/>
  <c r="B72" i="11"/>
  <c r="CE72" i="11" s="1"/>
  <c r="B73" i="11"/>
  <c r="CE73" i="11" s="1"/>
  <c r="B37" i="11"/>
  <c r="F37" i="11" s="1"/>
  <c r="B38" i="11"/>
  <c r="F38" i="11" s="1"/>
  <c r="B39" i="11"/>
  <c r="CE39" i="11" s="1"/>
  <c r="B40" i="11"/>
  <c r="F40" i="11" s="1"/>
  <c r="B41" i="11"/>
  <c r="F41" i="11" s="1"/>
  <c r="B42" i="11"/>
  <c r="CE42" i="11" s="1"/>
  <c r="B43" i="11"/>
  <c r="F43" i="11" s="1"/>
  <c r="B44" i="11"/>
  <c r="F44" i="11" s="1"/>
  <c r="B45" i="11"/>
  <c r="F45" i="11" s="1"/>
  <c r="B46" i="11"/>
  <c r="F46" i="11" s="1"/>
  <c r="B47" i="11"/>
  <c r="F47" i="11" s="1"/>
  <c r="B48" i="11"/>
  <c r="F48" i="11" s="1"/>
  <c r="B49" i="11"/>
  <c r="F49" i="11" s="1"/>
  <c r="B50" i="11"/>
  <c r="F50" i="11" s="1"/>
  <c r="B51" i="11"/>
  <c r="CE51" i="11" s="1"/>
  <c r="B52" i="11"/>
  <c r="CE52" i="11" s="1"/>
  <c r="B53" i="11"/>
  <c r="F53" i="11" s="1"/>
  <c r="B18" i="11"/>
  <c r="CE18" i="11" s="1"/>
  <c r="B19" i="11"/>
  <c r="CE19" i="11" s="1"/>
  <c r="B20" i="11"/>
  <c r="F20" i="11" s="1"/>
  <c r="B21" i="11"/>
  <c r="F21" i="11" s="1"/>
  <c r="B22" i="11"/>
  <c r="CE22" i="11" s="1"/>
  <c r="B23" i="11"/>
  <c r="F23" i="11" s="1"/>
  <c r="B27" i="11"/>
  <c r="F27" i="11" s="1"/>
  <c r="B28" i="11"/>
  <c r="CE28" i="11" s="1"/>
  <c r="B29" i="11"/>
  <c r="F29" i="11" s="1"/>
  <c r="B32" i="11"/>
  <c r="F32" i="11" s="1"/>
  <c r="B33" i="11"/>
  <c r="CE33" i="11" s="1"/>
  <c r="B34" i="11"/>
  <c r="F34" i="11" s="1"/>
  <c r="B35" i="11"/>
  <c r="F35" i="11" s="1"/>
  <c r="B36" i="11"/>
  <c r="F36" i="11" s="1"/>
  <c r="B5" i="11"/>
  <c r="F5" i="11" s="1"/>
  <c r="B6" i="11"/>
  <c r="CE6" i="11" s="1"/>
  <c r="B7" i="11"/>
  <c r="CE7" i="11" s="1"/>
  <c r="B8" i="11"/>
  <c r="F8" i="11" s="1"/>
  <c r="B9" i="11"/>
  <c r="F9" i="11" s="1"/>
  <c r="B10" i="11"/>
  <c r="CE10" i="11" s="1"/>
  <c r="B11" i="11"/>
  <c r="F11" i="11" s="1"/>
  <c r="B12" i="11"/>
  <c r="F12" i="11" s="1"/>
  <c r="B13" i="11"/>
  <c r="F13" i="11" s="1"/>
  <c r="B14" i="11"/>
  <c r="F14" i="11" s="1"/>
  <c r="B15" i="11"/>
  <c r="F15" i="11" s="1"/>
  <c r="B16" i="11"/>
  <c r="F16" i="11" s="1"/>
  <c r="B17" i="11"/>
  <c r="F17" i="11" s="1"/>
  <c r="F150" i="11"/>
  <c r="F167" i="11"/>
  <c r="F192" i="11"/>
  <c r="F206" i="11"/>
  <c r="F253" i="11"/>
  <c r="CE371" i="11"/>
  <c r="CE335" i="11"/>
  <c r="CE355" i="11"/>
  <c r="CE360" i="11"/>
  <c r="CE160" i="11"/>
  <c r="CE171" i="11"/>
  <c r="CE219" i="11"/>
  <c r="CE234" i="11"/>
  <c r="CE282" i="11"/>
  <c r="F120" i="11" l="1"/>
  <c r="CE120" i="11"/>
  <c r="CE92" i="11"/>
  <c r="CE262" i="11"/>
  <c r="CE198" i="11"/>
  <c r="CE156" i="11"/>
  <c r="CE40" i="11"/>
  <c r="CE309" i="11"/>
  <c r="F238" i="11"/>
  <c r="F190" i="11"/>
  <c r="F133" i="11"/>
  <c r="CE247" i="11"/>
  <c r="CE183" i="11"/>
  <c r="CE129" i="11"/>
  <c r="CE303" i="11"/>
  <c r="F179" i="11"/>
  <c r="CE201" i="11"/>
  <c r="CE107" i="11"/>
  <c r="F218" i="11"/>
  <c r="CE318" i="11"/>
  <c r="F318" i="11"/>
  <c r="CE361" i="11"/>
  <c r="F361" i="11"/>
  <c r="CE271" i="11"/>
  <c r="F271" i="11"/>
  <c r="CE291" i="11"/>
  <c r="F291" i="11"/>
  <c r="CE350" i="11"/>
  <c r="F350" i="11"/>
  <c r="CE346" i="11"/>
  <c r="F346" i="11"/>
  <c r="CE341" i="11"/>
  <c r="F341" i="11"/>
  <c r="CE337" i="11"/>
  <c r="F337" i="11"/>
  <c r="CE365" i="11"/>
  <c r="F365" i="11"/>
  <c r="CE292" i="11"/>
  <c r="F292" i="11"/>
  <c r="CE326" i="11"/>
  <c r="F326" i="11"/>
  <c r="CE314" i="11"/>
  <c r="F314" i="11"/>
  <c r="CE270" i="11"/>
  <c r="F270" i="11"/>
  <c r="CE302" i="11"/>
  <c r="F302" i="11"/>
  <c r="CE290" i="11"/>
  <c r="F290" i="11"/>
  <c r="CE332" i="11"/>
  <c r="F332" i="11"/>
  <c r="CE328" i="11"/>
  <c r="F328" i="11"/>
  <c r="CE320" i="11"/>
  <c r="F320" i="11"/>
  <c r="CE316" i="11"/>
  <c r="F316" i="11"/>
  <c r="CE349" i="11"/>
  <c r="F349" i="11"/>
  <c r="CE345" i="11"/>
  <c r="F345" i="11"/>
  <c r="CE340" i="11"/>
  <c r="F340" i="11"/>
  <c r="CE364" i="11"/>
  <c r="F364" i="11"/>
  <c r="CE359" i="11"/>
  <c r="F359" i="11"/>
  <c r="CE310" i="11"/>
  <c r="F310" i="11"/>
  <c r="CE305" i="11"/>
  <c r="F305" i="11"/>
  <c r="CE301" i="11"/>
  <c r="F301" i="11"/>
  <c r="CE293" i="11"/>
  <c r="F293" i="11"/>
  <c r="CE289" i="11"/>
  <c r="F289" i="11"/>
  <c r="CE327" i="11"/>
  <c r="F327" i="11"/>
  <c r="CE178" i="11"/>
  <c r="CE266" i="11"/>
  <c r="CE56" i="11"/>
  <c r="CE344" i="11"/>
  <c r="CE339" i="11"/>
  <c r="F196" i="11"/>
  <c r="F228" i="11"/>
  <c r="CE248" i="11"/>
  <c r="F200" i="11"/>
  <c r="CE187" i="11"/>
  <c r="CE175" i="11"/>
  <c r="F147" i="11"/>
  <c r="CE143" i="11"/>
  <c r="F141" i="11"/>
  <c r="CE96" i="11"/>
  <c r="CE278" i="11"/>
  <c r="CE257" i="11"/>
  <c r="CE243" i="11"/>
  <c r="CE210" i="11"/>
  <c r="CE194" i="11"/>
  <c r="CE152" i="11"/>
  <c r="CE343" i="11"/>
  <c r="CE330" i="11"/>
  <c r="CE368" i="11"/>
  <c r="F250" i="11"/>
  <c r="F195" i="11"/>
  <c r="F153" i="11"/>
  <c r="CE83" i="11"/>
  <c r="CE20" i="11"/>
  <c r="CE317" i="11"/>
  <c r="CE295" i="11"/>
  <c r="CE164" i="11"/>
  <c r="CE104" i="11"/>
  <c r="CE76" i="11"/>
  <c r="CE313" i="11"/>
  <c r="CE279" i="11"/>
  <c r="CE8" i="11"/>
  <c r="CE356" i="11"/>
  <c r="CE347" i="11"/>
  <c r="CE322" i="11"/>
  <c r="CE288" i="11"/>
  <c r="F258" i="11"/>
  <c r="F80" i="11"/>
  <c r="CE226" i="11"/>
  <c r="CE142" i="11"/>
  <c r="CE296" i="11"/>
  <c r="F58" i="11"/>
  <c r="CE191" i="11"/>
  <c r="CE89" i="11"/>
  <c r="CE240" i="11"/>
  <c r="CE199" i="11"/>
  <c r="CE165" i="11"/>
  <c r="CE101" i="11"/>
  <c r="CE21" i="11"/>
  <c r="CE351" i="11"/>
  <c r="F97" i="11"/>
  <c r="CE41" i="11"/>
  <c r="CE263" i="11"/>
  <c r="CE254" i="11"/>
  <c r="CE221" i="11"/>
  <c r="CE207" i="11"/>
  <c r="CE180" i="11"/>
  <c r="CE138" i="11"/>
  <c r="CE85" i="11"/>
  <c r="CE66" i="11"/>
  <c r="CE53" i="11"/>
  <c r="CE338" i="11"/>
  <c r="CE304" i="11"/>
  <c r="F211" i="11"/>
  <c r="F184" i="11"/>
  <c r="CE168" i="11"/>
  <c r="CE149" i="11"/>
  <c r="CE62" i="11"/>
  <c r="F105" i="11"/>
  <c r="CE272" i="11"/>
  <c r="CE244" i="11"/>
  <c r="CE134" i="11"/>
  <c r="CE49" i="11"/>
  <c r="CE36" i="11"/>
  <c r="CE16" i="11"/>
  <c r="CE230" i="11"/>
  <c r="CE45" i="11"/>
  <c r="CE32" i="11"/>
  <c r="CE12" i="11"/>
  <c r="CE300" i="11"/>
  <c r="CE209" i="11"/>
  <c r="F256" i="11"/>
  <c r="CE285" i="11"/>
  <c r="CE155" i="11"/>
  <c r="CE95" i="11"/>
  <c r="CE354" i="11"/>
  <c r="CE306" i="11"/>
  <c r="F182" i="11"/>
  <c r="F132" i="11"/>
  <c r="CE261" i="11"/>
  <c r="CE237" i="11"/>
  <c r="CE163" i="11"/>
  <c r="F78" i="11"/>
  <c r="CE299" i="11"/>
  <c r="CE348" i="11"/>
  <c r="CE265" i="11"/>
  <c r="CE242" i="11"/>
  <c r="CE140" i="11"/>
  <c r="CE324" i="11"/>
  <c r="CE312" i="11"/>
  <c r="CE294" i="11"/>
  <c r="F214" i="11"/>
  <c r="F151" i="11"/>
  <c r="F136" i="11"/>
  <c r="F99" i="11"/>
  <c r="CE82" i="11"/>
  <c r="CE281" i="11"/>
  <c r="CE252" i="11"/>
  <c r="CE246" i="11"/>
  <c r="CE233" i="11"/>
  <c r="CE193" i="11"/>
  <c r="CE186" i="11"/>
  <c r="CE159" i="11"/>
  <c r="CE144" i="11"/>
  <c r="CE298" i="11"/>
  <c r="F205" i="11"/>
  <c r="F197" i="11"/>
  <c r="F170" i="11"/>
  <c r="CE103" i="11"/>
  <c r="CE336" i="11"/>
  <c r="CE139" i="11"/>
  <c r="CE67" i="11"/>
  <c r="CE59" i="11"/>
  <c r="CE63" i="11"/>
  <c r="F154" i="11"/>
  <c r="F81" i="11"/>
  <c r="CE68" i="11"/>
  <c r="CE111" i="11"/>
  <c r="CE87" i="11"/>
  <c r="F19" i="11"/>
  <c r="CE34" i="11"/>
  <c r="F39" i="11"/>
  <c r="CE268" i="11"/>
  <c r="CE174" i="11"/>
  <c r="CE267" i="11"/>
  <c r="F213" i="11"/>
  <c r="CE276" i="11"/>
  <c r="CE203" i="11"/>
  <c r="CE161" i="11"/>
  <c r="F7" i="11"/>
  <c r="F6" i="11"/>
  <c r="CE229" i="11"/>
  <c r="CE225" i="11"/>
  <c r="CE131" i="11"/>
  <c r="F166" i="11"/>
  <c r="CE334" i="11"/>
  <c r="CE352" i="11"/>
  <c r="CE370" i="11"/>
  <c r="CE308" i="11"/>
  <c r="CE283" i="11"/>
  <c r="F215" i="11"/>
  <c r="F216" i="11"/>
  <c r="CE157" i="11"/>
  <c r="CE135" i="11"/>
  <c r="CE249" i="11"/>
  <c r="CE145" i="11"/>
  <c r="F10" i="11"/>
  <c r="F51" i="11"/>
  <c r="F91" i="11"/>
  <c r="F64" i="11"/>
  <c r="CE47" i="11"/>
  <c r="CE60" i="11"/>
  <c r="CE23" i="11"/>
  <c r="F72" i="11"/>
  <c r="CE43" i="11"/>
  <c r="CE14" i="11"/>
  <c r="CE235" i="11"/>
  <c r="CE231" i="11"/>
  <c r="CE188" i="11"/>
  <c r="CE75" i="11"/>
  <c r="F61" i="11"/>
  <c r="F52" i="11"/>
  <c r="CE116" i="11"/>
  <c r="CE100" i="11"/>
  <c r="CE88" i="11"/>
  <c r="CE69" i="11"/>
  <c r="CE65" i="11"/>
  <c r="CE48" i="11"/>
  <c r="F125" i="11"/>
  <c r="F108" i="11"/>
  <c r="F73" i="11"/>
  <c r="CE137" i="11"/>
  <c r="CE79" i="11"/>
  <c r="CE29" i="11"/>
  <c r="CE11" i="11"/>
  <c r="CE44" i="11"/>
  <c r="CE35" i="11"/>
  <c r="CE15" i="11"/>
  <c r="CE90" i="11"/>
  <c r="CE86" i="11"/>
  <c r="CE77" i="11"/>
  <c r="CE27" i="11"/>
  <c r="CE319" i="11"/>
  <c r="CE315" i="11"/>
  <c r="CE311" i="11"/>
  <c r="CE307" i="11"/>
  <c r="F42" i="11"/>
  <c r="F212" i="11"/>
  <c r="F208" i="11"/>
  <c r="F204" i="11"/>
  <c r="CE114" i="11"/>
  <c r="F106" i="11"/>
  <c r="F102" i="11"/>
  <c r="F98" i="11"/>
  <c r="F93" i="11"/>
  <c r="CE123" i="11"/>
  <c r="CE55" i="11"/>
  <c r="CE50" i="11"/>
  <c r="CE46" i="11"/>
  <c r="CE38" i="11"/>
  <c r="F227" i="11"/>
  <c r="F146" i="11"/>
  <c r="CE172" i="11"/>
  <c r="CE380" i="11"/>
  <c r="CE17" i="11"/>
  <c r="CE13" i="11"/>
  <c r="CE9" i="11"/>
  <c r="CE5" i="11"/>
  <c r="F202" i="11"/>
  <c r="CE57" i="11"/>
  <c r="F148" i="11"/>
  <c r="CE109" i="11"/>
  <c r="CE37" i="11"/>
  <c r="F54" i="11"/>
  <c r="F22" i="11"/>
  <c r="F18" i="11"/>
  <c r="CE277" i="11"/>
  <c r="CE264" i="11"/>
  <c r="CE260" i="11"/>
  <c r="CE255" i="11"/>
  <c r="CE251" i="11"/>
  <c r="CE185" i="11"/>
  <c r="CE181" i="11"/>
  <c r="CE177" i="11"/>
  <c r="CE363" i="11"/>
  <c r="CE357" i="11"/>
  <c r="CE353" i="11"/>
  <c r="CE331" i="11"/>
  <c r="F33" i="11"/>
  <c r="F222" i="11"/>
  <c r="F217" i="11"/>
  <c r="F71" i="11"/>
  <c r="CE245" i="11"/>
  <c r="CE241" i="11"/>
  <c r="CE236" i="11"/>
  <c r="CE232" i="11"/>
  <c r="CE162" i="11"/>
  <c r="CE158" i="11"/>
  <c r="CE323" i="11"/>
  <c r="F173" i="11"/>
  <c r="F169" i="11"/>
  <c r="F127" i="11"/>
  <c r="F118" i="11"/>
  <c r="F110" i="11"/>
  <c r="CE284" i="11"/>
  <c r="CE280" i="11"/>
  <c r="CE273" i="11"/>
  <c r="CE269" i="11"/>
  <c r="CE297" i="11"/>
  <c r="CE369" i="11"/>
  <c r="CE274" i="11"/>
  <c r="CE224" i="11"/>
  <c r="CE189" i="11"/>
  <c r="CE176" i="11"/>
  <c r="CE112" i="11"/>
  <c r="F70" i="11"/>
  <c r="F28" i="11"/>
  <c r="CE333" i="11"/>
  <c r="CE329" i="11"/>
  <c r="CE325" i="11"/>
  <c r="CE321" i="11"/>
  <c r="CE128" i="11"/>
  <c r="CE124" i="11"/>
  <c r="CE119" i="11"/>
  <c r="CE115" i="11"/>
  <c r="F130" i="11"/>
  <c r="F126" i="11"/>
  <c r="F122" i="11"/>
  <c r="F117" i="11"/>
  <c r="F113" i="11"/>
  <c r="NZ130" i="10"/>
  <c r="OB130" i="10" s="1"/>
  <c r="OD130" i="10"/>
  <c r="NW130" i="10"/>
  <c r="NZ129" i="10" l="1"/>
  <c r="OB129" i="10" s="1"/>
  <c r="NZ3" i="10" l="1"/>
  <c r="OB3" i="10" s="1"/>
  <c r="NZ4" i="10"/>
  <c r="OB4" i="10" s="1"/>
  <c r="NZ5" i="10"/>
  <c r="OB5" i="10" s="1"/>
  <c r="NZ6" i="10"/>
  <c r="OB6" i="10" s="1"/>
  <c r="NZ7" i="10"/>
  <c r="OB7" i="10" s="1"/>
  <c r="NZ8" i="10"/>
  <c r="OB8" i="10" s="1"/>
  <c r="NZ9" i="10"/>
  <c r="OB9" i="10" s="1"/>
  <c r="NZ10" i="10"/>
  <c r="OB10" i="10" s="1"/>
  <c r="NZ11" i="10"/>
  <c r="OB11" i="10" s="1"/>
  <c r="NZ12" i="10"/>
  <c r="OB12" i="10" s="1"/>
  <c r="NZ13" i="10"/>
  <c r="OB13" i="10" s="1"/>
  <c r="NZ14" i="10"/>
  <c r="OB14" i="10" s="1"/>
  <c r="NZ15" i="10"/>
  <c r="OB15" i="10" s="1"/>
  <c r="NZ16" i="10"/>
  <c r="OB16" i="10" s="1"/>
  <c r="NZ17" i="10"/>
  <c r="OB17" i="10" s="1"/>
  <c r="NZ18" i="10"/>
  <c r="OB18" i="10" s="1"/>
  <c r="NZ19" i="10"/>
  <c r="OB19" i="10" s="1"/>
  <c r="NZ20" i="10"/>
  <c r="OB20" i="10" s="1"/>
  <c r="NZ21" i="10"/>
  <c r="OB21" i="10" s="1"/>
  <c r="NZ22" i="10"/>
  <c r="OB22" i="10" s="1"/>
  <c r="NZ23" i="10"/>
  <c r="OB23" i="10" s="1"/>
  <c r="NZ24" i="10"/>
  <c r="OB24" i="10" s="1"/>
  <c r="NZ25" i="10"/>
  <c r="OB25" i="10" s="1"/>
  <c r="NZ26" i="10"/>
  <c r="OB26" i="10" s="1"/>
  <c r="NZ27" i="10"/>
  <c r="OB27" i="10" s="1"/>
  <c r="NZ28" i="10"/>
  <c r="OB28" i="10" s="1"/>
  <c r="NZ29" i="10"/>
  <c r="OB29" i="10" s="1"/>
  <c r="NZ30" i="10"/>
  <c r="OB30" i="10" s="1"/>
  <c r="NZ31" i="10"/>
  <c r="OB31" i="10" s="1"/>
  <c r="NZ32" i="10"/>
  <c r="OB32" i="10" s="1"/>
  <c r="NZ33" i="10"/>
  <c r="OB33" i="10" s="1"/>
  <c r="NZ34" i="10"/>
  <c r="OB34" i="10" s="1"/>
  <c r="NZ35" i="10"/>
  <c r="OB35" i="10" s="1"/>
  <c r="NZ36" i="10"/>
  <c r="OB36" i="10" s="1"/>
  <c r="NZ37" i="10"/>
  <c r="OB37" i="10" s="1"/>
  <c r="NZ38" i="10"/>
  <c r="OB38" i="10" s="1"/>
  <c r="NZ39" i="10"/>
  <c r="OB39" i="10" s="1"/>
  <c r="NZ40" i="10"/>
  <c r="OB40" i="10" s="1"/>
  <c r="NZ41" i="10"/>
  <c r="OB41" i="10" s="1"/>
  <c r="NZ42" i="10"/>
  <c r="OB42" i="10" s="1"/>
  <c r="NZ43" i="10"/>
  <c r="OB43" i="10" s="1"/>
  <c r="NZ44" i="10"/>
  <c r="OB44" i="10" s="1"/>
  <c r="NZ45" i="10"/>
  <c r="OB45" i="10" s="1"/>
  <c r="NZ46" i="10"/>
  <c r="OB46" i="10" s="1"/>
  <c r="NZ47" i="10"/>
  <c r="OB47" i="10" s="1"/>
  <c r="NZ48" i="10"/>
  <c r="OB48" i="10" s="1"/>
  <c r="NZ49" i="10"/>
  <c r="OB49" i="10" s="1"/>
  <c r="NZ50" i="10"/>
  <c r="OB50" i="10" s="1"/>
  <c r="NZ51" i="10"/>
  <c r="OB51" i="10" s="1"/>
  <c r="NZ52" i="10"/>
  <c r="OB52" i="10" s="1"/>
  <c r="NZ53" i="10"/>
  <c r="OB53" i="10" s="1"/>
  <c r="NZ54" i="10"/>
  <c r="OB54" i="10" s="1"/>
  <c r="NZ55" i="10"/>
  <c r="OB55" i="10" s="1"/>
  <c r="NZ56" i="10"/>
  <c r="OB56" i="10" s="1"/>
  <c r="NZ57" i="10"/>
  <c r="OB57" i="10" s="1"/>
  <c r="NZ58" i="10"/>
  <c r="OB58" i="10" s="1"/>
  <c r="NZ59" i="10"/>
  <c r="OB59" i="10" s="1"/>
  <c r="NZ60" i="10"/>
  <c r="OB60" i="10" s="1"/>
  <c r="NZ61" i="10"/>
  <c r="OB61" i="10" s="1"/>
  <c r="NZ62" i="10"/>
  <c r="OB62" i="10" s="1"/>
  <c r="NZ63" i="10"/>
  <c r="OB63" i="10" s="1"/>
  <c r="NZ64" i="10"/>
  <c r="OB64" i="10" s="1"/>
  <c r="NZ65" i="10"/>
  <c r="OB65" i="10" s="1"/>
  <c r="NZ66" i="10"/>
  <c r="OB66" i="10" s="1"/>
  <c r="NZ67" i="10"/>
  <c r="OB67" i="10" s="1"/>
  <c r="NZ68" i="10"/>
  <c r="OB68" i="10" s="1"/>
  <c r="NZ69" i="10"/>
  <c r="OB69" i="10" s="1"/>
  <c r="NZ70" i="10"/>
  <c r="OB70" i="10" s="1"/>
  <c r="NZ71" i="10"/>
  <c r="OB71" i="10" s="1"/>
  <c r="NZ72" i="10"/>
  <c r="OB72" i="10" s="1"/>
  <c r="NZ73" i="10"/>
  <c r="OB73" i="10" s="1"/>
  <c r="NZ74" i="10"/>
  <c r="OB74" i="10" s="1"/>
  <c r="NZ75" i="10"/>
  <c r="OB75" i="10" s="1"/>
  <c r="NZ76" i="10"/>
  <c r="OB76" i="10" s="1"/>
  <c r="NZ77" i="10"/>
  <c r="OB77" i="10" s="1"/>
  <c r="NZ78" i="10"/>
  <c r="OB78" i="10" s="1"/>
  <c r="NZ79" i="10"/>
  <c r="OB79" i="10" s="1"/>
  <c r="NZ80" i="10"/>
  <c r="OB80" i="10" s="1"/>
  <c r="NZ81" i="10"/>
  <c r="OB81" i="10" s="1"/>
  <c r="NZ82" i="10"/>
  <c r="OB82" i="10" s="1"/>
  <c r="NZ83" i="10"/>
  <c r="OB83" i="10" s="1"/>
  <c r="NZ84" i="10"/>
  <c r="OB84" i="10" s="1"/>
  <c r="NZ85" i="10"/>
  <c r="OB85" i="10" s="1"/>
  <c r="NZ86" i="10"/>
  <c r="OB86" i="10" s="1"/>
  <c r="NZ87" i="10"/>
  <c r="OB87" i="10" s="1"/>
  <c r="NZ88" i="10"/>
  <c r="OB88" i="10" s="1"/>
  <c r="NZ89" i="10"/>
  <c r="OB89" i="10" s="1"/>
  <c r="NZ90" i="10"/>
  <c r="OB90" i="10" s="1"/>
  <c r="NZ91" i="10"/>
  <c r="OB91" i="10" s="1"/>
  <c r="NZ92" i="10"/>
  <c r="OB92" i="10" s="1"/>
  <c r="NZ93" i="10"/>
  <c r="OB93" i="10" s="1"/>
  <c r="NZ94" i="10"/>
  <c r="OB94" i="10" s="1"/>
  <c r="NZ95" i="10"/>
  <c r="OB95" i="10" s="1"/>
  <c r="NZ96" i="10"/>
  <c r="OB96" i="10" s="1"/>
  <c r="NZ97" i="10"/>
  <c r="OB97" i="10" s="1"/>
  <c r="NZ98" i="10"/>
  <c r="OB98" i="10" s="1"/>
  <c r="NZ99" i="10"/>
  <c r="OB99" i="10" s="1"/>
  <c r="NZ100" i="10"/>
  <c r="OB100" i="10" s="1"/>
  <c r="NZ101" i="10"/>
  <c r="OB101" i="10" s="1"/>
  <c r="NZ102" i="10"/>
  <c r="OB102" i="10" s="1"/>
  <c r="NZ103" i="10"/>
  <c r="OB103" i="10" s="1"/>
  <c r="NZ104" i="10"/>
  <c r="OB104" i="10" s="1"/>
  <c r="NZ105" i="10"/>
  <c r="OB105" i="10" s="1"/>
  <c r="NZ106" i="10"/>
  <c r="OB106" i="10" s="1"/>
  <c r="NZ107" i="10"/>
  <c r="OB107" i="10" s="1"/>
  <c r="NZ108" i="10"/>
  <c r="OB108" i="10" s="1"/>
  <c r="NZ109" i="10"/>
  <c r="OB109" i="10" s="1"/>
  <c r="NZ110" i="10"/>
  <c r="OB110" i="10" s="1"/>
  <c r="NZ111" i="10"/>
  <c r="OB111" i="10" s="1"/>
  <c r="NZ112" i="10"/>
  <c r="OB112" i="10" s="1"/>
  <c r="NZ113" i="10"/>
  <c r="OB113" i="10" s="1"/>
  <c r="NZ114" i="10"/>
  <c r="OB114" i="10" s="1"/>
  <c r="NZ115" i="10"/>
  <c r="OB115" i="10" s="1"/>
  <c r="NZ116" i="10"/>
  <c r="OB116" i="10" s="1"/>
  <c r="NZ117" i="10"/>
  <c r="OB117" i="10" s="1"/>
  <c r="NZ118" i="10"/>
  <c r="OB118" i="10" s="1"/>
  <c r="NZ119" i="10"/>
  <c r="OB119" i="10" s="1"/>
  <c r="NZ120" i="10"/>
  <c r="OB120" i="10" s="1"/>
  <c r="NZ121" i="10"/>
  <c r="OB121" i="10" s="1"/>
  <c r="NZ122" i="10"/>
  <c r="OB122" i="10" s="1"/>
  <c r="NZ123" i="10"/>
  <c r="OB123" i="10" s="1"/>
  <c r="NZ124" i="10"/>
  <c r="OB124" i="10" s="1"/>
  <c r="NZ125" i="10"/>
  <c r="OB125" i="10" s="1"/>
  <c r="NZ126" i="10"/>
  <c r="OB126" i="10" s="1"/>
  <c r="NZ127" i="10"/>
  <c r="OB127" i="10" s="1"/>
  <c r="NZ128" i="10"/>
  <c r="OB128" i="10" s="1"/>
  <c r="NZ2" i="10"/>
  <c r="OB2" i="10" s="1"/>
  <c r="OB178" i="10" l="1"/>
  <c r="OD129" i="10"/>
  <c r="NW129" i="10"/>
  <c r="OD128" i="10"/>
  <c r="NW128" i="10"/>
  <c r="OD127" i="10"/>
  <c r="NW127" i="10"/>
  <c r="OD126" i="10" l="1"/>
  <c r="NW126" i="10"/>
  <c r="OD125" i="10"/>
  <c r="NW125" i="10"/>
  <c r="OD124" i="10" l="1"/>
  <c r="NW124" i="10"/>
  <c r="OD123" i="10" l="1"/>
  <c r="NW123" i="10"/>
  <c r="OD122" i="10"/>
  <c r="NW122" i="10"/>
  <c r="OD121" i="10" l="1"/>
  <c r="NW121" i="10"/>
  <c r="OD120" i="10"/>
  <c r="NW120" i="10"/>
  <c r="OD119" i="10"/>
  <c r="NW119" i="10"/>
  <c r="OD118" i="10"/>
  <c r="NW118" i="10"/>
  <c r="CD374" i="11"/>
  <c r="OD117" i="10"/>
  <c r="NW117" i="10"/>
  <c r="OD116" i="10"/>
  <c r="NW116" i="10"/>
  <c r="OD115" i="10"/>
  <c r="NW115" i="10"/>
  <c r="OD114" i="10" l="1"/>
  <c r="NW114" i="10"/>
  <c r="OD113" i="10"/>
  <c r="NW113" i="10"/>
  <c r="OD112" i="10"/>
  <c r="NW111" i="10"/>
  <c r="NW112" i="10"/>
  <c r="OD111" i="10"/>
  <c r="OD110" i="10"/>
  <c r="NW110" i="10"/>
  <c r="OD109" i="10"/>
  <c r="NW109" i="10"/>
  <c r="OD108" i="10"/>
  <c r="NW108" i="10"/>
  <c r="OD107" i="10"/>
  <c r="NW107" i="10"/>
  <c r="OA106" i="10"/>
  <c r="OD106" i="10" s="1"/>
  <c r="NW106" i="10"/>
  <c r="OD105" i="10"/>
  <c r="NW105" i="10"/>
  <c r="OD104" i="10"/>
  <c r="NW104" i="10"/>
  <c r="OA71" i="10" l="1"/>
  <c r="OD103" i="10" l="1"/>
  <c r="NW103" i="10"/>
  <c r="OD102" i="10"/>
  <c r="NW102" i="10"/>
  <c r="OD101" i="10"/>
  <c r="OD100" i="10"/>
  <c r="NW100" i="10"/>
  <c r="NW101" i="10"/>
  <c r="OD99" i="10"/>
  <c r="NW99" i="10"/>
  <c r="OD98" i="10" l="1"/>
  <c r="NW98" i="10"/>
  <c r="OD97" i="10" l="1"/>
  <c r="NW97" i="10"/>
  <c r="OD96" i="10"/>
  <c r="NW96" i="10"/>
  <c r="OD95" i="10" l="1"/>
  <c r="NW95" i="10"/>
  <c r="OA94" i="10"/>
  <c r="OD94" i="10" s="1"/>
  <c r="NW94" i="10"/>
  <c r="OD93" i="10"/>
  <c r="NW93" i="10"/>
  <c r="OD92" i="10" l="1"/>
  <c r="NW92" i="10"/>
  <c r="OD91" i="10" l="1"/>
  <c r="NW91" i="10"/>
  <c r="OD90" i="10"/>
  <c r="NW90" i="10"/>
  <c r="OD89" i="10"/>
  <c r="NW89" i="10"/>
  <c r="OD88" i="10" l="1"/>
  <c r="NW88" i="10"/>
  <c r="OD87" i="10"/>
  <c r="NW87" i="10"/>
  <c r="OD86" i="10"/>
  <c r="NW86" i="10"/>
  <c r="OD85" i="10"/>
  <c r="NW85" i="10"/>
  <c r="OD84" i="10"/>
  <c r="NW84" i="10"/>
  <c r="OD83" i="10"/>
  <c r="NW83" i="10"/>
  <c r="OD82" i="10" l="1"/>
  <c r="NW82" i="10"/>
  <c r="OA81" i="10" l="1"/>
  <c r="OD81" i="10" s="1"/>
  <c r="NW81" i="10"/>
  <c r="OD80" i="10" l="1"/>
  <c r="NW80" i="10"/>
  <c r="OD79" i="10"/>
  <c r="NW79" i="10"/>
  <c r="OD78" i="10" l="1"/>
  <c r="NW78" i="10"/>
  <c r="OD77" i="10" l="1"/>
  <c r="NW77" i="10"/>
  <c r="OD76" i="10" l="1"/>
  <c r="NW76" i="10"/>
  <c r="OD75" i="10"/>
  <c r="NW75" i="10"/>
  <c r="OD74" i="10"/>
  <c r="NW74" i="10"/>
  <c r="OD73" i="10" l="1"/>
  <c r="NW73" i="10"/>
  <c r="OD72" i="10"/>
  <c r="NW72" i="10"/>
  <c r="OD71" i="10" l="1"/>
  <c r="NW71" i="10"/>
  <c r="OD70" i="10" l="1"/>
  <c r="NW70" i="10"/>
  <c r="OD69" i="10" l="1"/>
  <c r="NW69" i="10"/>
  <c r="OD68" i="10"/>
  <c r="NW68" i="10"/>
  <c r="OD67" i="10"/>
  <c r="NW67" i="10"/>
  <c r="OD66" i="10" l="1"/>
  <c r="NW66" i="10"/>
  <c r="OD65" i="10" l="1"/>
  <c r="OD64" i="10"/>
  <c r="NW64" i="10"/>
  <c r="NW65" i="10"/>
  <c r="OD63" i="10"/>
  <c r="NW63" i="10"/>
  <c r="OD62" i="10"/>
  <c r="NW62" i="10"/>
  <c r="OD61" i="10" l="1"/>
  <c r="NW61" i="10"/>
  <c r="OD60" i="10" l="1"/>
  <c r="NW59" i="10"/>
  <c r="NW60" i="10"/>
  <c r="OD59" i="10"/>
  <c r="OD58" i="10"/>
  <c r="NW58" i="10"/>
  <c r="OD57" i="10" l="1"/>
  <c r="NW57" i="10"/>
  <c r="OD56" i="10"/>
  <c r="NW56" i="10"/>
  <c r="OD55" i="10" l="1"/>
  <c r="NW55" i="10"/>
  <c r="OD54" i="10" l="1"/>
  <c r="NW54" i="10"/>
  <c r="OD53" i="10" l="1"/>
  <c r="NW53" i="10"/>
  <c r="OD52" i="10" l="1"/>
  <c r="NW52" i="10"/>
  <c r="OD51" i="10"/>
  <c r="NW51" i="10"/>
  <c r="OD50" i="10" l="1"/>
  <c r="NW50" i="10"/>
  <c r="OD49" i="10"/>
  <c r="NW49" i="10"/>
  <c r="OD48" i="10"/>
  <c r="NW48" i="10"/>
  <c r="OD47" i="10" l="1"/>
  <c r="NW47" i="10"/>
  <c r="OD46" i="10"/>
  <c r="NW46" i="10"/>
  <c r="OD45" i="10"/>
  <c r="NW45" i="10"/>
  <c r="OD44" i="10" l="1"/>
  <c r="NW44" i="10"/>
  <c r="OD43" i="10" l="1"/>
  <c r="NW43" i="10"/>
  <c r="NW42" i="10" l="1"/>
  <c r="OD42" i="10" l="1"/>
  <c r="OD41" i="10" l="1"/>
  <c r="NW41" i="10"/>
  <c r="OD40" i="10"/>
  <c r="NW40" i="10"/>
  <c r="OD39" i="10" l="1"/>
  <c r="NW39" i="10"/>
  <c r="OD38" i="10" l="1"/>
  <c r="NW38" i="10"/>
  <c r="OD37" i="10" l="1"/>
  <c r="NW37" i="10"/>
  <c r="OD36" i="10"/>
  <c r="NW36" i="10"/>
  <c r="OD35" i="10" l="1"/>
  <c r="NW35" i="10"/>
  <c r="OD34" i="10"/>
  <c r="NW33" i="10"/>
  <c r="NW34" i="10"/>
  <c r="OD33" i="10"/>
  <c r="OD32" i="10"/>
  <c r="NW32" i="10" l="1"/>
  <c r="OD31" i="10" l="1"/>
  <c r="NW31" i="10"/>
  <c r="OD30" i="10" l="1"/>
  <c r="NW30" i="10"/>
  <c r="OD29" i="10"/>
  <c r="NW29" i="10"/>
  <c r="OD28" i="10" l="1"/>
  <c r="NW28" i="10"/>
  <c r="OD27" i="10"/>
  <c r="NW27" i="10"/>
  <c r="OD26" i="10" l="1"/>
  <c r="NW26" i="10"/>
  <c r="CE384" i="11" l="1"/>
  <c r="CE383" i="11"/>
  <c r="OD25" i="10" l="1"/>
  <c r="NW25" i="10"/>
  <c r="OD24" i="10" l="1"/>
  <c r="NW24" i="10"/>
  <c r="OD22" i="10" l="1"/>
  <c r="OD23" i="10"/>
  <c r="NW22" i="10" l="1"/>
  <c r="NW23" i="10"/>
  <c r="NW21" i="10" l="1"/>
  <c r="OD21" i="10"/>
  <c r="OD20" i="10" l="1"/>
  <c r="NW20" i="10"/>
  <c r="OD19" i="10" l="1"/>
  <c r="NW19" i="10"/>
  <c r="OD18" i="10" l="1"/>
  <c r="NW18" i="10"/>
  <c r="OD17" i="10"/>
  <c r="NW17" i="10"/>
  <c r="OD16" i="10" l="1"/>
  <c r="NW16" i="10"/>
  <c r="OD15" i="10"/>
  <c r="NW15" i="10" l="1"/>
  <c r="OD14" i="10" l="1"/>
  <c r="NW14" i="10"/>
  <c r="OD13" i="10" l="1"/>
  <c r="NW13" i="10"/>
  <c r="OD12" i="10" l="1"/>
  <c r="NW12" i="10"/>
  <c r="OD11" i="10" l="1"/>
  <c r="NW11" i="10"/>
  <c r="NW10" i="10"/>
  <c r="OD10" i="10"/>
  <c r="OD9" i="10" l="1"/>
  <c r="NW9" i="10"/>
  <c r="B367" i="11"/>
  <c r="OD8" i="10"/>
  <c r="NW8" i="10"/>
  <c r="CE367" i="11" l="1"/>
  <c r="F367" i="11"/>
  <c r="OD7" i="10"/>
  <c r="NW7" i="10"/>
  <c r="OD6" i="10" l="1"/>
  <c r="NW6" i="10"/>
  <c r="OD5" i="10" l="1"/>
  <c r="NW5" i="10"/>
  <c r="OD4" i="10" l="1"/>
  <c r="NW4" i="10"/>
  <c r="CE385" i="11" l="1"/>
  <c r="NZ186" i="10" l="1"/>
  <c r="NZ185" i="10" l="1"/>
  <c r="B287" i="11" l="1"/>
  <c r="F287" i="11" s="1"/>
  <c r="OD3" i="10"/>
  <c r="OD2" i="10"/>
  <c r="B372" i="11" l="1"/>
  <c r="F372" i="11" s="1"/>
  <c r="CE287" i="11"/>
  <c r="G372" i="11" l="1"/>
  <c r="CE372" i="11" l="1"/>
  <c r="B4" i="11" l="1"/>
  <c r="CE4" i="11" l="1"/>
  <c r="F4" i="11"/>
  <c r="G366" i="11"/>
  <c r="B366" i="11" l="1"/>
  <c r="F366" i="11" s="1"/>
  <c r="CE366" i="11" l="1"/>
  <c r="BF374" i="11" l="1"/>
  <c r="AR374" i="11" l="1"/>
  <c r="AQ374" i="11"/>
  <c r="AP374" i="11"/>
  <c r="AS374" i="11"/>
  <c r="AT374" i="11"/>
  <c r="B25" i="11"/>
  <c r="F25" i="11" s="1"/>
  <c r="CE25" i="11" l="1"/>
  <c r="L374" i="11"/>
  <c r="I374" i="11"/>
  <c r="Z374" i="11"/>
  <c r="J374" i="11"/>
  <c r="AA374" i="11"/>
  <c r="G286" i="11"/>
  <c r="G373" i="11" s="1"/>
  <c r="T374" i="11"/>
  <c r="AK374" i="11"/>
  <c r="Y374" i="11"/>
  <c r="N374" i="11"/>
  <c r="S374" i="11"/>
  <c r="W374" i="11"/>
  <c r="AF374" i="11"/>
  <c r="AJ374" i="11"/>
  <c r="AN374" i="11"/>
  <c r="AL374" i="11"/>
  <c r="AM374" i="11"/>
  <c r="AG374" i="11"/>
  <c r="V374" i="11"/>
  <c r="M374" i="11"/>
  <c r="AE374" i="11"/>
  <c r="X374" i="11"/>
  <c r="H374" i="11"/>
  <c r="AD374" i="11"/>
  <c r="K374" i="11"/>
  <c r="P374" i="11"/>
  <c r="AC374" i="11"/>
  <c r="AO374" i="11"/>
  <c r="AH374" i="11"/>
  <c r="U374" i="11"/>
  <c r="R374" i="11"/>
  <c r="AI374" i="11"/>
  <c r="Q374" i="11"/>
  <c r="B24" i="11"/>
  <c r="CE24" i="11" s="1"/>
  <c r="F24" i="11" l="1"/>
  <c r="B286" i="11"/>
  <c r="CE286" i="11" l="1"/>
  <c r="B373" i="11"/>
  <c r="F286" i="11"/>
  <c r="CE373" i="11" l="1"/>
  <c r="F373" i="11"/>
</calcChain>
</file>

<file path=xl/comments1.xml><?xml version="1.0" encoding="utf-8"?>
<comments xmlns="http://schemas.openxmlformats.org/spreadsheetml/2006/main">
  <authors>
    <author>Ольга</author>
    <author>Office-pc</author>
  </authors>
  <commentList>
    <comment ref="OC5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18/01</t>
        </r>
      </text>
    </comment>
    <comment ref="OC6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20/01</t>
        </r>
      </text>
    </comment>
    <comment ref="OC8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11/01</t>
        </r>
      </text>
    </comment>
    <comment ref="OC11" authorId="1">
      <text>
        <r>
          <rPr>
            <b/>
            <sz val="9"/>
            <color indexed="81"/>
            <rFont val="Tahoma"/>
            <charset val="1"/>
          </rPr>
          <t>Office-pc:</t>
        </r>
        <r>
          <rPr>
            <sz val="9"/>
            <color indexed="81"/>
            <rFont val="Tahoma"/>
            <charset val="1"/>
          </rPr>
          <t xml:space="preserve">
28/01</t>
        </r>
      </text>
    </comment>
    <comment ref="OC12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12/01</t>
        </r>
      </text>
    </comment>
    <comment ref="OC13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12/01</t>
        </r>
      </text>
    </comment>
    <comment ref="OC15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12/01
31/01</t>
        </r>
      </text>
    </comment>
    <comment ref="OC16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18/01</t>
        </r>
      </text>
    </comment>
    <comment ref="OC17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18/01</t>
        </r>
      </text>
    </comment>
    <comment ref="OC18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18/01</t>
        </r>
      </text>
    </comment>
    <comment ref="OC23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11/01
18/01</t>
        </r>
      </text>
    </comment>
    <comment ref="OC26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05/01</t>
        </r>
      </text>
    </comment>
    <comment ref="OC27" authorId="1">
      <text>
        <r>
          <rPr>
            <b/>
            <sz val="9"/>
            <color indexed="81"/>
            <rFont val="Tahoma"/>
            <charset val="1"/>
          </rPr>
          <t>Office-pc:</t>
        </r>
        <r>
          <rPr>
            <sz val="9"/>
            <color indexed="81"/>
            <rFont val="Tahoma"/>
            <charset val="1"/>
          </rPr>
          <t xml:space="preserve">
28/01</t>
        </r>
      </text>
    </comment>
    <comment ref="OC30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03/01</t>
        </r>
      </text>
    </comment>
    <comment ref="OC31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17/01</t>
        </r>
      </text>
    </comment>
    <comment ref="OC33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13/01</t>
        </r>
      </text>
    </comment>
    <comment ref="OC34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20/01</t>
        </r>
      </text>
    </comment>
    <comment ref="OC35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10/01
11/01</t>
        </r>
      </text>
    </comment>
    <comment ref="OC36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18/01</t>
        </r>
      </text>
    </comment>
    <comment ref="OC37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11/01</t>
        </r>
      </text>
    </comment>
    <comment ref="OC38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11/01</t>
        </r>
      </text>
    </comment>
    <comment ref="OC39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05/01</t>
        </r>
      </text>
    </comment>
    <comment ref="OC40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03/01</t>
        </r>
      </text>
    </comment>
    <comment ref="OC43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20/01</t>
        </r>
      </text>
    </comment>
    <comment ref="OC47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11/01</t>
        </r>
      </text>
    </comment>
    <comment ref="OC50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10/01</t>
        </r>
      </text>
    </comment>
    <comment ref="OC52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11/01</t>
        </r>
      </text>
    </comment>
    <comment ref="OC53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18/01</t>
        </r>
      </text>
    </comment>
    <comment ref="OC54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12/01</t>
        </r>
      </text>
    </comment>
    <comment ref="OC58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05/01</t>
        </r>
      </text>
    </comment>
    <comment ref="OC60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19/01</t>
        </r>
      </text>
    </comment>
    <comment ref="OC66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12/01</t>
        </r>
      </text>
    </comment>
    <comment ref="OC71" author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10/01</t>
        </r>
      </text>
    </comment>
    <comment ref="OC72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13/01</t>
        </r>
      </text>
    </comment>
    <comment ref="OC73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10/01</t>
        </r>
      </text>
    </comment>
    <comment ref="OC74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17/01</t>
        </r>
      </text>
    </comment>
    <comment ref="OC76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11/01</t>
        </r>
      </text>
    </comment>
    <comment ref="OC77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13/01</t>
        </r>
      </text>
    </comment>
    <comment ref="OC80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18/01</t>
        </r>
      </text>
    </comment>
    <comment ref="OC81" author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18/01</t>
        </r>
      </text>
    </comment>
    <comment ref="OC82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18/01</t>
        </r>
      </text>
    </comment>
    <comment ref="OC84" authorId="1">
      <text>
        <r>
          <rPr>
            <b/>
            <sz val="9"/>
            <color indexed="81"/>
            <rFont val="Tahoma"/>
            <charset val="1"/>
          </rPr>
          <t>Office-pc:</t>
        </r>
        <r>
          <rPr>
            <sz val="9"/>
            <color indexed="81"/>
            <rFont val="Tahoma"/>
            <charset val="1"/>
          </rPr>
          <t xml:space="preserve">
21/01</t>
        </r>
      </text>
    </comment>
    <comment ref="OC85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17/01</t>
        </r>
      </text>
    </comment>
    <comment ref="OC88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03/01</t>
        </r>
      </text>
    </comment>
    <comment ref="OC91" authorId="1">
      <text>
        <r>
          <rPr>
            <b/>
            <sz val="9"/>
            <color indexed="81"/>
            <rFont val="Tahoma"/>
            <charset val="1"/>
          </rPr>
          <t>Office-pc:</t>
        </r>
        <r>
          <rPr>
            <sz val="9"/>
            <color indexed="81"/>
            <rFont val="Tahoma"/>
            <charset val="1"/>
          </rPr>
          <t xml:space="preserve">
24/01</t>
        </r>
      </text>
    </comment>
    <comment ref="OC94" author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18/01</t>
        </r>
      </text>
    </comment>
    <comment ref="OC100" authorId="1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31/01</t>
        </r>
      </text>
    </comment>
    <comment ref="OC102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18/01
25/01</t>
        </r>
      </text>
    </comment>
    <comment ref="OC104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20/01</t>
        </r>
      </text>
    </comment>
    <comment ref="OC110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12/01</t>
        </r>
      </text>
    </comment>
    <comment ref="OC111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03/01
31/01</t>
        </r>
      </text>
    </comment>
    <comment ref="OC115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05/01</t>
        </r>
      </text>
    </comment>
    <comment ref="OC118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06/01
18/01
20/01
21/01</t>
        </r>
      </text>
    </comment>
    <comment ref="OC121" authorId="1">
      <text>
        <r>
          <rPr>
            <b/>
            <sz val="9"/>
            <color indexed="81"/>
            <rFont val="Tahoma"/>
            <charset val="1"/>
          </rPr>
          <t>Office-pc:</t>
        </r>
        <r>
          <rPr>
            <sz val="9"/>
            <color indexed="81"/>
            <rFont val="Tahoma"/>
            <charset val="1"/>
          </rPr>
          <t xml:space="preserve">
28/01</t>
        </r>
      </text>
    </comment>
    <comment ref="OC122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14/01
31/01</t>
        </r>
      </text>
    </comment>
    <comment ref="OC126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03/01</t>
        </r>
      </text>
    </comment>
    <comment ref="OC128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14/01</t>
        </r>
      </text>
    </comment>
    <comment ref="OC132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19/01</t>
        </r>
      </text>
    </comment>
    <comment ref="OC134" authorId="1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25/01</t>
        </r>
      </text>
    </comment>
    <comment ref="OC136" authorId="0">
      <text>
        <r>
          <rPr>
            <b/>
            <sz val="9"/>
            <color indexed="81"/>
            <rFont val="Tahoma"/>
            <charset val="1"/>
          </rPr>
          <t>Ольга:</t>
        </r>
        <r>
          <rPr>
            <sz val="9"/>
            <color indexed="81"/>
            <rFont val="Tahoma"/>
            <charset val="1"/>
          </rPr>
          <t xml:space="preserve">
14/01</t>
        </r>
      </text>
    </comment>
    <comment ref="OC149" authorId="1">
      <text>
        <r>
          <rPr>
            <b/>
            <sz val="9"/>
            <color indexed="81"/>
            <rFont val="Tahoma"/>
            <charset val="1"/>
          </rPr>
          <t>Office-pc:</t>
        </r>
        <r>
          <rPr>
            <sz val="9"/>
            <color indexed="81"/>
            <rFont val="Tahoma"/>
            <charset val="1"/>
          </rPr>
          <t xml:space="preserve">
24/01</t>
        </r>
      </text>
    </comment>
    <comment ref="OC154" authorId="1">
      <text>
        <r>
          <rPr>
            <b/>
            <sz val="9"/>
            <color indexed="81"/>
            <rFont val="Tahoma"/>
            <charset val="1"/>
          </rPr>
          <t>Office-pc:</t>
        </r>
        <r>
          <rPr>
            <sz val="9"/>
            <color indexed="81"/>
            <rFont val="Tahoma"/>
            <charset val="1"/>
          </rPr>
          <t xml:space="preserve">
24/01</t>
        </r>
      </text>
    </comment>
    <comment ref="OC159" authorId="1">
      <text>
        <r>
          <rPr>
            <b/>
            <sz val="9"/>
            <color indexed="81"/>
            <rFont val="Tahoma"/>
            <family val="2"/>
            <charset val="204"/>
          </rPr>
          <t>Office-pc:</t>
        </r>
        <r>
          <rPr>
            <sz val="9"/>
            <color indexed="81"/>
            <rFont val="Tahoma"/>
            <family val="2"/>
            <charset val="204"/>
          </rPr>
          <t xml:space="preserve">
24/01</t>
        </r>
      </text>
    </comment>
    <comment ref="OC166" authorId="1">
      <text>
        <r>
          <rPr>
            <b/>
            <sz val="9"/>
            <color indexed="81"/>
            <rFont val="Tahoma"/>
            <charset val="1"/>
          </rPr>
          <t>Office-pc:</t>
        </r>
        <r>
          <rPr>
            <sz val="9"/>
            <color indexed="81"/>
            <rFont val="Tahoma"/>
            <charset val="1"/>
          </rPr>
          <t xml:space="preserve">
21/01</t>
        </r>
      </text>
    </comment>
  </commentList>
</comments>
</file>

<file path=xl/comments2.xml><?xml version="1.0" encoding="utf-8"?>
<comments xmlns="http://schemas.openxmlformats.org/spreadsheetml/2006/main">
  <authors>
    <author>Ольга</author>
    <author>Lesli2</author>
  </authors>
  <commentList>
    <comment ref="CD192" author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образец</t>
        </r>
      </text>
    </comment>
    <comment ref="CD281" authorId="0">
      <text>
        <r>
          <rPr>
            <b/>
            <sz val="9"/>
            <color indexed="81"/>
            <rFont val="Tahoma"/>
            <family val="2"/>
            <charset val="204"/>
          </rPr>
          <t>Ольга:</t>
        </r>
        <r>
          <rPr>
            <sz val="9"/>
            <color indexed="81"/>
            <rFont val="Tahoma"/>
            <family val="2"/>
            <charset val="204"/>
          </rPr>
          <t xml:space="preserve">
образец</t>
        </r>
      </text>
    </comment>
    <comment ref="CE380" authorId="1">
      <text>
        <r>
          <rPr>
            <sz val="9"/>
            <color indexed="81"/>
            <rFont val="Tahoma"/>
            <family val="2"/>
            <charset val="204"/>
          </rPr>
          <t xml:space="preserve">сумма предоплаты на 01.01.22 - 32256 руб.   </t>
        </r>
      </text>
    </comment>
  </commentList>
</comments>
</file>

<file path=xl/sharedStrings.xml><?xml version="1.0" encoding="utf-8"?>
<sst xmlns="http://schemas.openxmlformats.org/spreadsheetml/2006/main" count="1446" uniqueCount="591">
  <si>
    <t>дата отгр</t>
  </si>
  <si>
    <t>Малина</t>
  </si>
  <si>
    <t>Ром 550</t>
  </si>
  <si>
    <t>Итого</t>
  </si>
  <si>
    <t>вид товара</t>
  </si>
  <si>
    <t>сумма отгр</t>
  </si>
  <si>
    <t>масса</t>
  </si>
  <si>
    <t>фасовка</t>
  </si>
  <si>
    <t>себест</t>
  </si>
  <si>
    <t xml:space="preserve"> ароматизаторов</t>
  </si>
  <si>
    <t>кг.</t>
  </si>
  <si>
    <t>прих</t>
  </si>
  <si>
    <t>Ванильно-сливочный 95</t>
  </si>
  <si>
    <t>Груша 95</t>
  </si>
  <si>
    <t>Клубника 546</t>
  </si>
  <si>
    <t>Лимон 517</t>
  </si>
  <si>
    <t>Лимонад 563</t>
  </si>
  <si>
    <t>Персик 547</t>
  </si>
  <si>
    <t>Фундук 521</t>
  </si>
  <si>
    <t>Экстра-ситро 540</t>
  </si>
  <si>
    <t>Черная смородина 522</t>
  </si>
  <si>
    <t>итого</t>
  </si>
  <si>
    <t>всего</t>
  </si>
  <si>
    <t>остаток после заявок</t>
  </si>
  <si>
    <t>Фрукт ассорти</t>
  </si>
  <si>
    <t>Мед 536</t>
  </si>
  <si>
    <t>Миндаль 564</t>
  </si>
  <si>
    <t>Ирисо-сливочный 531</t>
  </si>
  <si>
    <t>Мята</t>
  </si>
  <si>
    <t>Молоко сгущенное 599</t>
  </si>
  <si>
    <t>Дарида</t>
  </si>
  <si>
    <t>отгр</t>
  </si>
  <si>
    <t>Крем-сода 608</t>
  </si>
  <si>
    <t xml:space="preserve"> </t>
  </si>
  <si>
    <t>партии</t>
  </si>
  <si>
    <t>Комп.для нап."Лимонад"</t>
  </si>
  <si>
    <t>аромы</t>
  </si>
  <si>
    <t>Себест, руб с ндс</t>
  </si>
  <si>
    <t>рент</t>
  </si>
  <si>
    <t xml:space="preserve"> руб с ндс</t>
  </si>
  <si>
    <t>Молоко-ваниль 916</t>
  </si>
  <si>
    <t>Дата</t>
  </si>
  <si>
    <t>Сливки 578</t>
  </si>
  <si>
    <t>поставки</t>
  </si>
  <si>
    <t>Колер сахарный</t>
  </si>
  <si>
    <t>Витьба</t>
  </si>
  <si>
    <t>Червень</t>
  </si>
  <si>
    <t>Изоамилоцетат</t>
  </si>
  <si>
    <t>Кокос 589</t>
  </si>
  <si>
    <t>Клюква 727</t>
  </si>
  <si>
    <t>Сливки 735</t>
  </si>
  <si>
    <t>Апельсин 585</t>
  </si>
  <si>
    <t>Лесная ягода 710</t>
  </si>
  <si>
    <t>сумма отгр USD</t>
  </si>
  <si>
    <t>Мармикс 200</t>
  </si>
  <si>
    <t>Киви 641</t>
  </si>
  <si>
    <t>Ванильный 762</t>
  </si>
  <si>
    <t>Коммунарка</t>
  </si>
  <si>
    <t xml:space="preserve">себест </t>
  </si>
  <si>
    <t>Михаэлла</t>
  </si>
  <si>
    <t>кг с ндс</t>
  </si>
  <si>
    <t>Фундук 662</t>
  </si>
  <si>
    <t>Лимон 602</t>
  </si>
  <si>
    <t>Имбирь 685</t>
  </si>
  <si>
    <t>Крем-брюле 713</t>
  </si>
  <si>
    <t>Шоколад 683</t>
  </si>
  <si>
    <t>АВС</t>
  </si>
  <si>
    <t>Свитлэнд 200К</t>
  </si>
  <si>
    <t>Клубника 96</t>
  </si>
  <si>
    <t>Вишня 95</t>
  </si>
  <si>
    <t>Молоко топленое 785</t>
  </si>
  <si>
    <t>Чернослив 673</t>
  </si>
  <si>
    <t>краситель</t>
  </si>
  <si>
    <t>Долг Аэросвит USD</t>
  </si>
  <si>
    <t>Банан 527</t>
  </si>
  <si>
    <t>Карамель 594</t>
  </si>
  <si>
    <t>Малина 587</t>
  </si>
  <si>
    <t>Домочай</t>
  </si>
  <si>
    <r>
      <t xml:space="preserve">Оплата в </t>
    </r>
    <r>
      <rPr>
        <b/>
        <sz val="11"/>
        <rFont val="Arial Cyr"/>
        <charset val="204"/>
      </rPr>
      <t>Аэросвит USD</t>
    </r>
  </si>
  <si>
    <t>Абрикос 583</t>
  </si>
  <si>
    <t>Городея</t>
  </si>
  <si>
    <t>Каскад</t>
  </si>
  <si>
    <t>Ваниль-карамель 659</t>
  </si>
  <si>
    <t>Арбуз 678</t>
  </si>
  <si>
    <t>Дыня медовая 674</t>
  </si>
  <si>
    <t>Грушевый 663</t>
  </si>
  <si>
    <t>Земляника 512</t>
  </si>
  <si>
    <t>Сыр сливочный 1137</t>
  </si>
  <si>
    <t>Апельсин 508</t>
  </si>
  <si>
    <t>Мед 669</t>
  </si>
  <si>
    <t>Абрикос 95</t>
  </si>
  <si>
    <t>Пломбир 706</t>
  </si>
  <si>
    <t>Витебск х/п</t>
  </si>
  <si>
    <t>Маргаринка</t>
  </si>
  <si>
    <t>Регион</t>
  </si>
  <si>
    <t>Молоко сгущенное 739</t>
  </si>
  <si>
    <t>Михромовый тархун 0279</t>
  </si>
  <si>
    <t>мармикс</t>
  </si>
  <si>
    <t>Клубника 653</t>
  </si>
  <si>
    <t>Шоколад 609</t>
  </si>
  <si>
    <t>тип Клюква 1101</t>
  </si>
  <si>
    <t>тип Лимон 535</t>
  </si>
  <si>
    <t>Акванат Турмерик 0009</t>
  </si>
  <si>
    <t>Акванат кармин 0019/2</t>
  </si>
  <si>
    <t>Акванат кармин 0045</t>
  </si>
  <si>
    <t>Акванат аннатто 0006</t>
  </si>
  <si>
    <t>Аквабетин бетакаротин 0200В</t>
  </si>
  <si>
    <t>Халва 747</t>
  </si>
  <si>
    <t>Бисквит 677</t>
  </si>
  <si>
    <t>Клубника 665</t>
  </si>
  <si>
    <t>Персик 1209</t>
  </si>
  <si>
    <t>Барбарис 502</t>
  </si>
  <si>
    <t>Дюшес 511</t>
  </si>
  <si>
    <t>Персик 716</t>
  </si>
  <si>
    <t>Пунш 520</t>
  </si>
  <si>
    <t>Цитрусовый 603 тип Лимон</t>
  </si>
  <si>
    <t>Ягодный 1152 тип Клубника</t>
  </si>
  <si>
    <t>Апельсин 526</t>
  </si>
  <si>
    <t>Шоколад 1205</t>
  </si>
  <si>
    <t>Яблоко 580</t>
  </si>
  <si>
    <t>Акванат паприка 0018</t>
  </si>
  <si>
    <t>Кофе 515</t>
  </si>
  <si>
    <t>Пломбир 1159</t>
  </si>
  <si>
    <t>Грецкий орех 582</t>
  </si>
  <si>
    <t>Карамель 787</t>
  </si>
  <si>
    <t>Сливки 1117</t>
  </si>
  <si>
    <t>Ваниль 794</t>
  </si>
  <si>
    <t>Михромовый зеленое яблоко 0280</t>
  </si>
  <si>
    <t>Сметана 742</t>
  </si>
  <si>
    <t>Спартак</t>
  </si>
  <si>
    <t>Михромовый зеленый 0311В</t>
  </si>
  <si>
    <t>Тутти-фрутти 618</t>
  </si>
  <si>
    <t>Черника 553</t>
  </si>
  <si>
    <t>Мед 96</t>
  </si>
  <si>
    <t>Мята 614</t>
  </si>
  <si>
    <t>Черника 1318</t>
  </si>
  <si>
    <t>Мармикс 200С</t>
  </si>
  <si>
    <t>Рутилус</t>
  </si>
  <si>
    <t>Экоплант Зкстракт красный 0298 WS</t>
  </si>
  <si>
    <t>Сыр маскорпоне 1138</t>
  </si>
  <si>
    <t>ИТОГО</t>
  </si>
  <si>
    <t>Дыня 530</t>
  </si>
  <si>
    <t>Ягодный 1184 тип Земляника</t>
  </si>
  <si>
    <t>Лодисс</t>
  </si>
  <si>
    <t>Ягодный 1160 тип Малина</t>
  </si>
  <si>
    <t>Чеснок 649</t>
  </si>
  <si>
    <t>Кр.Мозырянин</t>
  </si>
  <si>
    <t>Ваниль 1313</t>
  </si>
  <si>
    <t>Клюква 607</t>
  </si>
  <si>
    <t>Клюква 95</t>
  </si>
  <si>
    <t>Лесная ягода 1176</t>
  </si>
  <si>
    <t>Мармикс 200.5</t>
  </si>
  <si>
    <t>Марыля</t>
  </si>
  <si>
    <t>Земляника 579</t>
  </si>
  <si>
    <t>Квас 1128</t>
  </si>
  <si>
    <t>Лимонад 1167</t>
  </si>
  <si>
    <t>Мята 1195</t>
  </si>
  <si>
    <t>Кола 408</t>
  </si>
  <si>
    <t>Яблоко зеленое 629</t>
  </si>
  <si>
    <t>Акванат кармин 0002</t>
  </si>
  <si>
    <t>Манго 684</t>
  </si>
  <si>
    <t>Тирамису 700</t>
  </si>
  <si>
    <t>Оплата</t>
  </si>
  <si>
    <t>Долг</t>
  </si>
  <si>
    <t>Кола 584</t>
  </si>
  <si>
    <t>Малина 1370</t>
  </si>
  <si>
    <t>Цитрусовый 420 тип Апельсин</t>
  </si>
  <si>
    <t>Банан</t>
  </si>
  <si>
    <t>Молоко-ваниль 956/М</t>
  </si>
  <si>
    <t>Земляника лесная 652</t>
  </si>
  <si>
    <t>Крем-брюле 766</t>
  </si>
  <si>
    <t>Карамель сливочная 779</t>
  </si>
  <si>
    <t>Пряник тульский 1172</t>
  </si>
  <si>
    <t>Пряный 1133 тип тархун</t>
  </si>
  <si>
    <t>Тропик 566</t>
  </si>
  <si>
    <t>Ананас 572</t>
  </si>
  <si>
    <t>Ваниль 1347</t>
  </si>
  <si>
    <t>Черная смородина 1206</t>
  </si>
  <si>
    <t>Красная смородина 699</t>
  </si>
  <si>
    <t>Морозпродукт</t>
  </si>
  <si>
    <t>молоко-ваниль 633</t>
  </si>
  <si>
    <t>Клубника 1204</t>
  </si>
  <si>
    <t>ММЗ1</t>
  </si>
  <si>
    <t>Какао 604</t>
  </si>
  <si>
    <t>Лайм бразильский 1144</t>
  </si>
  <si>
    <t>тип Мятный</t>
  </si>
  <si>
    <t>Акванат хлорофилл 0227</t>
  </si>
  <si>
    <t>Кармуазин Р 02, РФ</t>
  </si>
  <si>
    <t>Абрикос 696</t>
  </si>
  <si>
    <t>Новотон S голубой лед 109</t>
  </si>
  <si>
    <t>Ягодный 1356 тип Клюква садовая</t>
  </si>
  <si>
    <t>Клубника 1103</t>
  </si>
  <si>
    <t>Кокос-сливки 1186</t>
  </si>
  <si>
    <t>Крем-кокос 672</t>
  </si>
  <si>
    <t>Миндаль жареный 712</t>
  </si>
  <si>
    <t>Слива 506</t>
  </si>
  <si>
    <t>Кола 425</t>
  </si>
  <si>
    <t>Лимон 1189</t>
  </si>
  <si>
    <t>Фундук 1197</t>
  </si>
  <si>
    <t>СКЛАД</t>
  </si>
  <si>
    <t>Апельсин 797</t>
  </si>
  <si>
    <t>Фисташка 1127</t>
  </si>
  <si>
    <t>Беловежские сыры</t>
  </si>
  <si>
    <t>Кофе капучино 755</t>
  </si>
  <si>
    <t>Молоко топленое 770</t>
  </si>
  <si>
    <t>Холодок 791</t>
  </si>
  <si>
    <t>Макбор</t>
  </si>
  <si>
    <t>Экоплант Зкстракт фиолетовый 0305 WS</t>
  </si>
  <si>
    <t>Гомель х/п</t>
  </si>
  <si>
    <t>Тартразин Р02, РФ</t>
  </si>
  <si>
    <t>Михромовый красный 0164</t>
  </si>
  <si>
    <t>Вишня северная 510</t>
  </si>
  <si>
    <t>Саяны 781</t>
  </si>
  <si>
    <t>Тархун 537</t>
  </si>
  <si>
    <t>Яблоко 95</t>
  </si>
  <si>
    <t>Крюшон 516</t>
  </si>
  <si>
    <t>Экотон Кармин 0023</t>
  </si>
  <si>
    <t>Апельсин 1421</t>
  </si>
  <si>
    <t>Ирландский крем 1396</t>
  </si>
  <si>
    <t>Виноград 690</t>
  </si>
  <si>
    <t>Масло ваниль 675</t>
  </si>
  <si>
    <t>Барбарис 752</t>
  </si>
  <si>
    <t>Лимон 1207</t>
  </si>
  <si>
    <t>Гранат 728</t>
  </si>
  <si>
    <t>Творог 722</t>
  </si>
  <si>
    <t>Вареная сгущенка 650</t>
  </si>
  <si>
    <t>Квас 035</t>
  </si>
  <si>
    <t>Ананас 95</t>
  </si>
  <si>
    <t>Ром ямайский 1136</t>
  </si>
  <si>
    <t>сумма отгр росс. рублях</t>
  </si>
  <si>
    <r>
      <t xml:space="preserve">Оплата в </t>
    </r>
    <r>
      <rPr>
        <b/>
        <sz val="11"/>
        <rFont val="Arial Cyr"/>
        <charset val="204"/>
      </rPr>
      <t>КХПА росс. Рублях</t>
    </r>
  </si>
  <si>
    <t>Долг КХПА росс. Рублях</t>
  </si>
  <si>
    <t>сумма отгр $</t>
  </si>
  <si>
    <r>
      <t xml:space="preserve">Долг </t>
    </r>
    <r>
      <rPr>
        <b/>
        <sz val="11"/>
        <rFont val="Arial Cyr"/>
        <charset val="204"/>
      </rPr>
      <t>Экоресурс USD</t>
    </r>
  </si>
  <si>
    <t>Апельсин сицилийский 1351</t>
  </si>
  <si>
    <t>Ферронат Горький шоколад 029</t>
  </si>
  <si>
    <t>Замутнитель</t>
  </si>
  <si>
    <t>Лимон-лайм 630</t>
  </si>
  <si>
    <t>Цитрусовый 418 тип Апельсин</t>
  </si>
  <si>
    <t>Кокос-сливки 637</t>
  </si>
  <si>
    <t>Ромовый 616</t>
  </si>
  <si>
    <t>Пряный 1120 тип мята</t>
  </si>
  <si>
    <t>Экотан антоцианин 0029/2</t>
  </si>
  <si>
    <t>Михромовый тархун 0296</t>
  </si>
  <si>
    <t>Новогрудок</t>
  </si>
  <si>
    <t>Шоколад темный 765</t>
  </si>
  <si>
    <t>Яблоко 1102</t>
  </si>
  <si>
    <t>Акванат кармин 0020</t>
  </si>
  <si>
    <t>Виноград 509</t>
  </si>
  <si>
    <t>Кокос 556</t>
  </si>
  <si>
    <t>Карамель 642</t>
  </si>
  <si>
    <t>Черника 740</t>
  </si>
  <si>
    <t>Грейпфрут 645</t>
  </si>
  <si>
    <t>свитлэнд</t>
  </si>
  <si>
    <t>Вареная сгущенка 1202</t>
  </si>
  <si>
    <t>Вишневый 1369</t>
  </si>
  <si>
    <t>Юниаква</t>
  </si>
  <si>
    <t>Лимонад 503/2</t>
  </si>
  <si>
    <t>Бекон 707</t>
  </si>
  <si>
    <t>Мармикс 25</t>
  </si>
  <si>
    <t>Сливки 1208</t>
  </si>
  <si>
    <t>Молоко сгущенное 1462</t>
  </si>
  <si>
    <t>Груша 573</t>
  </si>
  <si>
    <t>Яблоко 1364</t>
  </si>
  <si>
    <t>Акванат хлорофилл 0008</t>
  </si>
  <si>
    <t>Сытые братья</t>
  </si>
  <si>
    <t>Масло сливки 661</t>
  </si>
  <si>
    <t>Крем-ликер 639</t>
  </si>
  <si>
    <t>Ваниль 794/02</t>
  </si>
  <si>
    <t>Арахис 613</t>
  </si>
  <si>
    <t>Клубника 1459</t>
  </si>
  <si>
    <t>Кукурузное зерно 1213</t>
  </si>
  <si>
    <t>Михром белый 0028В</t>
  </si>
  <si>
    <t>Михром черный 0604В</t>
  </si>
  <si>
    <t>Ванильно-пряный 529</t>
  </si>
  <si>
    <t>Жареная семечка 1211</t>
  </si>
  <si>
    <t>Груша 1466</t>
  </si>
  <si>
    <t>Тартразин Esлак</t>
  </si>
  <si>
    <t>Кармуазин ES лак</t>
  </si>
  <si>
    <t>Новотон S северная черника 108</t>
  </si>
  <si>
    <t>Новотон S Черная смородина 110</t>
  </si>
  <si>
    <t>Лимон 1400</t>
  </si>
  <si>
    <t>Паприка 693</t>
  </si>
  <si>
    <t>Апельсин 1350</t>
  </si>
  <si>
    <t>Виноград изабелла 784</t>
  </si>
  <si>
    <t>Крем-сода 549</t>
  </si>
  <si>
    <t>Ананас 070</t>
  </si>
  <si>
    <t>Ванильный 774</t>
  </si>
  <si>
    <t>Коньячный 615</t>
  </si>
  <si>
    <t>Лесной орех 1156</t>
  </si>
  <si>
    <t>Масло сладко-сливочное 1190</t>
  </si>
  <si>
    <t>Сливки топленые 1420</t>
  </si>
  <si>
    <t>Диоксид титана AV-01FG</t>
  </si>
  <si>
    <t>Новотон R Пьяная вишня 112</t>
  </si>
  <si>
    <t>Новотон R Сочная клубника 102</t>
  </si>
  <si>
    <t>Новотон R Спелая малина 101</t>
  </si>
  <si>
    <t>Чай зеленый 731</t>
  </si>
  <si>
    <t>ИвАннаиК</t>
  </si>
  <si>
    <t>Остролюкс</t>
  </si>
  <si>
    <t>Банан 736</t>
  </si>
  <si>
    <t>Акванат Кармин 0328</t>
  </si>
  <si>
    <t>Бабушкина кр.</t>
  </si>
  <si>
    <t>Сладкая идея</t>
  </si>
  <si>
    <t xml:space="preserve">Индигокармин Р02 </t>
  </si>
  <si>
    <t xml:space="preserve">Синий блестящий FCF P 02 </t>
  </si>
  <si>
    <t xml:space="preserve">Черный блестящий PN P 02 </t>
  </si>
  <si>
    <t xml:space="preserve">Зеленое яблоко R 100 </t>
  </si>
  <si>
    <t>Йогурт 638</t>
  </si>
  <si>
    <t>Кофе 671</t>
  </si>
  <si>
    <t>Фруктовый 1306 тип Вишня</t>
  </si>
  <si>
    <t>Вареная сгущенка 751</t>
  </si>
  <si>
    <t>Михромовый красный 0211В</t>
  </si>
  <si>
    <t>Киви R 140</t>
  </si>
  <si>
    <t>Спелый персик R 550</t>
  </si>
  <si>
    <t>Пряный 1119 тип Байкальские травы</t>
  </si>
  <si>
    <t>Молоко топленое 1310</t>
  </si>
  <si>
    <t>Экотон Кармин 0025</t>
  </si>
  <si>
    <t>Масло сливочное 623</t>
  </si>
  <si>
    <t>Сыр 648</t>
  </si>
  <si>
    <t>тип Малина 1115</t>
  </si>
  <si>
    <t>Новотон Y Мастер Солнечный лимон 103</t>
  </si>
  <si>
    <t>Тархун G ЛАК 313</t>
  </si>
  <si>
    <t>Пряник 694</t>
  </si>
  <si>
    <t>Конопляное семя 1212</t>
  </si>
  <si>
    <t>Зеленый горошек R 110</t>
  </si>
  <si>
    <t>Брусника 610</t>
  </si>
  <si>
    <t>Маракуйя 1361</t>
  </si>
  <si>
    <t>Понсо 4R ES ЛАК</t>
  </si>
  <si>
    <t>Понсо 4R P 02</t>
  </si>
  <si>
    <t>Молоко топленое 1511</t>
  </si>
  <si>
    <t>Красный очаровательный</t>
  </si>
  <si>
    <t>Синий блестящий FCF ES лак</t>
  </si>
  <si>
    <t>Черная Смородина 317 лак</t>
  </si>
  <si>
    <t xml:space="preserve">Солнечный закат Р02 </t>
  </si>
  <si>
    <t>Зеленый S P 01</t>
  </si>
  <si>
    <t>Лайм 311 ЛАК</t>
  </si>
  <si>
    <t>Желтый солнечный закат ЛАК</t>
  </si>
  <si>
    <t>Желтый солнечный закат</t>
  </si>
  <si>
    <t>Коричневый HT P 02</t>
  </si>
  <si>
    <t xml:space="preserve">Коричневый HT  П01 </t>
  </si>
  <si>
    <t>Лимонадный 668</t>
  </si>
  <si>
    <t>Бабл гам 1507</t>
  </si>
  <si>
    <t>тип Мята сладкая 1125</t>
  </si>
  <si>
    <t>Михромовый зеленый 0031В</t>
  </si>
  <si>
    <t>Ежевика 660</t>
  </si>
  <si>
    <t>Трюфель 790</t>
  </si>
  <si>
    <t>Коньяк 532</t>
  </si>
  <si>
    <t>АРОМАКОЛОР DS/7</t>
  </si>
  <si>
    <t>Берестейский пекарь</t>
  </si>
  <si>
    <t>Йогурт 775</t>
  </si>
  <si>
    <t>Коктейль голубая лагуна 1487</t>
  </si>
  <si>
    <t>Черемуха 1382</t>
  </si>
  <si>
    <t>Столбцы</t>
  </si>
  <si>
    <t>Вишня 1104</t>
  </si>
  <si>
    <t xml:space="preserve">срок 29.06.18, </t>
  </si>
  <si>
    <t>Лимон 702</t>
  </si>
  <si>
    <t>Амаретто 769</t>
  </si>
  <si>
    <t>Вителла</t>
  </si>
  <si>
    <t>Белга</t>
  </si>
  <si>
    <t>Вишня 827 с красителем</t>
  </si>
  <si>
    <t>Вишня 1348</t>
  </si>
  <si>
    <t>Творожный крем 1109</t>
  </si>
  <si>
    <t>Вкус лета</t>
  </si>
  <si>
    <t>Комплекс лейк</t>
  </si>
  <si>
    <t>Масло сливочное 1116</t>
  </si>
  <si>
    <t>Ваниль сливочная 1181</t>
  </si>
  <si>
    <t>Фисташка 565</t>
  </si>
  <si>
    <t>Крем-брюле 612</t>
  </si>
  <si>
    <t>ЭССА</t>
  </si>
  <si>
    <t>Брусника 730</t>
  </si>
  <si>
    <t>Пружаны</t>
  </si>
  <si>
    <t>Мед 1155</t>
  </si>
  <si>
    <t>Сливки 1196</t>
  </si>
  <si>
    <t>Сливки сгущеные 760</t>
  </si>
  <si>
    <t>Главмолснаб</t>
  </si>
  <si>
    <t>Ванильный 1201</t>
  </si>
  <si>
    <t>Миндаль горький 1305</t>
  </si>
  <si>
    <t>Рогачев МКК</t>
  </si>
  <si>
    <t>Миндаль 505</t>
  </si>
  <si>
    <t>Облепиха 743</t>
  </si>
  <si>
    <t>Абибоки</t>
  </si>
  <si>
    <t>Кармин WS 50%</t>
  </si>
  <si>
    <t>Конц. Сок черной моркови</t>
  </si>
  <si>
    <t>тип Укроп 541</t>
  </si>
  <si>
    <t>Карамель 782</t>
  </si>
  <si>
    <t>Клубника 1185</t>
  </si>
  <si>
    <t>Молоко топленое 595</t>
  </si>
  <si>
    <t>Предоплата</t>
  </si>
  <si>
    <t>Булочная ман</t>
  </si>
  <si>
    <t>Чиз кейк 1134</t>
  </si>
  <si>
    <t>Диоксид титана Китай</t>
  </si>
  <si>
    <t>Экоплант Зкстракт синий 0304 WS</t>
  </si>
  <si>
    <t>Киви 1323</t>
  </si>
  <si>
    <t>Кола 1374</t>
  </si>
  <si>
    <t>Аспартам</t>
  </si>
  <si>
    <t>Вишня 1140</t>
  </si>
  <si>
    <t>Миндальный крем 1308</t>
  </si>
  <si>
    <t>Морепродукты FL 048 тип Рыба</t>
  </si>
  <si>
    <t>Аквамит кармин Р50</t>
  </si>
  <si>
    <t>Оплата в Экоресурс</t>
  </si>
  <si>
    <t>Экоплант Зкстракт Желтый 1071PS WS</t>
  </si>
  <si>
    <t>Экоплант Зкстракт синий 1073PS WS</t>
  </si>
  <si>
    <t>Вилейский х/зд</t>
  </si>
  <si>
    <t>Зеленое яблоко 312 ES ЛАК</t>
  </si>
  <si>
    <t>Корица 514</t>
  </si>
  <si>
    <t>Гвоздика 709</t>
  </si>
  <si>
    <t>Глубокский МК</t>
  </si>
  <si>
    <t>Фэбби</t>
  </si>
  <si>
    <t>Коричневый шоколад 318 лак</t>
  </si>
  <si>
    <t>Анис 1339</t>
  </si>
  <si>
    <t>Глиттер Морской бриз 012</t>
  </si>
  <si>
    <t>Глиттер Голубой топаз 002</t>
  </si>
  <si>
    <t>Глиттер Золото 006</t>
  </si>
  <si>
    <t>Глиттер Огненная вспышка 005</t>
  </si>
  <si>
    <t>Глиттер Серебро 007</t>
  </si>
  <si>
    <t>Глиттер Фиолетовый 047</t>
  </si>
  <si>
    <t>Фруктовый 1106 тип Пряное яблоко</t>
  </si>
  <si>
    <t>Фруктовый 1326 ти п Персик</t>
  </si>
  <si>
    <t>ТД система</t>
  </si>
  <si>
    <t>Темный шоколад 325 ЛАК</t>
  </si>
  <si>
    <t>Экотан антоцианин Р 0466</t>
  </si>
  <si>
    <t>Пряный 1498 тип мята</t>
  </si>
  <si>
    <t>остаток 01.01.2021</t>
  </si>
  <si>
    <t>Калина</t>
  </si>
  <si>
    <t>Белянтех</t>
  </si>
  <si>
    <t>снекпро</t>
  </si>
  <si>
    <t>КХПА</t>
  </si>
  <si>
    <t>Желтый 6 E110</t>
  </si>
  <si>
    <t>Желтый 5 E102</t>
  </si>
  <si>
    <t>Синий 1 E133</t>
  </si>
  <si>
    <t>Красный 40 E 129</t>
  </si>
  <si>
    <t>АРОМАКОЛОР P100</t>
  </si>
  <si>
    <t>Хиниловый желтый ES Лак</t>
  </si>
  <si>
    <t>Ванильно-сливочный 1502</t>
  </si>
  <si>
    <t>Борисов х/пром</t>
  </si>
  <si>
    <t>Солигорск х/зд</t>
  </si>
  <si>
    <t>Азбука снеков</t>
  </si>
  <si>
    <t>срок 09.06.18,01.02.21 - налоговая разрешает только миним.зарплату платить</t>
  </si>
  <si>
    <t>тип Абрикос 1107</t>
  </si>
  <si>
    <t>Дан дистрибьюшен</t>
  </si>
  <si>
    <t>Русарома</t>
  </si>
  <si>
    <t>Ванильно-сливочный 723</t>
  </si>
  <si>
    <t>Фруктовый 1325 ти Красный виноград</t>
  </si>
  <si>
    <t>Глиттер Малина 009</t>
  </si>
  <si>
    <t>Михромовый Фиолетовый 0603В</t>
  </si>
  <si>
    <t>Акванат паприка 0544</t>
  </si>
  <si>
    <t>Кр.Пищевик</t>
  </si>
  <si>
    <t>Цитрусовый 551</t>
  </si>
  <si>
    <t>Прованские травы 1336</t>
  </si>
  <si>
    <t>Ванильный 741</t>
  </si>
  <si>
    <t>Экотон Аннато 0011</t>
  </si>
  <si>
    <t>Тоффи 1170</t>
  </si>
  <si>
    <t>Молодечно МК</t>
  </si>
  <si>
    <t>Синий блестящий FCF S лак</t>
  </si>
  <si>
    <t>Глиттер Зеленое яблоко 010</t>
  </si>
  <si>
    <t>Коричневый шоколад R240</t>
  </si>
  <si>
    <t>Глиттер Жемчужный лимонный 020</t>
  </si>
  <si>
    <t>Глиттер Жемчужный синий 018</t>
  </si>
  <si>
    <t>тип Пломбир 1122</t>
  </si>
  <si>
    <t>Лимон 1139</t>
  </si>
  <si>
    <t>МЗВВ</t>
  </si>
  <si>
    <t>Тоффи 714</t>
  </si>
  <si>
    <t>срок 16.07.21</t>
  </si>
  <si>
    <t>Мохито 1153</t>
  </si>
  <si>
    <t>Фудмир</t>
  </si>
  <si>
    <t>Ип кореневский</t>
  </si>
  <si>
    <t>Толочинские сыры</t>
  </si>
  <si>
    <t>срок 30.10.21</t>
  </si>
  <si>
    <t>срок 22.08.21</t>
  </si>
  <si>
    <t>Мед 818 с красителем Е150а</t>
  </si>
  <si>
    <t>Гродно х/п</t>
  </si>
  <si>
    <t>Виноградно яблочный 209</t>
  </si>
  <si>
    <t>Лимонад 503</t>
  </si>
  <si>
    <t>Апельсин 403</t>
  </si>
  <si>
    <t>Кола 575</t>
  </si>
  <si>
    <t>Фруктовый 1343 тип Гранат</t>
  </si>
  <si>
    <t>срок 01.10.21</t>
  </si>
  <si>
    <t>28.12.2020,02.08.2021</t>
  </si>
  <si>
    <t>Ваниль 934/М</t>
  </si>
  <si>
    <t>срок 04.09.21</t>
  </si>
  <si>
    <t>срок 10.09.21</t>
  </si>
  <si>
    <t>срок 22.12.21</t>
  </si>
  <si>
    <t>срок 22.11.21</t>
  </si>
  <si>
    <t>срок 23.09.21</t>
  </si>
  <si>
    <t>Зеленое яблоко 312 ЛАК</t>
  </si>
  <si>
    <t>Ванильно-сливочный 906/С</t>
  </si>
  <si>
    <t>Дятлово мол. Мир</t>
  </si>
  <si>
    <t>Щучин мол.мир.</t>
  </si>
  <si>
    <t>Бейлиз 778</t>
  </si>
  <si>
    <t>Михромовый зеленый 0064В</t>
  </si>
  <si>
    <t>Абрикос Y R510</t>
  </si>
  <si>
    <t>Аквабетин бетакаротин 0101М</t>
  </si>
  <si>
    <t>срок 13.10.21</t>
  </si>
  <si>
    <t>срок 10.11.21</t>
  </si>
  <si>
    <t>с 2020 года</t>
  </si>
  <si>
    <t>дата</t>
  </si>
  <si>
    <t>сумма</t>
  </si>
  <si>
    <t>срок 17.10.21</t>
  </si>
  <si>
    <t>срок 28.11.21</t>
  </si>
  <si>
    <t>срок 01.12.21</t>
  </si>
  <si>
    <t>срок 17.11.21</t>
  </si>
  <si>
    <t>срок 13.11.21</t>
  </si>
  <si>
    <t>срок 15.11.21</t>
  </si>
  <si>
    <t>срок 15.12.21</t>
  </si>
  <si>
    <t>Рибофлавин, Китай</t>
  </si>
  <si>
    <t>срок 23.12.21</t>
  </si>
  <si>
    <t>срок 26.12.21</t>
  </si>
  <si>
    <t>срок 27.11.21</t>
  </si>
  <si>
    <t>срок 03.01.22</t>
  </si>
  <si>
    <t>срок 04.01.22</t>
  </si>
  <si>
    <t>срок 15.03.22</t>
  </si>
  <si>
    <t>срок 15.01.22</t>
  </si>
  <si>
    <t>срок 08.12.21</t>
  </si>
  <si>
    <t>срок 09.01.22</t>
  </si>
  <si>
    <t>срок 14.12.21</t>
  </si>
  <si>
    <t>срок 24.12.21</t>
  </si>
  <si>
    <t>срок 09.12.21</t>
  </si>
  <si>
    <t>срок 11.01.22</t>
  </si>
  <si>
    <t>срок 16.12.21</t>
  </si>
  <si>
    <t>азбука снеков</t>
  </si>
  <si>
    <t>срок 25.12.21</t>
  </si>
  <si>
    <t>срок 02.01.22</t>
  </si>
  <si>
    <t>срок 19.01.21</t>
  </si>
  <si>
    <t>срок 07.01.22</t>
  </si>
  <si>
    <t>срок 23.01.22</t>
  </si>
  <si>
    <t>срок 24.01.22</t>
  </si>
  <si>
    <t>срок 08.01.22</t>
  </si>
  <si>
    <t>срок 29.12.21</t>
  </si>
  <si>
    <t>Андрей</t>
  </si>
  <si>
    <t>Дима</t>
  </si>
  <si>
    <t>срок 01.01.22</t>
  </si>
  <si>
    <t>срок 18.04.22</t>
  </si>
  <si>
    <t>срок 08.02.22</t>
  </si>
  <si>
    <t>срок 18.02.22</t>
  </si>
  <si>
    <t>срок 03.02.22</t>
  </si>
  <si>
    <t>срок 06.02.22</t>
  </si>
  <si>
    <t>срок 21.01.22</t>
  </si>
  <si>
    <t>срок 25.02.22</t>
  </si>
  <si>
    <t>срок 25.01.22</t>
  </si>
  <si>
    <t>срок 10.01.22</t>
  </si>
  <si>
    <t>Могилевская ФМ</t>
  </si>
  <si>
    <t>Слодыч</t>
  </si>
  <si>
    <t>срок 13.01.22</t>
  </si>
  <si>
    <t>срок 14.01.22</t>
  </si>
  <si>
    <t>срок 16.01.22</t>
  </si>
  <si>
    <t>срок 01.02.22</t>
  </si>
  <si>
    <t>срок 07.03.22</t>
  </si>
  <si>
    <t>срок 02.02.22</t>
  </si>
  <si>
    <t>срок 17.02.22</t>
  </si>
  <si>
    <t>срок 17.01.22</t>
  </si>
  <si>
    <t>Бета каротин 10% CWS</t>
  </si>
  <si>
    <t>Грибы FL042 тип Грибы</t>
  </si>
  <si>
    <t>Ирисо-сливочный 733</t>
  </si>
  <si>
    <t>срок 27.01.22</t>
  </si>
  <si>
    <t>срок 23.02.22</t>
  </si>
  <si>
    <t>срок 28.01.22</t>
  </si>
  <si>
    <t>срок 10.05.22</t>
  </si>
  <si>
    <t>срок 11.03.22</t>
  </si>
  <si>
    <t>срок 28.02.22</t>
  </si>
  <si>
    <t>срок 29.01.22</t>
  </si>
  <si>
    <t>срок 27.02.22</t>
  </si>
  <si>
    <t>срок 13.02.22</t>
  </si>
  <si>
    <t>срок 12.02.22</t>
  </si>
  <si>
    <t>срок 30.01.22</t>
  </si>
  <si>
    <t>юниаква</t>
  </si>
  <si>
    <t>срок 15.02.22</t>
  </si>
  <si>
    <t>срок 10.02.21</t>
  </si>
  <si>
    <t>срок 11.02.22</t>
  </si>
  <si>
    <t>срок 26.01.22</t>
  </si>
  <si>
    <t>срок11.02.22</t>
  </si>
  <si>
    <t>срок 01.03.22</t>
  </si>
  <si>
    <t>срок 14.02.22</t>
  </si>
  <si>
    <t>срок 10.02.22</t>
  </si>
  <si>
    <t>ЭКОресурс</t>
  </si>
  <si>
    <t>МИХРОМОВЫЙ Фиолетовый 0200U</t>
  </si>
  <si>
    <t>Грейпфрут 726</t>
  </si>
  <si>
    <t>Агротемп</t>
  </si>
  <si>
    <t>Молочный гостинец</t>
  </si>
  <si>
    <t>Дятлово ЛВЗ</t>
  </si>
  <si>
    <t>ГЖК</t>
  </si>
  <si>
    <t>Лидапищ</t>
  </si>
  <si>
    <t>срок 24.02.22</t>
  </si>
  <si>
    <t>срок 09.03.22</t>
  </si>
  <si>
    <t>срок 23.03.22</t>
  </si>
  <si>
    <t>срок 20.02.22</t>
  </si>
  <si>
    <t>срок 26.02.22</t>
  </si>
  <si>
    <t>срок 25.03.22</t>
  </si>
  <si>
    <t>срок 12.03.22</t>
  </si>
  <si>
    <t>24.01.,01.02.2022</t>
  </si>
  <si>
    <t>24.01,01.02.2022</t>
  </si>
  <si>
    <t>Барбарис 1468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</si>
</sst>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\ mmm"/>
    <numFmt numFmtId="165" formatCode="_-* #,##0.00\ _р_._-;\-* #,##0.00\ _р_._-;_-* &quot;-&quot;??\ _р_._-;_-@_-"/>
    <numFmt numFmtId="166" formatCode="_-* #,##0\ _р_._-;\-* #,##0\ _р_._-;_-* &quot;-&quot;??\ _р_._-;_-@_-"/>
    <numFmt numFmtId="167" formatCode="#,##0.0"/>
    <numFmt numFmtId="168" formatCode="0.0"/>
    <numFmt numFmtId="169" formatCode="0.000"/>
    <numFmt numFmtId="170" formatCode="d/m/yy;@"/>
  </numFmts>
  <fonts count="18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 CYR"/>
    </font>
    <font>
      <sz val="10"/>
      <color indexed="10"/>
      <name val="Arial Cyr"/>
      <charset val="204"/>
    </font>
    <font>
      <b/>
      <sz val="10"/>
      <name val="Arial Cyr"/>
      <charset val="204"/>
    </font>
    <font>
      <sz val="8"/>
      <name val="Arial CYR"/>
      <charset val="204"/>
    </font>
    <font>
      <b/>
      <sz val="12"/>
      <name val="Arial Cyr"/>
      <charset val="204"/>
    </font>
    <font>
      <sz val="12"/>
      <name val="Arial Cyr"/>
      <charset val="204"/>
    </font>
    <font>
      <sz val="9"/>
      <color indexed="81"/>
      <name val="Tahoma"/>
      <family val="2"/>
      <charset val="204"/>
    </font>
    <font>
      <b/>
      <sz val="11"/>
      <name val="Arial Cyr"/>
      <charset val="204"/>
    </font>
    <font>
      <b/>
      <sz val="9"/>
      <name val="Arial Cyr"/>
      <charset val="204"/>
    </font>
    <font>
      <sz val="11"/>
      <name val="Arial Cyr"/>
      <charset val="204"/>
    </font>
    <font>
      <sz val="8"/>
      <name val="Arial"/>
      <family val="2"/>
      <charset val="204"/>
    </font>
    <font>
      <b/>
      <sz val="9"/>
      <color indexed="81"/>
      <name val="Tahoma"/>
      <family val="2"/>
      <charset val="204"/>
    </font>
    <font>
      <b/>
      <sz val="8"/>
      <name val="Arial Cyr"/>
      <charset val="204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9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3" fillId="0" borderId="0" applyFont="0" applyFill="0" applyBorder="0" applyAlignment="0" applyProtection="0"/>
  </cellStyleXfs>
  <cellXfs count="189">
    <xf numFmtId="0" fontId="0" fillId="0" borderId="0" xfId="0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/>
    <xf numFmtId="0" fontId="1" fillId="3" borderId="2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6" fillId="0" borderId="3" xfId="0" applyFont="1" applyFill="1" applyBorder="1"/>
    <xf numFmtId="0" fontId="6" fillId="2" borderId="3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6" fillId="0" borderId="0" xfId="0" applyFont="1" applyFill="1" applyBorder="1"/>
    <xf numFmtId="0" fontId="7" fillId="0" borderId="3" xfId="0" applyFont="1" applyFill="1" applyBorder="1"/>
    <xf numFmtId="168" fontId="7" fillId="0" borderId="3" xfId="0" applyNumberFormat="1" applyFont="1" applyFill="1" applyBorder="1" applyAlignment="1">
      <alignment horizontal="center"/>
    </xf>
    <xf numFmtId="0" fontId="1" fillId="0" borderId="4" xfId="0" applyFont="1" applyBorder="1"/>
    <xf numFmtId="0" fontId="6" fillId="0" borderId="5" xfId="0" applyFont="1" applyFill="1" applyBorder="1"/>
    <xf numFmtId="164" fontId="1" fillId="0" borderId="4" xfId="0" applyNumberFormat="1" applyFont="1" applyBorder="1"/>
    <xf numFmtId="0" fontId="1" fillId="0" borderId="3" xfId="0" applyFont="1" applyFill="1" applyBorder="1"/>
    <xf numFmtId="167" fontId="6" fillId="5" borderId="3" xfId="0" applyNumberFormat="1" applyFont="1" applyFill="1" applyBorder="1" applyAlignment="1">
      <alignment horizontal="center"/>
    </xf>
    <xf numFmtId="167" fontId="6" fillId="6" borderId="3" xfId="0" applyNumberFormat="1" applyFont="1" applyFill="1" applyBorder="1" applyAlignment="1">
      <alignment horizontal="center"/>
    </xf>
    <xf numFmtId="0" fontId="6" fillId="0" borderId="6" xfId="0" applyFont="1" applyFill="1" applyBorder="1"/>
    <xf numFmtId="3" fontId="5" fillId="0" borderId="3" xfId="0" applyNumberFormat="1" applyFont="1" applyBorder="1"/>
    <xf numFmtId="0" fontId="1" fillId="4" borderId="3" xfId="0" applyFont="1" applyFill="1" applyBorder="1"/>
    <xf numFmtId="168" fontId="2" fillId="0" borderId="3" xfId="0" applyNumberFormat="1" applyFont="1" applyFill="1" applyBorder="1" applyAlignment="1">
      <alignment horizontal="center"/>
    </xf>
    <xf numFmtId="0" fontId="1" fillId="0" borderId="8" xfId="0" applyFont="1" applyBorder="1"/>
    <xf numFmtId="0" fontId="5" fillId="0" borderId="0" xfId="0" applyFont="1" applyBorder="1"/>
    <xf numFmtId="0" fontId="0" fillId="0" borderId="8" xfId="0" applyBorder="1"/>
    <xf numFmtId="1" fontId="0" fillId="0" borderId="0" xfId="0" applyNumberFormat="1" applyBorder="1" applyAlignment="1">
      <alignment horizontal="center"/>
    </xf>
    <xf numFmtId="2" fontId="0" fillId="0" borderId="0" xfId="0" applyNumberFormat="1" applyFill="1"/>
    <xf numFmtId="0" fontId="1" fillId="0" borderId="0" xfId="0" applyFont="1" applyFill="1" applyBorder="1"/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0" fillId="0" borderId="0" xfId="0" applyFill="1"/>
    <xf numFmtId="169" fontId="1" fillId="0" borderId="3" xfId="0" applyNumberFormat="1" applyFont="1" applyFill="1" applyBorder="1"/>
    <xf numFmtId="4" fontId="5" fillId="0" borderId="0" xfId="0" applyNumberFormat="1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0" fillId="0" borderId="3" xfId="0" applyFill="1" applyBorder="1"/>
    <xf numFmtId="0" fontId="1" fillId="0" borderId="0" xfId="0" applyFont="1" applyBorder="1" applyAlignment="1">
      <alignment horizontal="right"/>
    </xf>
    <xf numFmtId="164" fontId="1" fillId="0" borderId="0" xfId="0" applyNumberFormat="1" applyFont="1" applyBorder="1"/>
    <xf numFmtId="0" fontId="1" fillId="0" borderId="0" xfId="0" applyFont="1" applyBorder="1" applyAlignment="1">
      <alignment horizontal="center"/>
    </xf>
    <xf numFmtId="168" fontId="1" fillId="0" borderId="0" xfId="0" applyNumberFormat="1" applyFont="1" applyFill="1"/>
    <xf numFmtId="164" fontId="5" fillId="0" borderId="3" xfId="0" applyNumberFormat="1" applyFont="1" applyBorder="1"/>
    <xf numFmtId="3" fontId="5" fillId="0" borderId="3" xfId="0" applyNumberFormat="1" applyFont="1" applyFill="1" applyBorder="1"/>
    <xf numFmtId="0" fontId="5" fillId="0" borderId="0" xfId="0" applyFont="1" applyFill="1"/>
    <xf numFmtId="0" fontId="0" fillId="4" borderId="3" xfId="0" applyFill="1" applyBorder="1"/>
    <xf numFmtId="0" fontId="5" fillId="0" borderId="0" xfId="0" applyFont="1" applyFill="1" applyBorder="1"/>
    <xf numFmtId="0" fontId="5" fillId="0" borderId="0" xfId="0" applyFont="1" applyFill="1" applyBorder="1" applyAlignment="1">
      <alignment horizontal="right"/>
    </xf>
    <xf numFmtId="0" fontId="0" fillId="0" borderId="3" xfId="0" applyFill="1" applyBorder="1" applyAlignment="1">
      <alignment wrapText="1"/>
    </xf>
    <xf numFmtId="168" fontId="0" fillId="0" borderId="0" xfId="0" applyNumberFormat="1" applyFill="1"/>
    <xf numFmtId="168" fontId="5" fillId="0" borderId="0" xfId="0" applyNumberFormat="1" applyFont="1" applyFill="1" applyAlignment="1">
      <alignment horizontal="left"/>
    </xf>
    <xf numFmtId="168" fontId="4" fillId="0" borderId="0" xfId="0" applyNumberFormat="1" applyFont="1" applyFill="1"/>
    <xf numFmtId="168" fontId="1" fillId="0" borderId="0" xfId="0" applyNumberFormat="1" applyFont="1"/>
    <xf numFmtId="0" fontId="0" fillId="0" borderId="3" xfId="0" applyFont="1" applyFill="1" applyBorder="1"/>
    <xf numFmtId="164" fontId="0" fillId="0" borderId="3" xfId="0" applyNumberFormat="1" applyFill="1" applyBorder="1" applyAlignment="1">
      <alignment horizontal="right"/>
    </xf>
    <xf numFmtId="0" fontId="6" fillId="9" borderId="3" xfId="0" applyFont="1" applyFill="1" applyBorder="1" applyAlignment="1">
      <alignment wrapText="1"/>
    </xf>
    <xf numFmtId="16" fontId="0" fillId="0" borderId="0" xfId="0" applyNumberFormat="1" applyFill="1" applyBorder="1"/>
    <xf numFmtId="0" fontId="0" fillId="4" borderId="3" xfId="0" applyFont="1" applyFill="1" applyBorder="1"/>
    <xf numFmtId="168" fontId="7" fillId="0" borderId="3" xfId="0" applyNumberFormat="1" applyFont="1" applyFill="1" applyBorder="1" applyAlignment="1">
      <alignment vertical="center"/>
    </xf>
    <xf numFmtId="168" fontId="1" fillId="0" borderId="3" xfId="0" applyNumberFormat="1" applyFont="1" applyFill="1" applyBorder="1" applyAlignment="1">
      <alignment vertical="center"/>
    </xf>
    <xf numFmtId="170" fontId="0" fillId="0" borderId="3" xfId="0" applyNumberFormat="1" applyFill="1" applyBorder="1" applyAlignment="1">
      <alignment vertical="center"/>
    </xf>
    <xf numFmtId="170" fontId="1" fillId="0" borderId="3" xfId="0" applyNumberFormat="1" applyFont="1" applyFill="1" applyBorder="1" applyAlignment="1">
      <alignment vertical="center"/>
    </xf>
    <xf numFmtId="170" fontId="0" fillId="0" borderId="3" xfId="0" applyNumberFormat="1" applyFont="1" applyFill="1" applyBorder="1" applyAlignment="1">
      <alignment vertical="center"/>
    </xf>
    <xf numFmtId="170" fontId="8" fillId="0" borderId="3" xfId="0" applyNumberFormat="1" applyFont="1" applyFill="1" applyBorder="1" applyAlignment="1">
      <alignment vertical="center"/>
    </xf>
    <xf numFmtId="3" fontId="7" fillId="0" borderId="3" xfId="0" applyNumberFormat="1" applyFont="1" applyFill="1" applyBorder="1" applyAlignment="1">
      <alignment vertical="center"/>
    </xf>
    <xf numFmtId="0" fontId="7" fillId="0" borderId="3" xfId="0" applyFont="1" applyFill="1" applyBorder="1" applyAlignment="1">
      <alignment vertical="center"/>
    </xf>
    <xf numFmtId="14" fontId="1" fillId="0" borderId="3" xfId="0" applyNumberFormat="1" applyFont="1" applyFill="1" applyBorder="1" applyAlignment="1">
      <alignment vertical="center"/>
    </xf>
    <xf numFmtId="168" fontId="1" fillId="0" borderId="3" xfId="0" applyNumberFormat="1" applyFont="1" applyFill="1" applyBorder="1" applyAlignment="1">
      <alignment horizontal="center"/>
    </xf>
    <xf numFmtId="168" fontId="0" fillId="0" borderId="3" xfId="0" applyNumberFormat="1" applyFont="1" applyFill="1" applyBorder="1" applyAlignment="1">
      <alignment horizontal="center"/>
    </xf>
    <xf numFmtId="4" fontId="1" fillId="0" borderId="3" xfId="0" applyNumberFormat="1" applyFont="1" applyFill="1" applyBorder="1" applyAlignment="1">
      <alignment vertical="center"/>
    </xf>
    <xf numFmtId="4" fontId="0" fillId="0" borderId="3" xfId="0" applyNumberFormat="1" applyFont="1" applyFill="1" applyBorder="1"/>
    <xf numFmtId="4" fontId="1" fillId="0" borderId="3" xfId="0" applyNumberFormat="1" applyFont="1" applyFill="1" applyBorder="1"/>
    <xf numFmtId="2" fontId="0" fillId="0" borderId="3" xfId="0" applyNumberFormat="1" applyBorder="1"/>
    <xf numFmtId="0" fontId="6" fillId="7" borderId="6" xfId="0" applyFont="1" applyFill="1" applyBorder="1" applyAlignment="1">
      <alignment horizontal="center"/>
    </xf>
    <xf numFmtId="4" fontId="1" fillId="0" borderId="3" xfId="0" applyNumberFormat="1" applyFont="1" applyBorder="1" applyAlignment="1">
      <alignment horizontal="right"/>
    </xf>
    <xf numFmtId="2" fontId="1" fillId="0" borderId="3" xfId="0" applyNumberFormat="1" applyFont="1" applyFill="1" applyBorder="1" applyAlignment="1">
      <alignment vertical="center"/>
    </xf>
    <xf numFmtId="4" fontId="1" fillId="0" borderId="3" xfId="0" applyNumberFormat="1" applyFont="1" applyFill="1" applyBorder="1" applyAlignment="1">
      <alignment horizontal="right" vertical="center"/>
    </xf>
    <xf numFmtId="4" fontId="5" fillId="10" borderId="2" xfId="0" applyNumberFormat="1" applyFont="1" applyFill="1" applyBorder="1"/>
    <xf numFmtId="168" fontId="0" fillId="0" borderId="0" xfId="0" applyNumberFormat="1" applyFill="1" applyBorder="1"/>
    <xf numFmtId="4" fontId="5" fillId="10" borderId="1" xfId="0" applyNumberFormat="1" applyFont="1" applyFill="1" applyBorder="1"/>
    <xf numFmtId="2" fontId="5" fillId="10" borderId="1" xfId="0" applyNumberFormat="1" applyFont="1" applyFill="1" applyBorder="1"/>
    <xf numFmtId="2" fontId="5" fillId="10" borderId="2" xfId="0" applyNumberFormat="1" applyFont="1" applyFill="1" applyBorder="1"/>
    <xf numFmtId="2" fontId="5" fillId="10" borderId="9" xfId="0" applyNumberFormat="1" applyFont="1" applyFill="1" applyBorder="1"/>
    <xf numFmtId="0" fontId="0" fillId="10" borderId="0" xfId="0" applyFill="1" applyAlignment="1">
      <alignment wrapText="1"/>
    </xf>
    <xf numFmtId="2" fontId="0" fillId="10" borderId="0" xfId="0" applyNumberFormat="1" applyFill="1"/>
    <xf numFmtId="14" fontId="0" fillId="0" borderId="3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horizontal="left"/>
    </xf>
    <xf numFmtId="16" fontId="4" fillId="0" borderId="0" xfId="0" applyNumberFormat="1" applyFont="1" applyFill="1" applyBorder="1"/>
    <xf numFmtId="0" fontId="11" fillId="0" borderId="0" xfId="0" applyFont="1" applyFill="1" applyBorder="1" applyAlignment="1">
      <alignment horizontal="left" wrapText="1"/>
    </xf>
    <xf numFmtId="0" fontId="10" fillId="0" borderId="3" xfId="0" applyFont="1" applyFill="1" applyBorder="1"/>
    <xf numFmtId="168" fontId="10" fillId="0" borderId="3" xfId="0" applyNumberFormat="1" applyFont="1" applyFill="1" applyBorder="1" applyAlignment="1">
      <alignment horizontal="center"/>
    </xf>
    <xf numFmtId="168" fontId="12" fillId="0" borderId="3" xfId="0" applyNumberFormat="1" applyFont="1" applyFill="1" applyBorder="1" applyAlignment="1">
      <alignment vertical="center"/>
    </xf>
    <xf numFmtId="14" fontId="12" fillId="0" borderId="3" xfId="0" applyNumberFormat="1" applyFont="1" applyFill="1" applyBorder="1" applyAlignment="1">
      <alignment vertical="center"/>
    </xf>
    <xf numFmtId="3" fontId="12" fillId="0" borderId="3" xfId="0" applyNumberFormat="1" applyFont="1" applyFill="1" applyBorder="1" applyAlignment="1">
      <alignment vertical="center"/>
    </xf>
    <xf numFmtId="1" fontId="10" fillId="0" borderId="3" xfId="0" applyNumberFormat="1" applyFont="1" applyFill="1" applyBorder="1" applyAlignment="1">
      <alignment vertical="center"/>
    </xf>
    <xf numFmtId="0" fontId="1" fillId="0" borderId="0" xfId="0" applyFont="1" applyAlignment="1"/>
    <xf numFmtId="16" fontId="6" fillId="0" borderId="0" xfId="0" applyNumberFormat="1" applyFont="1" applyFill="1" applyBorder="1"/>
    <xf numFmtId="168" fontId="5" fillId="0" borderId="3" xfId="0" applyNumberFormat="1" applyFont="1" applyFill="1" applyBorder="1" applyAlignment="1">
      <alignment horizontal="center"/>
    </xf>
    <xf numFmtId="0" fontId="0" fillId="13" borderId="3" xfId="0" applyFill="1" applyBorder="1" applyAlignment="1">
      <alignment horizontal="center"/>
    </xf>
    <xf numFmtId="4" fontId="5" fillId="12" borderId="3" xfId="0" applyNumberFormat="1" applyFont="1" applyFill="1" applyBorder="1"/>
    <xf numFmtId="169" fontId="0" fillId="0" borderId="3" xfId="0" applyNumberFormat="1" applyFont="1" applyFill="1" applyBorder="1"/>
    <xf numFmtId="164" fontId="6" fillId="0" borderId="3" xfId="1" applyNumberFormat="1" applyFont="1" applyFill="1" applyBorder="1" applyAlignment="1">
      <alignment horizontal="center" vertical="center" wrapText="1"/>
    </xf>
    <xf numFmtId="166" fontId="6" fillId="0" borderId="3" xfId="1" applyNumberFormat="1" applyFont="1" applyFill="1" applyBorder="1" applyAlignment="1">
      <alignment horizontal="center" vertical="center" wrapText="1"/>
    </xf>
    <xf numFmtId="0" fontId="6" fillId="0" borderId="3" xfId="0" applyFont="1" applyFill="1" applyBorder="1" applyAlignment="1">
      <alignment horizontal="center"/>
    </xf>
    <xf numFmtId="0" fontId="6" fillId="0" borderId="7" xfId="0" applyFont="1" applyFill="1" applyBorder="1" applyAlignment="1">
      <alignment horizontal="center"/>
    </xf>
    <xf numFmtId="17" fontId="6" fillId="11" borderId="6" xfId="0" applyNumberFormat="1" applyFont="1" applyFill="1" applyBorder="1" applyAlignment="1">
      <alignment horizontal="center"/>
    </xf>
    <xf numFmtId="4" fontId="0" fillId="0" borderId="3" xfId="0" applyNumberFormat="1" applyFont="1" applyFill="1" applyBorder="1" applyAlignment="1">
      <alignment vertical="center"/>
    </xf>
    <xf numFmtId="168" fontId="0" fillId="0" borderId="3" xfId="0" applyNumberFormat="1" applyFont="1" applyFill="1" applyBorder="1" applyAlignment="1">
      <alignment vertical="center"/>
    </xf>
    <xf numFmtId="0" fontId="0" fillId="8" borderId="3" xfId="0" applyFill="1" applyBorder="1" applyAlignment="1">
      <alignment horizontal="center"/>
    </xf>
    <xf numFmtId="0" fontId="13" fillId="0" borderId="3" xfId="0" applyFont="1" applyFill="1" applyBorder="1" applyAlignment="1">
      <alignment wrapText="1"/>
    </xf>
    <xf numFmtId="0" fontId="0" fillId="3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0" fontId="0" fillId="2" borderId="0" xfId="0" applyFont="1" applyFill="1" applyAlignment="1">
      <alignment horizontal="center"/>
    </xf>
    <xf numFmtId="0" fontId="0" fillId="14" borderId="3" xfId="0" applyFill="1" applyBorder="1" applyAlignment="1">
      <alignment horizontal="center"/>
    </xf>
    <xf numFmtId="0" fontId="5" fillId="13" borderId="0" xfId="0" applyFont="1" applyFill="1" applyBorder="1" applyAlignment="1">
      <alignment horizontal="left" vertical="center"/>
    </xf>
    <xf numFmtId="0" fontId="5" fillId="8" borderId="0" xfId="0" applyFont="1" applyFill="1" applyBorder="1" applyAlignment="1">
      <alignment horizontal="left"/>
    </xf>
    <xf numFmtId="0" fontId="0" fillId="10" borderId="3" xfId="0" applyFill="1" applyBorder="1"/>
    <xf numFmtId="170" fontId="1" fillId="0" borderId="3" xfId="0" applyNumberFormat="1" applyFont="1" applyFill="1" applyBorder="1" applyAlignment="1"/>
    <xf numFmtId="4" fontId="0" fillId="0" borderId="3" xfId="0" applyNumberFormat="1" applyFont="1" applyFill="1" applyBorder="1" applyAlignment="1">
      <alignment horizontal="right"/>
    </xf>
    <xf numFmtId="4" fontId="1" fillId="0" borderId="3" xfId="0" applyNumberFormat="1" applyFont="1" applyFill="1" applyBorder="1" applyAlignment="1">
      <alignment horizontal="right"/>
    </xf>
    <xf numFmtId="2" fontId="0" fillId="0" borderId="0" xfId="0" applyNumberFormat="1" applyFont="1" applyBorder="1"/>
    <xf numFmtId="0" fontId="6" fillId="0" borderId="3" xfId="0" applyFont="1" applyBorder="1" applyAlignment="1">
      <alignment horizontal="center"/>
    </xf>
    <xf numFmtId="0" fontId="6" fillId="0" borderId="3" xfId="0" applyFont="1" applyBorder="1" applyAlignment="1">
      <alignment horizontal="right"/>
    </xf>
    <xf numFmtId="0" fontId="6" fillId="0" borderId="3" xfId="0" applyFont="1" applyBorder="1"/>
    <xf numFmtId="167" fontId="15" fillId="0" borderId="3" xfId="0" applyNumberFormat="1" applyFont="1" applyBorder="1"/>
    <xf numFmtId="0" fontId="6" fillId="0" borderId="0" xfId="0" applyFont="1" applyBorder="1" applyAlignment="1">
      <alignment horizontal="center"/>
    </xf>
    <xf numFmtId="0" fontId="6" fillId="0" borderId="0" xfId="0" applyFont="1"/>
    <xf numFmtId="0" fontId="6" fillId="0" borderId="4" xfId="0" applyFont="1" applyBorder="1"/>
    <xf numFmtId="0" fontId="6" fillId="0" borderId="0" xfId="0" applyFont="1" applyBorder="1"/>
    <xf numFmtId="0" fontId="6" fillId="0" borderId="0" xfId="0" applyFont="1" applyAlignment="1">
      <alignment horizontal="center"/>
    </xf>
    <xf numFmtId="4" fontId="0" fillId="0" borderId="0" xfId="0" applyNumberFormat="1" applyBorder="1"/>
    <xf numFmtId="2" fontId="1" fillId="0" borderId="0" xfId="0" applyNumberFormat="1" applyFont="1" applyFill="1"/>
    <xf numFmtId="164" fontId="5" fillId="0" borderId="0" xfId="0" applyNumberFormat="1" applyFont="1" applyBorder="1"/>
    <xf numFmtId="3" fontId="5" fillId="0" borderId="0" xfId="0" applyNumberFormat="1" applyFont="1" applyBorder="1"/>
    <xf numFmtId="167" fontId="15" fillId="0" borderId="0" xfId="0" applyNumberFormat="1" applyFont="1" applyBorder="1"/>
    <xf numFmtId="167" fontId="15" fillId="0" borderId="4" xfId="0" applyNumberFormat="1" applyFont="1" applyBorder="1"/>
    <xf numFmtId="3" fontId="5" fillId="0" borderId="0" xfId="0" applyNumberFormat="1" applyFont="1" applyFill="1" applyBorder="1"/>
    <xf numFmtId="169" fontId="1" fillId="0" borderId="0" xfId="0" applyNumberFormat="1" applyFont="1" applyFill="1" applyBorder="1"/>
    <xf numFmtId="164" fontId="1" fillId="0" borderId="0" xfId="0" applyNumberFormat="1" applyFont="1" applyFill="1" applyBorder="1"/>
    <xf numFmtId="16" fontId="5" fillId="0" borderId="0" xfId="0" applyNumberFormat="1" applyFont="1" applyFill="1" applyBorder="1" applyAlignment="1">
      <alignment horizontal="right"/>
    </xf>
    <xf numFmtId="16" fontId="1" fillId="0" borderId="0" xfId="0" applyNumberFormat="1" applyFont="1" applyFill="1" applyBorder="1"/>
    <xf numFmtId="0" fontId="0" fillId="0" borderId="0" xfId="0" applyFont="1" applyFill="1"/>
    <xf numFmtId="0" fontId="0" fillId="10" borderId="1" xfId="0" applyFill="1" applyBorder="1" applyAlignment="1">
      <alignment horizontal="center"/>
    </xf>
    <xf numFmtId="0" fontId="0" fillId="0" borderId="0" xfId="0" applyFont="1" applyBorder="1" applyAlignment="1">
      <alignment horizontal="right"/>
    </xf>
    <xf numFmtId="0" fontId="0" fillId="0" borderId="0" xfId="0" applyFont="1" applyBorder="1"/>
    <xf numFmtId="2" fontId="0" fillId="0" borderId="3" xfId="0" applyNumberFormat="1" applyFill="1" applyBorder="1"/>
    <xf numFmtId="4" fontId="0" fillId="0" borderId="0" xfId="0" applyNumberFormat="1" applyFill="1" applyBorder="1"/>
    <xf numFmtId="4" fontId="1" fillId="0" borderId="0" xfId="0" applyNumberFormat="1" applyFont="1" applyAlignment="1"/>
    <xf numFmtId="0" fontId="0" fillId="8" borderId="3" xfId="0" applyFont="1" applyFill="1" applyBorder="1" applyAlignment="1">
      <alignment horizontal="center"/>
    </xf>
    <xf numFmtId="2" fontId="5" fillId="0" borderId="0" xfId="0" applyNumberFormat="1" applyFont="1" applyFill="1"/>
    <xf numFmtId="0" fontId="0" fillId="13" borderId="3" xfId="0" applyFont="1" applyFill="1" applyBorder="1" applyAlignment="1">
      <alignment horizontal="center"/>
    </xf>
    <xf numFmtId="16" fontId="0" fillId="0" borderId="0" xfId="0" applyNumberFormat="1" applyBorder="1"/>
    <xf numFmtId="14" fontId="0" fillId="0" borderId="0" xfId="0" applyNumberFormat="1" applyFill="1" applyBorder="1" applyAlignment="1">
      <alignment horizontal="left"/>
    </xf>
    <xf numFmtId="0" fontId="5" fillId="15" borderId="0" xfId="0" applyFont="1" applyFill="1" applyBorder="1"/>
    <xf numFmtId="16" fontId="5" fillId="15" borderId="0" xfId="0" applyNumberFormat="1" applyFont="1" applyFill="1" applyBorder="1"/>
    <xf numFmtId="16" fontId="5" fillId="15" borderId="0" xfId="0" applyNumberFormat="1" applyFont="1" applyFill="1" applyBorder="1" applyAlignment="1">
      <alignment horizontal="right"/>
    </xf>
    <xf numFmtId="4" fontId="5" fillId="16" borderId="3" xfId="0" applyNumberFormat="1" applyFont="1" applyFill="1" applyBorder="1"/>
    <xf numFmtId="4" fontId="5" fillId="16" borderId="3" xfId="0" applyNumberFormat="1" applyFont="1" applyFill="1" applyBorder="1" applyAlignment="1">
      <alignment horizontal="right"/>
    </xf>
    <xf numFmtId="4" fontId="0" fillId="0" borderId="0" xfId="0" applyNumberFormat="1" applyFont="1" applyFill="1" applyBorder="1" applyAlignment="1">
      <alignment horizontal="right"/>
    </xf>
    <xf numFmtId="0" fontId="5" fillId="15" borderId="0" xfId="0" applyFont="1" applyFill="1" applyBorder="1" applyAlignment="1">
      <alignment horizontal="right"/>
    </xf>
    <xf numFmtId="14" fontId="5" fillId="15" borderId="0" xfId="0" applyNumberFormat="1" applyFont="1" applyFill="1" applyBorder="1"/>
    <xf numFmtId="168" fontId="7" fillId="0" borderId="0" xfId="0" applyNumberFormat="1" applyFont="1" applyFill="1" applyBorder="1" applyAlignment="1">
      <alignment horizontal="center"/>
    </xf>
    <xf numFmtId="168" fontId="10" fillId="0" borderId="0" xfId="0" applyNumberFormat="1" applyFont="1" applyFill="1" applyBorder="1" applyAlignment="1">
      <alignment horizontal="center"/>
    </xf>
    <xf numFmtId="0" fontId="0" fillId="17" borderId="3" xfId="0" applyFill="1" applyBorder="1"/>
    <xf numFmtId="0" fontId="1" fillId="0" borderId="0" xfId="0" applyNumberFormat="1" applyFont="1" applyFill="1" applyBorder="1" applyAlignment="1">
      <alignment horizontal="right"/>
    </xf>
    <xf numFmtId="14" fontId="5" fillId="0" borderId="0" xfId="0" applyNumberFormat="1" applyFont="1" applyFill="1" applyBorder="1" applyAlignment="1">
      <alignment horizontal="left"/>
    </xf>
    <xf numFmtId="14" fontId="4" fillId="0" borderId="0" xfId="0" applyNumberFormat="1" applyFont="1" applyFill="1"/>
    <xf numFmtId="49" fontId="1" fillId="0" borderId="0" xfId="0" applyNumberFormat="1" applyFont="1" applyFill="1" applyBorder="1" applyAlignment="1">
      <alignment horizontal="right"/>
    </xf>
    <xf numFmtId="49" fontId="5" fillId="0" borderId="0" xfId="0" applyNumberFormat="1" applyFont="1" applyFill="1" applyAlignment="1">
      <alignment horizontal="right"/>
    </xf>
    <xf numFmtId="49" fontId="0" fillId="0" borderId="0" xfId="0" applyNumberFormat="1" applyFill="1" applyAlignment="1">
      <alignment horizontal="right"/>
    </xf>
    <xf numFmtId="49" fontId="7" fillId="0" borderId="0" xfId="0" applyNumberFormat="1" applyFont="1" applyFill="1" applyBorder="1" applyAlignment="1">
      <alignment horizontal="right"/>
    </xf>
    <xf numFmtId="49" fontId="10" fillId="0" borderId="0" xfId="0" applyNumberFormat="1" applyFont="1" applyFill="1" applyBorder="1" applyAlignment="1">
      <alignment horizontal="right"/>
    </xf>
    <xf numFmtId="49" fontId="1" fillId="0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14" fontId="4" fillId="0" borderId="0" xfId="0" applyNumberFormat="1" applyFont="1" applyFill="1" applyAlignment="1">
      <alignment horizontal="right"/>
    </xf>
    <xf numFmtId="0" fontId="5" fillId="10" borderId="1" xfId="0" applyFont="1" applyFill="1" applyBorder="1"/>
    <xf numFmtId="0" fontId="5" fillId="10" borderId="2" xfId="0" applyFont="1" applyFill="1" applyBorder="1"/>
    <xf numFmtId="0" fontId="5" fillId="10" borderId="9" xfId="0" applyFont="1" applyFill="1" applyBorder="1"/>
    <xf numFmtId="0" fontId="5" fillId="10" borderId="0" xfId="0" applyFont="1" applyFill="1" applyBorder="1"/>
    <xf numFmtId="0" fontId="0" fillId="0" borderId="3" xfId="0" applyFill="1" applyBorder="1" applyAlignment="1">
      <alignment horizontal="center"/>
    </xf>
    <xf numFmtId="0" fontId="0" fillId="18" borderId="3" xfId="0" applyFill="1" applyBorder="1"/>
  </cellXfs>
  <cellStyles count="2">
    <cellStyle name="Обычный" xfId="0" builtinId="0"/>
    <cellStyle name="Финансовый_Декабрь" xfId="1"/>
  </cellStyles>
  <dxfs count="3">
    <dxf>
      <fill>
        <patternFill>
          <bgColor indexed="45"/>
        </patternFill>
      </fill>
    </dxf>
    <dxf>
      <fill>
        <patternFill>
          <bgColor indexed="45"/>
        </patternFill>
      </fill>
    </dxf>
    <dxf>
      <fill>
        <patternFill>
          <bgColor indexed="45"/>
        </patternFill>
      </fill>
    </dxf>
  </dxfs>
  <tableStyles count="0" defaultTableStyle="TableStyleMedium2" defaultPivotStyle="PivotStyleLight16"/>
  <colors>
    <mruColors>
      <color rgb="FF33CC33"/>
      <color rgb="FF00CCFF"/>
      <color rgb="FFCC66FF"/>
      <color rgb="FFCC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45720</xdr:rowOff>
        </xdr:from>
        <xdr:to>
          <xdr:col>0</xdr:col>
          <xdr:colOff>1714500</xdr:colOff>
          <xdr:row>0</xdr:row>
          <xdr:rowOff>419100</xdr:rowOff>
        </xdr:to>
        <xdr:sp macro="" textlink="">
          <xdr:nvSpPr>
            <xdr:cNvPr id="285778" name="CommandButton1" hidden="1">
              <a:extLst>
                <a:ext uri="{63B3BB69-23CF-44E3-9099-C40C66FF867C}">
                  <a14:compatExt spid="_x0000_s285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83820</xdr:colOff>
          <xdr:row>0</xdr:row>
          <xdr:rowOff>441960</xdr:rowOff>
        </xdr:from>
        <xdr:to>
          <xdr:col>0</xdr:col>
          <xdr:colOff>1706880</xdr:colOff>
          <xdr:row>2</xdr:row>
          <xdr:rowOff>38100</xdr:rowOff>
        </xdr:to>
        <xdr:sp macro="" textlink="">
          <xdr:nvSpPr>
            <xdr:cNvPr id="285779" name="CommandButton2" hidden="1">
              <a:extLst>
                <a:ext uri="{63B3BB69-23CF-44E3-9099-C40C66FF867C}">
                  <a14:compatExt spid="_x0000_s2857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 filterMode="1"/>
  <dimension ref="A1:OE1726"/>
  <sheetViews>
    <sheetView zoomScale="110" zoomScaleNormal="110" workbookViewId="0">
      <pane ySplit="1" topLeftCell="A173" activePane="bottomLeft" state="frozen"/>
      <selection pane="bottomLeft" activeCell="OC200" sqref="OC200"/>
    </sheetView>
  </sheetViews>
  <sheetFormatPr defaultColWidth="9.109375" defaultRowHeight="13.2" x14ac:dyDescent="0.25"/>
  <cols>
    <col min="1" max="1" width="8.109375" style="23" customWidth="1"/>
    <col min="2" max="2" width="20.33203125" style="43" bestFit="1" customWidth="1"/>
    <col min="3" max="4" width="11.33203125" style="137" hidden="1" customWidth="1"/>
    <col min="5" max="5" width="10.5546875" style="137" hidden="1" customWidth="1"/>
    <col min="6" max="7" width="11.33203125" style="137" hidden="1" customWidth="1"/>
    <col min="8" max="8" width="12" style="137" hidden="1" customWidth="1"/>
    <col min="9" max="9" width="9.88671875" style="137" hidden="1" customWidth="1"/>
    <col min="10" max="12" width="10.6640625" style="137" hidden="1" customWidth="1"/>
    <col min="13" max="14" width="12.33203125" style="134" hidden="1" customWidth="1"/>
    <col min="15" max="16" width="13" style="134" hidden="1" customWidth="1"/>
    <col min="17" max="17" width="12.44140625" style="134" hidden="1" customWidth="1"/>
    <col min="18" max="18" width="12.33203125" style="134" hidden="1" customWidth="1"/>
    <col min="19" max="19" width="12.33203125" style="135" hidden="1" customWidth="1"/>
    <col min="20" max="20" width="9.6640625" style="135" hidden="1" customWidth="1"/>
    <col min="21" max="22" width="10.6640625" style="135" hidden="1" customWidth="1"/>
    <col min="23" max="23" width="12.6640625" style="135" hidden="1" customWidth="1"/>
    <col min="24" max="25" width="12.33203125" style="135" hidden="1" customWidth="1"/>
    <col min="26" max="27" width="9.88671875" style="135" hidden="1" customWidth="1"/>
    <col min="28" max="28" width="7.109375" style="135" hidden="1" customWidth="1"/>
    <col min="29" max="29" width="11.109375" style="135" hidden="1" customWidth="1"/>
    <col min="30" max="31" width="9.6640625" style="135" hidden="1" customWidth="1"/>
    <col min="32" max="33" width="12.109375" style="135" hidden="1" customWidth="1"/>
    <col min="34" max="34" width="17.5546875" style="135" hidden="1" customWidth="1"/>
    <col min="35" max="35" width="19.33203125" style="135" hidden="1" customWidth="1"/>
    <col min="36" max="38" width="19.33203125" style="136" hidden="1" customWidth="1"/>
    <col min="39" max="39" width="17.6640625" style="136" hidden="1" customWidth="1"/>
    <col min="40" max="40" width="13.33203125" style="136" hidden="1" customWidth="1"/>
    <col min="41" max="42" width="13.33203125" style="134" hidden="1" customWidth="1"/>
    <col min="43" max="43" width="14" style="134" hidden="1" customWidth="1"/>
    <col min="44" max="44" width="10.6640625" style="134" hidden="1" customWidth="1"/>
    <col min="45" max="46" width="12.6640625" style="134" hidden="1" customWidth="1"/>
    <col min="47" max="47" width="19" style="134" hidden="1" customWidth="1"/>
    <col min="48" max="49" width="18.44140625" style="134" hidden="1" customWidth="1"/>
    <col min="50" max="50" width="19.33203125" style="134" hidden="1" customWidth="1"/>
    <col min="51" max="52" width="11.44140625" style="134" hidden="1" customWidth="1"/>
    <col min="53" max="54" width="12.109375" style="134" hidden="1" customWidth="1"/>
    <col min="55" max="56" width="18.6640625" style="134" hidden="1" customWidth="1"/>
    <col min="57" max="57" width="9.5546875" style="136" hidden="1" customWidth="1"/>
    <col min="58" max="58" width="19.88671875" style="136" hidden="1" customWidth="1"/>
    <col min="59" max="59" width="17.109375" style="136" hidden="1" customWidth="1"/>
    <col min="60" max="62" width="11.109375" style="136" hidden="1" customWidth="1"/>
    <col min="63" max="64" width="13.6640625" style="136" hidden="1" customWidth="1"/>
    <col min="65" max="65" width="10.33203125" style="136" hidden="1" customWidth="1"/>
    <col min="66" max="66" width="9.33203125" style="134" hidden="1" customWidth="1"/>
    <col min="67" max="67" width="10.88671875" style="134" hidden="1" customWidth="1"/>
    <col min="68" max="68" width="10.109375" style="134" hidden="1" customWidth="1"/>
    <col min="69" max="69" width="12.6640625" style="134" hidden="1" customWidth="1"/>
    <col min="70" max="70" width="14.6640625" style="134" hidden="1" customWidth="1"/>
    <col min="71" max="72" width="12.6640625" style="134" hidden="1" customWidth="1"/>
    <col min="73" max="73" width="10.6640625" style="136" hidden="1" customWidth="1"/>
    <col min="74" max="74" width="15.6640625" style="136" hidden="1" customWidth="1"/>
    <col min="75" max="75" width="18.5546875" style="136" hidden="1" customWidth="1"/>
    <col min="76" max="76" width="9.33203125" style="136" hidden="1" customWidth="1"/>
    <col min="77" max="77" width="11.5546875" style="136" hidden="1" customWidth="1"/>
    <col min="78" max="78" width="11.44140625" style="136" hidden="1" customWidth="1"/>
    <col min="79" max="80" width="13" style="136" hidden="1" customWidth="1"/>
    <col min="81" max="81" width="18.33203125" style="136" hidden="1" customWidth="1"/>
    <col min="82" max="82" width="10.88671875" style="134" hidden="1" customWidth="1"/>
    <col min="83" max="84" width="17.6640625" style="134" hidden="1" customWidth="1"/>
    <col min="85" max="85" width="18.33203125" style="134" hidden="1" customWidth="1"/>
    <col min="86" max="87" width="10.33203125" style="134" hidden="1" customWidth="1"/>
    <col min="88" max="88" width="9.6640625" style="134" hidden="1" customWidth="1"/>
    <col min="89" max="92" width="12.33203125" style="134" hidden="1" customWidth="1"/>
    <col min="93" max="93" width="20" style="134" hidden="1" customWidth="1"/>
    <col min="94" max="94" width="9.6640625" style="134" hidden="1" customWidth="1"/>
    <col min="95" max="97" width="9" style="134" hidden="1" customWidth="1"/>
    <col min="98" max="98" width="12" style="135" hidden="1" customWidth="1"/>
    <col min="99" max="101" width="12" style="136" hidden="1" customWidth="1"/>
    <col min="102" max="102" width="11.33203125" style="136" hidden="1" customWidth="1"/>
    <col min="103" max="106" width="12.6640625" style="136" hidden="1" customWidth="1"/>
    <col min="107" max="107" width="10" style="136" hidden="1" customWidth="1"/>
    <col min="108" max="109" width="10.6640625" style="136" hidden="1" customWidth="1"/>
    <col min="110" max="110" width="14.109375" style="136" hidden="1" customWidth="1"/>
    <col min="111" max="112" width="9.6640625" style="136" hidden="1" customWidth="1"/>
    <col min="113" max="113" width="15.5546875" style="136" hidden="1" customWidth="1"/>
    <col min="114" max="114" width="14.6640625" style="136" hidden="1" customWidth="1"/>
    <col min="115" max="115" width="23.44140625" style="136" hidden="1" customWidth="1"/>
    <col min="116" max="117" width="9.33203125" style="136" hidden="1" customWidth="1"/>
    <col min="118" max="118" width="15.88671875" style="136" hidden="1" customWidth="1"/>
    <col min="119" max="123" width="9" style="136" hidden="1" customWidth="1"/>
    <col min="124" max="124" width="10.44140625" style="136" hidden="1" customWidth="1"/>
    <col min="125" max="125" width="13.109375" style="136" hidden="1" customWidth="1"/>
    <col min="126" max="126" width="19.88671875" style="136" hidden="1" customWidth="1"/>
    <col min="127" max="128" width="19.33203125" style="136" hidden="1" customWidth="1"/>
    <col min="129" max="129" width="13.33203125" style="136" hidden="1" customWidth="1"/>
    <col min="130" max="130" width="12.88671875" style="136" hidden="1" customWidth="1"/>
    <col min="131" max="131" width="12.88671875" style="134" hidden="1" customWidth="1"/>
    <col min="132" max="132" width="11.33203125" style="134" hidden="1" customWidth="1"/>
    <col min="133" max="133" width="18.5546875" style="134" hidden="1" customWidth="1"/>
    <col min="134" max="134" width="18.33203125" style="134" hidden="1" customWidth="1"/>
    <col min="135" max="135" width="19" style="134" hidden="1" customWidth="1"/>
    <col min="136" max="138" width="13.88671875" style="134" hidden="1" customWidth="1"/>
    <col min="139" max="139" width="13.44140625" style="134" hidden="1" customWidth="1"/>
    <col min="140" max="140" width="14.88671875" style="134" hidden="1" customWidth="1"/>
    <col min="141" max="141" width="15.6640625" style="134" hidden="1" customWidth="1"/>
    <col min="142" max="142" width="15.109375" style="134" hidden="1" customWidth="1"/>
    <col min="143" max="143" width="10.109375" style="135" hidden="1" customWidth="1"/>
    <col min="144" max="144" width="12.6640625" style="135" hidden="1" customWidth="1"/>
    <col min="145" max="145" width="10.109375" style="135" hidden="1" customWidth="1"/>
    <col min="146" max="146" width="10.109375" style="136" hidden="1" customWidth="1"/>
    <col min="147" max="147" width="11.6640625" style="134" hidden="1" customWidth="1"/>
    <col min="148" max="149" width="12.5546875" style="134" hidden="1" customWidth="1"/>
    <col min="150" max="150" width="13" style="134" hidden="1" customWidth="1"/>
    <col min="151" max="151" width="14.33203125" style="134" hidden="1" customWidth="1"/>
    <col min="152" max="155" width="10.88671875" style="134" hidden="1" customWidth="1"/>
    <col min="156" max="156" width="13.88671875" style="134" hidden="1" customWidth="1"/>
    <col min="157" max="157" width="9.88671875" style="134" hidden="1" customWidth="1"/>
    <col min="158" max="158" width="8.109375" style="135" hidden="1" customWidth="1"/>
    <col min="159" max="159" width="14.33203125" style="136" hidden="1" customWidth="1"/>
    <col min="160" max="160" width="11.6640625" style="136" hidden="1" customWidth="1"/>
    <col min="161" max="161" width="10.88671875" style="134" hidden="1" customWidth="1"/>
    <col min="162" max="162" width="13.109375" style="134" hidden="1" customWidth="1"/>
    <col min="163" max="163" width="15.33203125" style="134" hidden="1" customWidth="1"/>
    <col min="164" max="164" width="17.6640625" style="134" hidden="1" customWidth="1"/>
    <col min="165" max="165" width="11.33203125" style="134" hidden="1" customWidth="1"/>
    <col min="166" max="166" width="9.33203125" style="134" hidden="1" customWidth="1"/>
    <col min="167" max="167" width="15.33203125" style="134" hidden="1" customWidth="1"/>
    <col min="168" max="168" width="8.6640625" style="134" hidden="1" customWidth="1"/>
    <col min="169" max="169" width="9.44140625" style="134" hidden="1" customWidth="1"/>
    <col min="170" max="171" width="8.6640625" style="134" hidden="1" customWidth="1"/>
    <col min="172" max="172" width="7.88671875" style="134" hidden="1" customWidth="1"/>
    <col min="173" max="173" width="16" style="135" hidden="1" customWidth="1"/>
    <col min="174" max="174" width="17.6640625" style="136" hidden="1" customWidth="1"/>
    <col min="175" max="175" width="15.6640625" style="136" hidden="1" customWidth="1"/>
    <col min="176" max="176" width="11.6640625" style="136" hidden="1" customWidth="1"/>
    <col min="177" max="177" width="11.6640625" style="134" hidden="1" customWidth="1"/>
    <col min="178" max="180" width="18.33203125" style="134" hidden="1" customWidth="1"/>
    <col min="181" max="181" width="18.6640625" style="135" hidden="1" customWidth="1"/>
    <col min="182" max="182" width="18.6640625" style="136" hidden="1" customWidth="1"/>
    <col min="183" max="183" width="19.5546875" style="136" hidden="1" customWidth="1"/>
    <col min="184" max="186" width="17.33203125" style="136" hidden="1" customWidth="1"/>
    <col min="187" max="189" width="18.109375" style="136" hidden="1" customWidth="1"/>
    <col min="190" max="190" width="11.6640625" style="136" hidden="1" customWidth="1"/>
    <col min="191" max="191" width="6.33203125" style="135" hidden="1" customWidth="1"/>
    <col min="192" max="192" width="9.109375" style="136" hidden="1" customWidth="1"/>
    <col min="193" max="193" width="9.88671875" style="136" hidden="1" customWidth="1"/>
    <col min="194" max="194" width="10.6640625" style="136" hidden="1" customWidth="1"/>
    <col min="195" max="195" width="18.44140625" style="136" hidden="1" customWidth="1"/>
    <col min="196" max="196" width="12.33203125" style="136" hidden="1" customWidth="1"/>
    <col min="197" max="197" width="11.33203125" style="136" hidden="1" customWidth="1"/>
    <col min="198" max="199" width="10.5546875" style="136" hidden="1" customWidth="1"/>
    <col min="200" max="200" width="11.33203125" style="136" hidden="1" customWidth="1"/>
    <col min="201" max="201" width="17.6640625" style="134" hidden="1" customWidth="1"/>
    <col min="202" max="202" width="28" style="134" hidden="1" customWidth="1"/>
    <col min="203" max="203" width="19.33203125" style="134" hidden="1" customWidth="1"/>
    <col min="204" max="205" width="17.88671875" style="134" hidden="1" customWidth="1"/>
    <col min="206" max="206" width="9.5546875" style="134" hidden="1" customWidth="1"/>
    <col min="207" max="207" width="8.5546875" style="134" hidden="1" customWidth="1"/>
    <col min="208" max="208" width="11.88671875" style="134" hidden="1" customWidth="1"/>
    <col min="209" max="209" width="16.33203125" style="134" hidden="1" customWidth="1"/>
    <col min="210" max="210" width="10.109375" style="134" hidden="1" customWidth="1"/>
    <col min="211" max="211" width="11.6640625" style="134" hidden="1" customWidth="1"/>
    <col min="212" max="214" width="12.44140625" style="134" hidden="1" customWidth="1"/>
    <col min="215" max="215" width="10.5546875" style="134" hidden="1" customWidth="1"/>
    <col min="216" max="216" width="9.88671875" style="134" hidden="1" customWidth="1"/>
    <col min="217" max="218" width="10.5546875" style="134" hidden="1" customWidth="1"/>
    <col min="219" max="221" width="11.33203125" style="134" hidden="1" customWidth="1"/>
    <col min="222" max="222" width="18.109375" style="134" hidden="1" customWidth="1"/>
    <col min="223" max="223" width="17.88671875" style="134" hidden="1" customWidth="1"/>
    <col min="224" max="224" width="11.44140625" style="134" hidden="1" customWidth="1"/>
    <col min="225" max="225" width="8.5546875" style="134" hidden="1" customWidth="1"/>
    <col min="226" max="226" width="17.109375" style="134" hidden="1" customWidth="1"/>
    <col min="227" max="227" width="17.6640625" style="134" hidden="1" customWidth="1"/>
    <col min="228" max="228" width="10.44140625" style="134" hidden="1" customWidth="1"/>
    <col min="229" max="229" width="10.33203125" style="134" hidden="1" customWidth="1"/>
    <col min="230" max="230" width="17.6640625" style="134" hidden="1" customWidth="1"/>
    <col min="231" max="231" width="10.33203125" style="136" hidden="1" customWidth="1"/>
    <col min="232" max="232" width="11.6640625" style="136" hidden="1" customWidth="1"/>
    <col min="233" max="235" width="12.33203125" style="136" hidden="1" customWidth="1"/>
    <col min="236" max="236" width="14.109375" style="136" hidden="1" customWidth="1"/>
    <col min="237" max="237" width="12.33203125" style="136" hidden="1" customWidth="1"/>
    <col min="238" max="242" width="11.44140625" style="136" hidden="1" customWidth="1"/>
    <col min="243" max="243" width="12.6640625" style="135" hidden="1" customWidth="1"/>
    <col min="244" max="245" width="10.88671875" style="134" hidden="1" customWidth="1"/>
    <col min="246" max="246" width="11.6640625" style="134" hidden="1" customWidth="1"/>
    <col min="247" max="247" width="12.5546875" style="134" hidden="1" customWidth="1"/>
    <col min="248" max="248" width="13.33203125" style="134" hidden="1" customWidth="1"/>
    <col min="249" max="249" width="9.6640625" style="134" hidden="1" customWidth="1"/>
    <col min="250" max="251" width="11.33203125" style="134" hidden="1" customWidth="1"/>
    <col min="252" max="253" width="23.6640625" style="134" hidden="1" customWidth="1"/>
    <col min="254" max="254" width="21.44140625" style="134" hidden="1" customWidth="1"/>
    <col min="255" max="256" width="14.33203125" style="134" hidden="1" customWidth="1"/>
    <col min="257" max="257" width="18.5546875" style="134" hidden="1" customWidth="1"/>
    <col min="258" max="258" width="19.44140625" style="134" hidden="1" customWidth="1"/>
    <col min="259" max="259" width="13" style="136" hidden="1" customWidth="1"/>
    <col min="260" max="260" width="10.5546875" style="136" hidden="1" customWidth="1"/>
    <col min="261" max="261" width="13.33203125" style="136" hidden="1" customWidth="1"/>
    <col min="262" max="263" width="11.33203125" style="134" hidden="1" customWidth="1"/>
    <col min="264" max="264" width="12.109375" style="134" hidden="1" customWidth="1"/>
    <col min="265" max="266" width="11.6640625" style="134" hidden="1" customWidth="1"/>
    <col min="267" max="267" width="12.44140625" style="134" hidden="1" customWidth="1"/>
    <col min="268" max="268" width="17.109375" style="134" hidden="1" customWidth="1"/>
    <col min="269" max="269" width="14.44140625" style="134" hidden="1" customWidth="1"/>
    <col min="270" max="270" width="10.5546875" style="134" hidden="1" customWidth="1"/>
    <col min="271" max="272" width="11.33203125" style="134" hidden="1" customWidth="1"/>
    <col min="273" max="273" width="16.44140625" style="134" hidden="1" customWidth="1"/>
    <col min="274" max="274" width="9.6640625" style="134" hidden="1" customWidth="1"/>
    <col min="275" max="275" width="16.5546875" style="134" hidden="1" customWidth="1"/>
    <col min="276" max="276" width="12.33203125" style="134" hidden="1" customWidth="1"/>
    <col min="277" max="277" width="11.33203125" style="134" hidden="1" customWidth="1"/>
    <col min="278" max="278" width="13.6640625" style="134" hidden="1" customWidth="1"/>
    <col min="279" max="279" width="16.44140625" style="134" hidden="1" customWidth="1"/>
    <col min="280" max="280" width="16.33203125" style="134" hidden="1" customWidth="1"/>
    <col min="281" max="281" width="16.109375" style="134" hidden="1" customWidth="1"/>
    <col min="282" max="282" width="18.33203125" style="134" hidden="1" customWidth="1"/>
    <col min="283" max="284" width="19.33203125" style="134" hidden="1" customWidth="1"/>
    <col min="285" max="285" width="8.88671875" style="134" hidden="1" customWidth="1"/>
    <col min="286" max="286" width="17.88671875" style="134" hidden="1" customWidth="1"/>
    <col min="287" max="287" width="13.6640625" style="134" hidden="1" customWidth="1"/>
    <col min="288" max="288" width="12.6640625" style="134" hidden="1" customWidth="1"/>
    <col min="289" max="290" width="10.6640625" style="134" hidden="1" customWidth="1"/>
    <col min="291" max="292" width="12.88671875" style="134" hidden="1" customWidth="1"/>
    <col min="293" max="293" width="14.109375" style="134" hidden="1" customWidth="1"/>
    <col min="294" max="299" width="13.33203125" style="134" hidden="1" customWidth="1"/>
    <col min="300" max="300" width="11.88671875" style="134" hidden="1" customWidth="1"/>
    <col min="301" max="301" width="12.6640625" style="134" hidden="1" customWidth="1"/>
    <col min="302" max="302" width="16.6640625" style="134" hidden="1" customWidth="1"/>
    <col min="303" max="303" width="13" style="134" hidden="1" customWidth="1"/>
    <col min="304" max="304" width="11.5546875" style="134" hidden="1" customWidth="1"/>
    <col min="305" max="305" width="9.44140625" style="134" hidden="1" customWidth="1"/>
    <col min="306" max="306" width="11.5546875" style="134" hidden="1" customWidth="1"/>
    <col min="307" max="307" width="11.109375" style="134" hidden="1" customWidth="1"/>
    <col min="308" max="308" width="13.88671875" style="134" hidden="1" customWidth="1"/>
    <col min="309" max="309" width="15.88671875" style="134" hidden="1" customWidth="1"/>
    <col min="310" max="310" width="15" style="134" hidden="1" customWidth="1"/>
    <col min="311" max="311" width="11.88671875" style="134" hidden="1" customWidth="1"/>
    <col min="312" max="312" width="13.44140625" style="134" hidden="1" customWidth="1"/>
    <col min="313" max="313" width="14.88671875" style="134" hidden="1" customWidth="1"/>
    <col min="314" max="314" width="8.88671875" style="134" hidden="1" customWidth="1"/>
    <col min="315" max="316" width="7.44140625" style="134" hidden="1" customWidth="1"/>
    <col min="317" max="324" width="9" style="134" hidden="1" customWidth="1"/>
    <col min="325" max="325" width="16.88671875" style="134" hidden="1" customWidth="1"/>
    <col min="326" max="326" width="15.44140625" style="134" hidden="1" customWidth="1"/>
    <col min="327" max="328" width="10.44140625" style="134" hidden="1" customWidth="1"/>
    <col min="329" max="329" width="9.33203125" style="134" hidden="1" customWidth="1"/>
    <col min="330" max="330" width="15.44140625" style="134" hidden="1" customWidth="1"/>
    <col min="331" max="331" width="14.44140625" style="134" hidden="1" customWidth="1"/>
    <col min="332" max="333" width="16" style="134" hidden="1" customWidth="1"/>
    <col min="334" max="335" width="10.44140625" style="134" hidden="1" customWidth="1"/>
    <col min="336" max="336" width="12.109375" style="134" hidden="1" customWidth="1"/>
    <col min="337" max="337" width="14.109375" style="134" hidden="1" customWidth="1"/>
    <col min="338" max="339" width="12.88671875" style="134" hidden="1" customWidth="1"/>
    <col min="340" max="340" width="11.44140625" style="134" hidden="1" customWidth="1"/>
    <col min="341" max="341" width="11" style="134" hidden="1" customWidth="1"/>
    <col min="342" max="342" width="11.88671875" style="134" hidden="1" customWidth="1"/>
    <col min="343" max="343" width="11.33203125" style="134" hidden="1" customWidth="1"/>
    <col min="344" max="344" width="12.44140625" style="134" hidden="1" customWidth="1"/>
    <col min="345" max="345" width="13.6640625" style="134" hidden="1" customWidth="1"/>
    <col min="346" max="347" width="7.109375" style="134" hidden="1" customWidth="1"/>
    <col min="348" max="348" width="19.109375" style="134" hidden="1" customWidth="1"/>
    <col min="349" max="349" width="20.33203125" style="134" hidden="1" customWidth="1"/>
    <col min="350" max="350" width="18.33203125" style="134" hidden="1" customWidth="1"/>
    <col min="351" max="352" width="17.109375" style="134" hidden="1" customWidth="1"/>
    <col min="353" max="353" width="14.44140625" style="134" hidden="1" customWidth="1"/>
    <col min="354" max="354" width="24.88671875" style="134" hidden="1" customWidth="1"/>
    <col min="355" max="355" width="14.109375" style="134" hidden="1" customWidth="1"/>
    <col min="356" max="356" width="17.44140625" style="134" hidden="1" customWidth="1"/>
    <col min="357" max="357" width="17.5546875" style="134" hidden="1" customWidth="1"/>
    <col min="358" max="359" width="20.5546875" style="134" hidden="1" customWidth="1"/>
    <col min="360" max="362" width="13.33203125" style="134" hidden="1" customWidth="1"/>
    <col min="363" max="363" width="12.33203125" style="134" hidden="1" customWidth="1"/>
    <col min="364" max="364" width="13.33203125" style="134" hidden="1" customWidth="1"/>
    <col min="365" max="366" width="11.88671875" style="134" hidden="1" customWidth="1"/>
    <col min="367" max="367" width="8.33203125" style="134" hidden="1" customWidth="1"/>
    <col min="368" max="368" width="8.5546875" style="134" hidden="1" customWidth="1"/>
    <col min="369" max="369" width="13.5546875" style="134" hidden="1" customWidth="1"/>
    <col min="370" max="370" width="17" style="134" hidden="1" customWidth="1"/>
    <col min="371" max="371" width="16.6640625" style="134" hidden="1" customWidth="1"/>
    <col min="372" max="372" width="17" style="134" hidden="1" customWidth="1"/>
    <col min="373" max="373" width="27.33203125" style="134" hidden="1" customWidth="1"/>
    <col min="374" max="374" width="29.33203125" style="134" hidden="1" customWidth="1"/>
    <col min="375" max="375" width="30.88671875" style="134" hidden="1" customWidth="1"/>
    <col min="376" max="376" width="21.33203125" style="134" hidden="1" customWidth="1"/>
    <col min="377" max="378" width="21.6640625" style="134" hidden="1" customWidth="1"/>
    <col min="379" max="379" width="21.44140625" style="134" hidden="1" customWidth="1"/>
    <col min="380" max="380" width="9.44140625" style="134" hidden="1" customWidth="1"/>
    <col min="381" max="381" width="11" style="134" hidden="1" customWidth="1"/>
    <col min="382" max="382" width="13" style="134" hidden="1" customWidth="1"/>
    <col min="383" max="383" width="13.33203125" style="134" hidden="1" customWidth="1"/>
    <col min="384" max="384" width="11.6640625" style="134" hidden="1" customWidth="1"/>
    <col min="385" max="385" width="13.33203125" style="134" hidden="1" customWidth="1"/>
    <col min="386" max="386" width="15" style="134" hidden="1" customWidth="1"/>
    <col min="387" max="387" width="7.44140625" style="21" customWidth="1"/>
    <col min="388" max="388" width="9.88671875" style="7" customWidth="1"/>
    <col min="389" max="389" width="15" style="7" customWidth="1"/>
    <col min="390" max="390" width="13.44140625" style="7" customWidth="1"/>
    <col min="391" max="391" width="16.5546875" style="7" customWidth="1"/>
    <col min="392" max="392" width="10" style="44" customWidth="1"/>
    <col min="393" max="393" width="10.44140625" style="33" customWidth="1"/>
    <col min="394" max="394" width="7.6640625" style="31" customWidth="1"/>
    <col min="395" max="420" width="225.6640625" style="4" customWidth="1"/>
    <col min="421" max="16384" width="9.109375" style="4"/>
  </cols>
  <sheetData>
    <row r="1" spans="1:395" s="18" customFormat="1" ht="45" customHeight="1" x14ac:dyDescent="0.25">
      <c r="A1" s="109" t="s">
        <v>0</v>
      </c>
      <c r="B1" s="110" t="s">
        <v>33</v>
      </c>
      <c r="C1" s="18" t="s">
        <v>79</v>
      </c>
      <c r="D1" s="18" t="s">
        <v>79</v>
      </c>
      <c r="E1" s="22" t="s">
        <v>90</v>
      </c>
      <c r="F1" s="22" t="s">
        <v>188</v>
      </c>
      <c r="G1" s="22" t="s">
        <v>438</v>
      </c>
      <c r="H1" s="22" t="s">
        <v>356</v>
      </c>
      <c r="I1" s="22" t="s">
        <v>227</v>
      </c>
      <c r="J1" s="22" t="s">
        <v>175</v>
      </c>
      <c r="K1" s="22" t="s">
        <v>286</v>
      </c>
      <c r="L1" s="22" t="s">
        <v>473</v>
      </c>
      <c r="M1" s="22" t="s">
        <v>88</v>
      </c>
      <c r="N1" s="22" t="s">
        <v>200</v>
      </c>
      <c r="O1" s="22" t="s">
        <v>283</v>
      </c>
      <c r="P1" s="22" t="s">
        <v>217</v>
      </c>
      <c r="Q1" s="22" t="s">
        <v>234</v>
      </c>
      <c r="R1" s="22" t="s">
        <v>117</v>
      </c>
      <c r="S1" s="12" t="s">
        <v>51</v>
      </c>
      <c r="T1" s="12" t="s">
        <v>83</v>
      </c>
      <c r="U1" s="12" t="s">
        <v>269</v>
      </c>
      <c r="V1" s="12" t="s">
        <v>409</v>
      </c>
      <c r="W1" s="12" t="s">
        <v>341</v>
      </c>
      <c r="X1" s="12" t="s">
        <v>111</v>
      </c>
      <c r="Y1" s="12" t="s">
        <v>221</v>
      </c>
      <c r="Z1" s="12" t="s">
        <v>299</v>
      </c>
      <c r="AA1" s="12" t="s">
        <v>74</v>
      </c>
      <c r="AB1" s="12" t="s">
        <v>167</v>
      </c>
      <c r="AC1" s="12" t="s">
        <v>108</v>
      </c>
      <c r="AD1" s="12" t="s">
        <v>258</v>
      </c>
      <c r="AE1" s="12" t="s">
        <v>488</v>
      </c>
      <c r="AF1" s="12" t="s">
        <v>369</v>
      </c>
      <c r="AG1" s="12" t="s">
        <v>325</v>
      </c>
      <c r="AH1" s="12" t="s">
        <v>82</v>
      </c>
      <c r="AI1" s="12" t="s">
        <v>12</v>
      </c>
      <c r="AJ1" s="22" t="s">
        <v>441</v>
      </c>
      <c r="AK1" s="22" t="s">
        <v>485</v>
      </c>
      <c r="AL1" s="22" t="s">
        <v>433</v>
      </c>
      <c r="AM1" s="22" t="s">
        <v>274</v>
      </c>
      <c r="AN1" s="22" t="s">
        <v>287</v>
      </c>
      <c r="AO1" s="22" t="s">
        <v>56</v>
      </c>
      <c r="AP1" s="61" t="s">
        <v>449</v>
      </c>
      <c r="AQ1" s="22" t="s">
        <v>375</v>
      </c>
      <c r="AR1" s="22" t="s">
        <v>126</v>
      </c>
      <c r="AS1" s="22" t="s">
        <v>268</v>
      </c>
      <c r="AT1" s="22" t="s">
        <v>478</v>
      </c>
      <c r="AU1" s="22" t="s">
        <v>365</v>
      </c>
      <c r="AV1" s="22" t="s">
        <v>225</v>
      </c>
      <c r="AW1" s="22" t="s">
        <v>310</v>
      </c>
      <c r="AX1" s="22" t="s">
        <v>254</v>
      </c>
      <c r="AY1" s="22" t="s">
        <v>147</v>
      </c>
      <c r="AZ1" s="22" t="s">
        <v>176</v>
      </c>
      <c r="BA1" s="22" t="s">
        <v>219</v>
      </c>
      <c r="BB1" s="22" t="s">
        <v>248</v>
      </c>
      <c r="BC1" s="22" t="s">
        <v>284</v>
      </c>
      <c r="BD1" s="22" t="s">
        <v>471</v>
      </c>
      <c r="BE1" s="22" t="s">
        <v>69</v>
      </c>
      <c r="BF1" s="22" t="s">
        <v>359</v>
      </c>
      <c r="BG1" s="22" t="s">
        <v>211</v>
      </c>
      <c r="BH1" s="22" t="s">
        <v>353</v>
      </c>
      <c r="BI1" s="22" t="s">
        <v>395</v>
      </c>
      <c r="BJ1" s="22" t="s">
        <v>360</v>
      </c>
      <c r="BK1" s="22" t="s">
        <v>255</v>
      </c>
      <c r="BL1" s="22" t="s">
        <v>405</v>
      </c>
      <c r="BM1" s="22" t="s">
        <v>223</v>
      </c>
      <c r="BN1" s="22" t="s">
        <v>13</v>
      </c>
      <c r="BO1" s="22" t="s">
        <v>276</v>
      </c>
      <c r="BP1" s="22" t="s">
        <v>262</v>
      </c>
      <c r="BQ1" s="22" t="s">
        <v>85</v>
      </c>
      <c r="BR1" s="12" t="s">
        <v>123</v>
      </c>
      <c r="BS1" s="12" t="s">
        <v>252</v>
      </c>
      <c r="BT1" s="22" t="s">
        <v>575</v>
      </c>
      <c r="BU1" s="22" t="s">
        <v>112</v>
      </c>
      <c r="BV1" s="22" t="s">
        <v>84</v>
      </c>
      <c r="BW1" s="22" t="s">
        <v>275</v>
      </c>
      <c r="BX1" s="22" t="s">
        <v>141</v>
      </c>
      <c r="BY1" s="22" t="s">
        <v>344</v>
      </c>
      <c r="BZ1" s="22" t="s">
        <v>236</v>
      </c>
      <c r="CA1" s="22" t="s">
        <v>153</v>
      </c>
      <c r="CB1" s="22" t="s">
        <v>86</v>
      </c>
      <c r="CC1" s="22" t="s">
        <v>169</v>
      </c>
      <c r="CD1" s="22" t="s">
        <v>63</v>
      </c>
      <c r="CE1" s="22" t="s">
        <v>27</v>
      </c>
      <c r="CF1" s="22" t="s">
        <v>552</v>
      </c>
      <c r="CG1" s="22" t="s">
        <v>218</v>
      </c>
      <c r="CH1" s="22" t="s">
        <v>307</v>
      </c>
      <c r="CI1" s="22" t="s">
        <v>349</v>
      </c>
      <c r="CJ1" s="22" t="s">
        <v>183</v>
      </c>
      <c r="CK1" s="22" t="s">
        <v>75</v>
      </c>
      <c r="CL1" s="22" t="s">
        <v>124</v>
      </c>
      <c r="CM1" s="22" t="s">
        <v>384</v>
      </c>
      <c r="CN1" s="22" t="s">
        <v>250</v>
      </c>
      <c r="CO1" s="22" t="s">
        <v>171</v>
      </c>
      <c r="CP1" s="22" t="s">
        <v>154</v>
      </c>
      <c r="CQ1" s="22" t="s">
        <v>226</v>
      </c>
      <c r="CR1" s="12" t="s">
        <v>55</v>
      </c>
      <c r="CS1" s="12" t="s">
        <v>392</v>
      </c>
      <c r="CT1" s="12" t="s">
        <v>14</v>
      </c>
      <c r="CU1" s="12" t="s">
        <v>98</v>
      </c>
      <c r="CV1" s="12" t="s">
        <v>109</v>
      </c>
      <c r="CW1" s="12" t="s">
        <v>98</v>
      </c>
      <c r="CX1" s="12" t="s">
        <v>68</v>
      </c>
      <c r="CY1" s="12" t="s">
        <v>191</v>
      </c>
      <c r="CZ1" s="12" t="s">
        <v>385</v>
      </c>
      <c r="DA1" s="12" t="s">
        <v>181</v>
      </c>
      <c r="DB1" s="12" t="s">
        <v>270</v>
      </c>
      <c r="DC1" s="12" t="s">
        <v>149</v>
      </c>
      <c r="DD1" s="12" t="s">
        <v>148</v>
      </c>
      <c r="DE1" s="12" t="s">
        <v>49</v>
      </c>
      <c r="DF1" s="12" t="s">
        <v>100</v>
      </c>
      <c r="DG1" s="12" t="s">
        <v>249</v>
      </c>
      <c r="DH1" s="12" t="s">
        <v>48</v>
      </c>
      <c r="DI1" s="12" t="s">
        <v>192</v>
      </c>
      <c r="DJ1" s="12" t="s">
        <v>239</v>
      </c>
      <c r="DK1" s="12" t="s">
        <v>350</v>
      </c>
      <c r="DL1" s="12" t="s">
        <v>121</v>
      </c>
      <c r="DM1" s="12" t="s">
        <v>308</v>
      </c>
      <c r="DN1" s="12" t="s">
        <v>203</v>
      </c>
      <c r="DO1" s="12" t="s">
        <v>196</v>
      </c>
      <c r="DP1" s="12" t="s">
        <v>474</v>
      </c>
      <c r="DQ1" s="12" t="s">
        <v>157</v>
      </c>
      <c r="DR1" s="12" t="s">
        <v>164</v>
      </c>
      <c r="DS1" s="12" t="s">
        <v>393</v>
      </c>
      <c r="DT1" s="12" t="s">
        <v>346</v>
      </c>
      <c r="DU1" s="12" t="s">
        <v>288</v>
      </c>
      <c r="DV1" s="12" t="s">
        <v>35</v>
      </c>
      <c r="DW1" s="12" t="s">
        <v>178</v>
      </c>
      <c r="DX1" s="12" t="s">
        <v>404</v>
      </c>
      <c r="DY1" s="12" t="s">
        <v>193</v>
      </c>
      <c r="DZ1" s="12" t="s">
        <v>285</v>
      </c>
      <c r="EA1" s="12" t="s">
        <v>32</v>
      </c>
      <c r="EB1" s="12" t="s">
        <v>215</v>
      </c>
      <c r="EC1" s="12" t="s">
        <v>271</v>
      </c>
      <c r="ED1" s="12" t="s">
        <v>323</v>
      </c>
      <c r="EE1" s="12" t="s">
        <v>184</v>
      </c>
      <c r="EF1" s="12" t="s">
        <v>367</v>
      </c>
      <c r="EG1" s="12" t="s">
        <v>64</v>
      </c>
      <c r="EH1" s="12" t="s">
        <v>170</v>
      </c>
      <c r="EI1" s="12" t="s">
        <v>267</v>
      </c>
      <c r="EJ1" s="12" t="s">
        <v>52</v>
      </c>
      <c r="EK1" s="12" t="s">
        <v>150</v>
      </c>
      <c r="EL1" s="12" t="s">
        <v>289</v>
      </c>
      <c r="EM1" s="12" t="s">
        <v>15</v>
      </c>
      <c r="EN1" s="12" t="s">
        <v>101</v>
      </c>
      <c r="EO1" s="12" t="s">
        <v>62</v>
      </c>
      <c r="EP1" s="22" t="s">
        <v>355</v>
      </c>
      <c r="EQ1" s="22" t="s">
        <v>16</v>
      </c>
      <c r="ER1" s="22" t="s">
        <v>155</v>
      </c>
      <c r="ES1" s="22" t="s">
        <v>472</v>
      </c>
      <c r="ET1" s="22" t="s">
        <v>257</v>
      </c>
      <c r="EU1" s="22" t="s">
        <v>340</v>
      </c>
      <c r="EV1" s="12" t="s">
        <v>222</v>
      </c>
      <c r="EW1" s="12" t="s">
        <v>459</v>
      </c>
      <c r="EX1" s="12" t="s">
        <v>197</v>
      </c>
      <c r="EY1" s="12" t="s">
        <v>281</v>
      </c>
      <c r="EZ1" s="12" t="s">
        <v>237</v>
      </c>
      <c r="FA1" s="12" t="s">
        <v>160</v>
      </c>
      <c r="FB1" s="12" t="s">
        <v>1</v>
      </c>
      <c r="FC1" s="22" t="s">
        <v>319</v>
      </c>
      <c r="FD1" s="22" t="s">
        <v>165</v>
      </c>
      <c r="FE1" s="22" t="s">
        <v>76</v>
      </c>
      <c r="FF1" s="22" t="s">
        <v>326</v>
      </c>
      <c r="FG1" s="22" t="s">
        <v>266</v>
      </c>
      <c r="FH1" s="22" t="s">
        <v>317</v>
      </c>
      <c r="FI1" s="22" t="s">
        <v>364</v>
      </c>
      <c r="FJ1" s="22" t="s">
        <v>290</v>
      </c>
      <c r="FK1" s="22" t="s">
        <v>220</v>
      </c>
      <c r="FL1" s="22" t="s">
        <v>25</v>
      </c>
      <c r="FM1" s="12" t="s">
        <v>371</v>
      </c>
      <c r="FN1" s="22" t="s">
        <v>89</v>
      </c>
      <c r="FO1" s="22" t="s">
        <v>469</v>
      </c>
      <c r="FP1" s="12" t="s">
        <v>133</v>
      </c>
      <c r="FQ1" s="12" t="s">
        <v>40</v>
      </c>
      <c r="FR1" s="12" t="s">
        <v>168</v>
      </c>
      <c r="FS1" s="12" t="s">
        <v>180</v>
      </c>
      <c r="FT1" s="12" t="s">
        <v>378</v>
      </c>
      <c r="FU1" s="12" t="s">
        <v>26</v>
      </c>
      <c r="FV1" s="12" t="s">
        <v>376</v>
      </c>
      <c r="FW1" s="12" t="s">
        <v>194</v>
      </c>
      <c r="FX1" s="12" t="s">
        <v>396</v>
      </c>
      <c r="FY1" s="12" t="s">
        <v>29</v>
      </c>
      <c r="FZ1" s="12" t="s">
        <v>95</v>
      </c>
      <c r="GA1" s="22" t="s">
        <v>261</v>
      </c>
      <c r="GB1" s="22" t="s">
        <v>204</v>
      </c>
      <c r="GC1" s="22" t="s">
        <v>70</v>
      </c>
      <c r="GD1" s="22" t="s">
        <v>386</v>
      </c>
      <c r="GE1" s="22" t="s">
        <v>315</v>
      </c>
      <c r="GF1" s="22" t="s">
        <v>329</v>
      </c>
      <c r="GG1" s="22" t="s">
        <v>397</v>
      </c>
      <c r="GH1" s="22" t="s">
        <v>463</v>
      </c>
      <c r="GI1" s="12" t="s">
        <v>28</v>
      </c>
      <c r="GJ1" s="22" t="s">
        <v>134</v>
      </c>
      <c r="GK1" s="22" t="s">
        <v>156</v>
      </c>
      <c r="GL1" s="22" t="s">
        <v>185</v>
      </c>
      <c r="GM1" s="22" t="s">
        <v>342</v>
      </c>
      <c r="GN1" s="22" t="s">
        <v>379</v>
      </c>
      <c r="GO1" s="22" t="s">
        <v>282</v>
      </c>
      <c r="GP1" s="22" t="s">
        <v>17</v>
      </c>
      <c r="GQ1" s="22" t="s">
        <v>113</v>
      </c>
      <c r="GR1" s="22" t="s">
        <v>110</v>
      </c>
      <c r="GS1" s="22" t="s">
        <v>172</v>
      </c>
      <c r="GT1" s="22" t="s">
        <v>314</v>
      </c>
      <c r="GU1" s="22" t="s">
        <v>173</v>
      </c>
      <c r="GV1" s="22" t="s">
        <v>241</v>
      </c>
      <c r="GW1" s="22" t="s">
        <v>421</v>
      </c>
      <c r="GX1" s="22" t="s">
        <v>114</v>
      </c>
      <c r="GY1" s="22" t="s">
        <v>2</v>
      </c>
      <c r="GZ1" s="22" t="s">
        <v>240</v>
      </c>
      <c r="HA1" s="22" t="s">
        <v>228</v>
      </c>
      <c r="HB1" s="22" t="s">
        <v>212</v>
      </c>
      <c r="HC1" s="22" t="s">
        <v>91</v>
      </c>
      <c r="HD1" s="22" t="s">
        <v>122</v>
      </c>
      <c r="HE1" s="22" t="s">
        <v>458</v>
      </c>
      <c r="HF1" s="22" t="s">
        <v>448</v>
      </c>
      <c r="HG1" s="22" t="s">
        <v>322</v>
      </c>
      <c r="HH1" s="22" t="s">
        <v>195</v>
      </c>
      <c r="HI1" s="22" t="s">
        <v>42</v>
      </c>
      <c r="HJ1" s="12" t="s">
        <v>50</v>
      </c>
      <c r="HK1" s="22" t="s">
        <v>125</v>
      </c>
      <c r="HL1" s="22" t="s">
        <v>372</v>
      </c>
      <c r="HM1" s="22" t="s">
        <v>260</v>
      </c>
      <c r="HN1" s="22" t="s">
        <v>291</v>
      </c>
      <c r="HO1" s="22" t="s">
        <v>373</v>
      </c>
      <c r="HP1" s="22" t="s">
        <v>128</v>
      </c>
      <c r="HQ1" s="22" t="s">
        <v>318</v>
      </c>
      <c r="HR1" s="22" t="s">
        <v>87</v>
      </c>
      <c r="HS1" s="22" t="s">
        <v>139</v>
      </c>
      <c r="HT1" s="22" t="s">
        <v>213</v>
      </c>
      <c r="HU1" s="22" t="s">
        <v>224</v>
      </c>
      <c r="HV1" s="22" t="s">
        <v>361</v>
      </c>
      <c r="HW1" s="12" t="s">
        <v>174</v>
      </c>
      <c r="HX1" s="12" t="s">
        <v>345</v>
      </c>
      <c r="HY1" s="12" t="s">
        <v>161</v>
      </c>
      <c r="HZ1" s="12" t="s">
        <v>461</v>
      </c>
      <c r="IA1" s="12" t="s">
        <v>451</v>
      </c>
      <c r="IB1" s="12" t="s">
        <v>131</v>
      </c>
      <c r="IC1" s="12" t="s">
        <v>383</v>
      </c>
      <c r="ID1" s="12" t="s">
        <v>309</v>
      </c>
      <c r="IE1" s="12" t="s">
        <v>475</v>
      </c>
      <c r="IF1" s="12" t="s">
        <v>442</v>
      </c>
      <c r="IG1" s="12" t="s">
        <v>417</v>
      </c>
      <c r="IH1" s="12" t="s">
        <v>416</v>
      </c>
      <c r="II1" s="12" t="s">
        <v>24</v>
      </c>
      <c r="IJ1" s="12" t="s">
        <v>18</v>
      </c>
      <c r="IK1" s="12" t="s">
        <v>61</v>
      </c>
      <c r="IL1" s="12" t="s">
        <v>198</v>
      </c>
      <c r="IM1" s="12" t="s">
        <v>366</v>
      </c>
      <c r="IN1" s="12" t="s">
        <v>201</v>
      </c>
      <c r="IO1" s="12" t="s">
        <v>107</v>
      </c>
      <c r="IP1" s="12" t="s">
        <v>205</v>
      </c>
      <c r="IQ1" s="12" t="s">
        <v>447</v>
      </c>
      <c r="IR1" s="12" t="s">
        <v>238</v>
      </c>
      <c r="IS1" s="12" t="s">
        <v>166</v>
      </c>
      <c r="IT1" s="12" t="s">
        <v>115</v>
      </c>
      <c r="IU1" s="12" t="s">
        <v>296</v>
      </c>
      <c r="IV1" s="12" t="s">
        <v>389</v>
      </c>
      <c r="IW1" s="12" t="s">
        <v>20</v>
      </c>
      <c r="IX1" s="22" t="s">
        <v>177</v>
      </c>
      <c r="IY1" s="22" t="s">
        <v>71</v>
      </c>
      <c r="IZ1" s="22" t="s">
        <v>145</v>
      </c>
      <c r="JA1" s="22" t="s">
        <v>351</v>
      </c>
      <c r="JB1" s="12" t="s">
        <v>251</v>
      </c>
      <c r="JC1" s="12" t="s">
        <v>132</v>
      </c>
      <c r="JD1" s="12" t="s">
        <v>135</v>
      </c>
      <c r="JE1" s="22" t="s">
        <v>65</v>
      </c>
      <c r="JF1" s="12" t="s">
        <v>99</v>
      </c>
      <c r="JG1" s="22" t="s">
        <v>118</v>
      </c>
      <c r="JH1" s="22" t="s">
        <v>245</v>
      </c>
      <c r="JI1" s="22" t="s">
        <v>19</v>
      </c>
      <c r="JJ1" s="12" t="s">
        <v>119</v>
      </c>
      <c r="JK1" s="12" t="s">
        <v>246</v>
      </c>
      <c r="JL1" s="12" t="s">
        <v>263</v>
      </c>
      <c r="JM1" s="12" t="s">
        <v>158</v>
      </c>
      <c r="JN1" s="12" t="s">
        <v>214</v>
      </c>
      <c r="JO1" s="22" t="s">
        <v>190</v>
      </c>
      <c r="JP1" s="22" t="s">
        <v>116</v>
      </c>
      <c r="JQ1" s="22" t="s">
        <v>144</v>
      </c>
      <c r="JR1" s="22" t="s">
        <v>142</v>
      </c>
      <c r="JS1" s="22" t="s">
        <v>207</v>
      </c>
      <c r="JT1" s="22" t="s">
        <v>138</v>
      </c>
      <c r="JU1" s="12" t="s">
        <v>303</v>
      </c>
      <c r="JV1" s="12" t="s">
        <v>306</v>
      </c>
      <c r="JW1" s="27" t="s">
        <v>324</v>
      </c>
      <c r="JX1" s="27" t="s">
        <v>484</v>
      </c>
      <c r="JY1" s="27" t="s">
        <v>403</v>
      </c>
      <c r="JZ1" s="27" t="s">
        <v>333</v>
      </c>
      <c r="KA1" s="12" t="s">
        <v>334</v>
      </c>
      <c r="KB1" s="27" t="s">
        <v>328</v>
      </c>
      <c r="KC1" s="27" t="s">
        <v>327</v>
      </c>
      <c r="KD1" s="27" t="s">
        <v>504</v>
      </c>
      <c r="KE1" s="27" t="s">
        <v>304</v>
      </c>
      <c r="KF1" s="27" t="s">
        <v>453</v>
      </c>
      <c r="KG1" s="27" t="s">
        <v>331</v>
      </c>
      <c r="KH1" s="27" t="s">
        <v>429</v>
      </c>
      <c r="KI1" s="27" t="s">
        <v>430</v>
      </c>
      <c r="KJ1" s="27" t="s">
        <v>490</v>
      </c>
      <c r="KK1" s="27" t="s">
        <v>551</v>
      </c>
      <c r="KL1" s="27" t="s">
        <v>427</v>
      </c>
      <c r="KM1" s="27" t="s">
        <v>428</v>
      </c>
      <c r="KN1" s="12" t="s">
        <v>305</v>
      </c>
      <c r="KO1" s="27" t="s">
        <v>335</v>
      </c>
      <c r="KP1" s="27" t="s">
        <v>336</v>
      </c>
      <c r="KQ1" s="27" t="s">
        <v>337</v>
      </c>
      <c r="KR1" s="27" t="s">
        <v>338</v>
      </c>
      <c r="KS1" s="27" t="s">
        <v>339</v>
      </c>
      <c r="KT1" s="27" t="s">
        <v>408</v>
      </c>
      <c r="KU1" s="27" t="s">
        <v>382</v>
      </c>
      <c r="KV1" s="27" t="s">
        <v>189</v>
      </c>
      <c r="KW1" s="27" t="s">
        <v>279</v>
      </c>
      <c r="KX1" s="27" t="s">
        <v>280</v>
      </c>
      <c r="KY1" s="27" t="s">
        <v>293</v>
      </c>
      <c r="KZ1" s="27" t="s">
        <v>294</v>
      </c>
      <c r="LA1" s="27" t="s">
        <v>295</v>
      </c>
      <c r="LB1" s="27" t="s">
        <v>320</v>
      </c>
      <c r="LC1" s="27" t="s">
        <v>410</v>
      </c>
      <c r="LD1" s="27" t="s">
        <v>443</v>
      </c>
      <c r="LE1" s="27" t="s">
        <v>411</v>
      </c>
      <c r="LF1" s="27" t="s">
        <v>456</v>
      </c>
      <c r="LG1" s="27" t="s">
        <v>457</v>
      </c>
      <c r="LH1" s="27" t="s">
        <v>454</v>
      </c>
      <c r="LI1" s="27" t="s">
        <v>412</v>
      </c>
      <c r="LJ1" s="27" t="s">
        <v>413</v>
      </c>
      <c r="LK1" s="27" t="s">
        <v>414</v>
      </c>
      <c r="LL1" s="27" t="s">
        <v>415</v>
      </c>
      <c r="LM1" s="27" t="s">
        <v>187</v>
      </c>
      <c r="LN1" s="27" t="s">
        <v>278</v>
      </c>
      <c r="LO1" s="27" t="s">
        <v>330</v>
      </c>
      <c r="LP1" s="27" t="s">
        <v>312</v>
      </c>
      <c r="LQ1" s="27" t="s">
        <v>313</v>
      </c>
      <c r="LR1" s="27" t="s">
        <v>321</v>
      </c>
      <c r="LS1" s="27" t="s">
        <v>277</v>
      </c>
      <c r="LT1" s="27" t="s">
        <v>209</v>
      </c>
      <c r="LU1" s="27" t="s">
        <v>419</v>
      </c>
      <c r="LV1" s="27" t="s">
        <v>432</v>
      </c>
      <c r="LW1" s="27" t="s">
        <v>332</v>
      </c>
      <c r="LX1" s="27" t="s">
        <v>264</v>
      </c>
      <c r="LY1" s="12" t="s">
        <v>186</v>
      </c>
      <c r="LZ1" s="27" t="s">
        <v>106</v>
      </c>
      <c r="MA1" s="27" t="s">
        <v>491</v>
      </c>
      <c r="MB1" s="27" t="s">
        <v>105</v>
      </c>
      <c r="MC1" s="27" t="s">
        <v>104</v>
      </c>
      <c r="MD1" s="27" t="s">
        <v>159</v>
      </c>
      <c r="ME1" s="27" t="s">
        <v>103</v>
      </c>
      <c r="MF1" s="27" t="s">
        <v>247</v>
      </c>
      <c r="MG1" s="117" t="s">
        <v>300</v>
      </c>
      <c r="MH1" s="27" t="s">
        <v>120</v>
      </c>
      <c r="MI1" s="27" t="s">
        <v>445</v>
      </c>
      <c r="MJ1" s="27" t="s">
        <v>102</v>
      </c>
      <c r="MK1" s="27" t="s">
        <v>292</v>
      </c>
      <c r="ML1" s="27" t="s">
        <v>390</v>
      </c>
      <c r="MM1" s="27" t="s">
        <v>398</v>
      </c>
      <c r="MN1" s="27" t="s">
        <v>550</v>
      </c>
      <c r="MO1" s="27" t="s">
        <v>381</v>
      </c>
      <c r="MP1" s="27" t="s">
        <v>235</v>
      </c>
      <c r="MQ1" s="12" t="s">
        <v>44</v>
      </c>
      <c r="MR1" s="12" t="s">
        <v>347</v>
      </c>
      <c r="MS1" s="12" t="s">
        <v>431</v>
      </c>
      <c r="MT1" s="12" t="s">
        <v>96</v>
      </c>
      <c r="MU1" s="12" t="s">
        <v>243</v>
      </c>
      <c r="MV1" s="63" t="s">
        <v>130</v>
      </c>
      <c r="MW1" s="63" t="s">
        <v>343</v>
      </c>
      <c r="MX1" s="63" t="s">
        <v>489</v>
      </c>
      <c r="MY1" s="63" t="s">
        <v>210</v>
      </c>
      <c r="MZ1" s="63" t="s">
        <v>311</v>
      </c>
      <c r="NA1" s="63" t="s">
        <v>444</v>
      </c>
      <c r="NB1" s="63" t="s">
        <v>574</v>
      </c>
      <c r="NC1" s="63" t="s">
        <v>272</v>
      </c>
      <c r="ND1" s="63" t="s">
        <v>273</v>
      </c>
      <c r="NE1" s="63" t="s">
        <v>127</v>
      </c>
      <c r="NF1" s="12" t="s">
        <v>216</v>
      </c>
      <c r="NG1" s="12" t="s">
        <v>450</v>
      </c>
      <c r="NH1" s="12" t="s">
        <v>316</v>
      </c>
      <c r="NI1" s="12" t="s">
        <v>391</v>
      </c>
      <c r="NJ1" s="12" t="s">
        <v>401</v>
      </c>
      <c r="NK1" s="12" t="s">
        <v>400</v>
      </c>
      <c r="NL1" s="12" t="s">
        <v>242</v>
      </c>
      <c r="NM1" s="12" t="s">
        <v>455</v>
      </c>
      <c r="NN1" s="12" t="s">
        <v>242</v>
      </c>
      <c r="NO1" s="12" t="s">
        <v>420</v>
      </c>
      <c r="NP1" s="12" t="s">
        <v>394</v>
      </c>
      <c r="NQ1" s="12" t="s">
        <v>259</v>
      </c>
      <c r="NR1" s="12" t="s">
        <v>136</v>
      </c>
      <c r="NS1" s="12" t="s">
        <v>151</v>
      </c>
      <c r="NT1" s="12" t="s">
        <v>54</v>
      </c>
      <c r="NU1" s="12" t="s">
        <v>67</v>
      </c>
      <c r="NV1" s="12" t="s">
        <v>47</v>
      </c>
      <c r="NW1" s="111" t="s">
        <v>3</v>
      </c>
      <c r="NX1" s="112" t="s">
        <v>4</v>
      </c>
      <c r="NY1" s="25" t="s">
        <v>5</v>
      </c>
      <c r="NZ1" s="26" t="s">
        <v>162</v>
      </c>
      <c r="OA1" s="13" t="s">
        <v>37</v>
      </c>
      <c r="OB1" s="81" t="s">
        <v>163</v>
      </c>
      <c r="OC1" s="113">
        <v>44197</v>
      </c>
      <c r="OD1" s="111" t="s">
        <v>38</v>
      </c>
      <c r="OE1" s="104"/>
    </row>
    <row r="2" spans="1:395" s="5" customFormat="1" ht="12.75" customHeight="1" x14ac:dyDescent="0.25">
      <c r="A2" s="62">
        <v>43216</v>
      </c>
      <c r="B2" s="106" t="s">
        <v>208</v>
      </c>
      <c r="C2" s="129"/>
      <c r="D2" s="129"/>
      <c r="E2" s="130"/>
      <c r="F2" s="130"/>
      <c r="G2" s="130"/>
      <c r="H2" s="130"/>
      <c r="I2" s="130"/>
      <c r="J2" s="130"/>
      <c r="K2" s="130"/>
      <c r="L2" s="130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  <c r="AH2" s="131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1"/>
      <c r="BE2" s="131"/>
      <c r="BF2" s="131"/>
      <c r="BG2" s="131"/>
      <c r="BH2" s="131"/>
      <c r="BI2" s="131"/>
      <c r="BJ2" s="131"/>
      <c r="BK2" s="131"/>
      <c r="BL2" s="131"/>
      <c r="BM2" s="131"/>
      <c r="BN2" s="131"/>
      <c r="BO2" s="131"/>
      <c r="BP2" s="131"/>
      <c r="BQ2" s="131"/>
      <c r="BR2" s="131"/>
      <c r="BS2" s="131"/>
      <c r="BT2" s="131"/>
      <c r="BU2" s="131"/>
      <c r="BV2" s="131"/>
      <c r="BW2" s="131"/>
      <c r="BX2" s="131"/>
      <c r="BY2" s="131"/>
      <c r="BZ2" s="131"/>
      <c r="CA2" s="131"/>
      <c r="CB2" s="131"/>
      <c r="CC2" s="131"/>
      <c r="CD2" s="131"/>
      <c r="CE2" s="131"/>
      <c r="CF2" s="131"/>
      <c r="CG2" s="131"/>
      <c r="CH2" s="131"/>
      <c r="CI2" s="131"/>
      <c r="CJ2" s="131"/>
      <c r="CK2" s="131"/>
      <c r="CL2" s="131"/>
      <c r="CM2" s="131"/>
      <c r="CN2" s="131"/>
      <c r="CO2" s="131"/>
      <c r="CP2" s="131"/>
      <c r="CQ2" s="131"/>
      <c r="CR2" s="131"/>
      <c r="CS2" s="131"/>
      <c r="CT2" s="131"/>
      <c r="CU2" s="131"/>
      <c r="CV2" s="131"/>
      <c r="CW2" s="131"/>
      <c r="CX2" s="131"/>
      <c r="CY2" s="131"/>
      <c r="CZ2" s="131"/>
      <c r="DA2" s="131"/>
      <c r="DB2" s="131"/>
      <c r="DC2" s="131"/>
      <c r="DD2" s="131"/>
      <c r="DE2" s="131"/>
      <c r="DF2" s="131"/>
      <c r="DG2" s="131"/>
      <c r="DH2" s="131"/>
      <c r="DI2" s="131"/>
      <c r="DJ2" s="131"/>
      <c r="DK2" s="131"/>
      <c r="DL2" s="131"/>
      <c r="DM2" s="131"/>
      <c r="DN2" s="131"/>
      <c r="DO2" s="131"/>
      <c r="DP2" s="131"/>
      <c r="DQ2" s="131"/>
      <c r="DR2" s="131"/>
      <c r="DS2" s="131"/>
      <c r="DT2" s="131"/>
      <c r="DU2" s="131"/>
      <c r="DV2" s="131"/>
      <c r="DW2" s="131"/>
      <c r="DX2" s="131"/>
      <c r="DY2" s="131"/>
      <c r="DZ2" s="131"/>
      <c r="EA2" s="131"/>
      <c r="EB2" s="131"/>
      <c r="EC2" s="131"/>
      <c r="ED2" s="131"/>
      <c r="EE2" s="131"/>
      <c r="EF2" s="131"/>
      <c r="EG2" s="131"/>
      <c r="EH2" s="131"/>
      <c r="EI2" s="131"/>
      <c r="EJ2" s="131"/>
      <c r="EK2" s="131"/>
      <c r="EL2" s="131"/>
      <c r="EM2" s="131"/>
      <c r="EN2" s="131"/>
      <c r="EO2" s="131"/>
      <c r="EP2" s="131"/>
      <c r="EQ2" s="131"/>
      <c r="ER2" s="131"/>
      <c r="ES2" s="131"/>
      <c r="ET2" s="131"/>
      <c r="EU2" s="131"/>
      <c r="EV2" s="131"/>
      <c r="EW2" s="131"/>
      <c r="EX2" s="131"/>
      <c r="EY2" s="131"/>
      <c r="EZ2" s="131"/>
      <c r="FA2" s="131"/>
      <c r="FB2" s="131"/>
      <c r="FC2" s="131"/>
      <c r="FD2" s="131"/>
      <c r="FE2" s="131"/>
      <c r="FF2" s="131"/>
      <c r="FG2" s="131"/>
      <c r="FH2" s="131"/>
      <c r="FI2" s="131"/>
      <c r="FJ2" s="131"/>
      <c r="FK2" s="131"/>
      <c r="FL2" s="131"/>
      <c r="FM2" s="131"/>
      <c r="FN2" s="131"/>
      <c r="FO2" s="131"/>
      <c r="FP2" s="131"/>
      <c r="FQ2" s="131"/>
      <c r="FR2" s="131"/>
      <c r="FS2" s="131"/>
      <c r="FT2" s="131"/>
      <c r="FU2" s="131"/>
      <c r="FV2" s="131"/>
      <c r="FW2" s="131"/>
      <c r="FX2" s="131"/>
      <c r="FY2" s="131"/>
      <c r="FZ2" s="131"/>
      <c r="GA2" s="131"/>
      <c r="GB2" s="131"/>
      <c r="GC2" s="131"/>
      <c r="GD2" s="131"/>
      <c r="GE2" s="131"/>
      <c r="GF2" s="131"/>
      <c r="GG2" s="131"/>
      <c r="GH2" s="131"/>
      <c r="GI2" s="131"/>
      <c r="GJ2" s="131"/>
      <c r="GK2" s="131"/>
      <c r="GL2" s="131"/>
      <c r="GM2" s="131"/>
      <c r="GN2" s="131"/>
      <c r="GO2" s="131"/>
      <c r="GP2" s="131"/>
      <c r="GQ2" s="131"/>
      <c r="GR2" s="131"/>
      <c r="GS2" s="131"/>
      <c r="GT2" s="131"/>
      <c r="GU2" s="131"/>
      <c r="GV2" s="131"/>
      <c r="GW2" s="131"/>
      <c r="GX2" s="131"/>
      <c r="GY2" s="131"/>
      <c r="GZ2" s="131"/>
      <c r="HA2" s="131"/>
      <c r="HB2" s="131"/>
      <c r="HC2" s="131"/>
      <c r="HD2" s="131"/>
      <c r="HE2" s="131"/>
      <c r="HF2" s="131"/>
      <c r="HG2" s="131"/>
      <c r="HH2" s="131"/>
      <c r="HI2" s="131"/>
      <c r="HJ2" s="131"/>
      <c r="HK2" s="131"/>
      <c r="HL2" s="131"/>
      <c r="HM2" s="131"/>
      <c r="HN2" s="131"/>
      <c r="HO2" s="131"/>
      <c r="HP2" s="131"/>
      <c r="HQ2" s="131"/>
      <c r="HR2" s="131"/>
      <c r="HS2" s="131"/>
      <c r="HT2" s="131"/>
      <c r="HU2" s="131"/>
      <c r="HV2" s="131"/>
      <c r="HW2" s="131"/>
      <c r="HX2" s="131"/>
      <c r="HY2" s="131"/>
      <c r="HZ2" s="131"/>
      <c r="IA2" s="131"/>
      <c r="IB2" s="131"/>
      <c r="IC2" s="131"/>
      <c r="ID2" s="131"/>
      <c r="IE2" s="131"/>
      <c r="IF2" s="131"/>
      <c r="IG2" s="131"/>
      <c r="IH2" s="131"/>
      <c r="II2" s="131"/>
      <c r="IJ2" s="131"/>
      <c r="IK2" s="131"/>
      <c r="IL2" s="131"/>
      <c r="IM2" s="131"/>
      <c r="IN2" s="131"/>
      <c r="IO2" s="131"/>
      <c r="IP2" s="131"/>
      <c r="IQ2" s="131"/>
      <c r="IR2" s="131"/>
      <c r="IS2" s="131"/>
      <c r="IT2" s="131"/>
      <c r="IU2" s="131"/>
      <c r="IV2" s="131"/>
      <c r="IW2" s="131"/>
      <c r="IX2" s="131"/>
      <c r="IY2" s="131"/>
      <c r="IZ2" s="131"/>
      <c r="JA2" s="131"/>
      <c r="JB2" s="131"/>
      <c r="JC2" s="131"/>
      <c r="JD2" s="131"/>
      <c r="JE2" s="131"/>
      <c r="JF2" s="131"/>
      <c r="JG2" s="131"/>
      <c r="JH2" s="131"/>
      <c r="JI2" s="131"/>
      <c r="JJ2" s="131"/>
      <c r="JK2" s="131"/>
      <c r="JL2" s="131"/>
      <c r="JM2" s="131"/>
      <c r="JN2" s="131"/>
      <c r="JO2" s="131"/>
      <c r="JP2" s="131"/>
      <c r="JQ2" s="131"/>
      <c r="JR2" s="131"/>
      <c r="JS2" s="131"/>
      <c r="JT2" s="131"/>
      <c r="JU2" s="131"/>
      <c r="JV2" s="131"/>
      <c r="JW2" s="131"/>
      <c r="JX2" s="131"/>
      <c r="JY2" s="131"/>
      <c r="JZ2" s="131"/>
      <c r="KA2" s="131"/>
      <c r="KB2" s="131"/>
      <c r="KC2" s="131"/>
      <c r="KD2" s="131"/>
      <c r="KE2" s="131"/>
      <c r="KF2" s="131"/>
      <c r="KG2" s="131"/>
      <c r="KH2" s="131"/>
      <c r="KI2" s="131"/>
      <c r="KJ2" s="131"/>
      <c r="KK2" s="131"/>
      <c r="KL2" s="131"/>
      <c r="KM2" s="131"/>
      <c r="KN2" s="131"/>
      <c r="KO2" s="131"/>
      <c r="KP2" s="131"/>
      <c r="KQ2" s="131"/>
      <c r="KR2" s="131"/>
      <c r="KS2" s="131"/>
      <c r="KT2" s="131"/>
      <c r="KU2" s="131"/>
      <c r="KV2" s="131"/>
      <c r="KW2" s="131"/>
      <c r="KX2" s="131"/>
      <c r="KY2" s="131"/>
      <c r="KZ2" s="131"/>
      <c r="LA2" s="131"/>
      <c r="LB2" s="131"/>
      <c r="LC2" s="131"/>
      <c r="LD2" s="131"/>
      <c r="LE2" s="131"/>
      <c r="LF2" s="131"/>
      <c r="LG2" s="131"/>
      <c r="LH2" s="131"/>
      <c r="LI2" s="131"/>
      <c r="LJ2" s="131"/>
      <c r="LK2" s="131"/>
      <c r="LL2" s="131"/>
      <c r="LM2" s="131"/>
      <c r="LN2" s="131"/>
      <c r="LO2" s="131"/>
      <c r="LP2" s="131"/>
      <c r="LQ2" s="131"/>
      <c r="LR2" s="131"/>
      <c r="LS2" s="131"/>
      <c r="LT2" s="131"/>
      <c r="LU2" s="131"/>
      <c r="LV2" s="131"/>
      <c r="LW2" s="131"/>
      <c r="LX2" s="131"/>
      <c r="LY2" s="131"/>
      <c r="LZ2" s="131"/>
      <c r="MA2" s="131"/>
      <c r="MB2" s="131"/>
      <c r="MC2" s="131"/>
      <c r="MD2" s="131"/>
      <c r="ME2" s="131"/>
      <c r="MF2" s="131"/>
      <c r="MG2" s="131"/>
      <c r="MH2" s="131"/>
      <c r="MI2" s="131"/>
      <c r="MJ2" s="131"/>
      <c r="MK2" s="131"/>
      <c r="ML2" s="131"/>
      <c r="MM2" s="131"/>
      <c r="MN2" s="131"/>
      <c r="MO2" s="131"/>
      <c r="MP2" s="131"/>
      <c r="MQ2" s="131"/>
      <c r="MR2" s="131"/>
      <c r="MS2" s="131"/>
      <c r="MT2" s="131"/>
      <c r="MU2" s="131"/>
      <c r="MV2" s="131"/>
      <c r="MW2" s="131"/>
      <c r="MX2" s="131"/>
      <c r="MY2" s="131"/>
      <c r="MZ2" s="131"/>
      <c r="NA2" s="131"/>
      <c r="NB2" s="131"/>
      <c r="NC2" s="131"/>
      <c r="ND2" s="131"/>
      <c r="NE2" s="131"/>
      <c r="NF2" s="131"/>
      <c r="NG2" s="131"/>
      <c r="NH2" s="131"/>
      <c r="NI2" s="131"/>
      <c r="NJ2" s="131"/>
      <c r="NK2" s="131"/>
      <c r="NL2" s="131"/>
      <c r="NM2" s="131"/>
      <c r="NN2" s="131"/>
      <c r="NO2" s="131"/>
      <c r="NP2" s="131"/>
      <c r="NQ2" s="131"/>
      <c r="NR2" s="131"/>
      <c r="NS2" s="131"/>
      <c r="NT2" s="131"/>
      <c r="NU2" s="131"/>
      <c r="NV2" s="131"/>
      <c r="NW2" s="24">
        <v>0</v>
      </c>
      <c r="NX2" s="56" t="s">
        <v>97</v>
      </c>
      <c r="NY2" s="82">
        <v>38.6</v>
      </c>
      <c r="NZ2" s="78">
        <f>OC2</f>
        <v>0</v>
      </c>
      <c r="OA2" s="79">
        <v>338</v>
      </c>
      <c r="OB2" s="127">
        <f t="shared" ref="OB2:OB65" si="0">NY2-NZ2</f>
        <v>38.6</v>
      </c>
      <c r="OC2" s="80"/>
      <c r="OD2" s="41">
        <f t="shared" ref="OD2:OD33" si="1">NY2/OA2</f>
        <v>0.11420118343195267</v>
      </c>
      <c r="OE2" s="5" t="s">
        <v>437</v>
      </c>
    </row>
    <row r="3" spans="1:395" s="5" customFormat="1" ht="12.75" customHeight="1" x14ac:dyDescent="0.25">
      <c r="A3" s="62">
        <v>43236</v>
      </c>
      <c r="B3" s="106" t="s">
        <v>208</v>
      </c>
      <c r="C3" s="129"/>
      <c r="D3" s="129"/>
      <c r="E3" s="130"/>
      <c r="F3" s="130"/>
      <c r="G3" s="130"/>
      <c r="H3" s="130"/>
      <c r="I3" s="130"/>
      <c r="J3" s="130"/>
      <c r="K3" s="130"/>
      <c r="L3" s="130"/>
      <c r="M3" s="131"/>
      <c r="N3" s="131"/>
      <c r="O3" s="131"/>
      <c r="P3" s="131"/>
      <c r="Q3" s="131"/>
      <c r="R3" s="131"/>
      <c r="S3" s="131"/>
      <c r="T3" s="131"/>
      <c r="U3" s="131"/>
      <c r="V3" s="131"/>
      <c r="W3" s="131"/>
      <c r="X3" s="131"/>
      <c r="Y3" s="131"/>
      <c r="Z3" s="131"/>
      <c r="AA3" s="131"/>
      <c r="AB3" s="131"/>
      <c r="AC3" s="131"/>
      <c r="AD3" s="131"/>
      <c r="AE3" s="131"/>
      <c r="AF3" s="131"/>
      <c r="AG3" s="131"/>
      <c r="AH3" s="131"/>
      <c r="AI3" s="131"/>
      <c r="AJ3" s="131"/>
      <c r="AK3" s="131"/>
      <c r="AL3" s="131"/>
      <c r="AM3" s="131"/>
      <c r="AN3" s="131"/>
      <c r="AO3" s="131"/>
      <c r="AP3" s="131"/>
      <c r="AQ3" s="131"/>
      <c r="AR3" s="131"/>
      <c r="AS3" s="131"/>
      <c r="AT3" s="131"/>
      <c r="AU3" s="131"/>
      <c r="AV3" s="131"/>
      <c r="AW3" s="131"/>
      <c r="AX3" s="131"/>
      <c r="AY3" s="131"/>
      <c r="AZ3" s="131"/>
      <c r="BA3" s="131"/>
      <c r="BB3" s="131"/>
      <c r="BC3" s="131"/>
      <c r="BD3" s="131"/>
      <c r="BE3" s="131"/>
      <c r="BF3" s="131"/>
      <c r="BG3" s="131"/>
      <c r="BH3" s="131"/>
      <c r="BI3" s="131"/>
      <c r="BJ3" s="131"/>
      <c r="BK3" s="131"/>
      <c r="BL3" s="131"/>
      <c r="BM3" s="131"/>
      <c r="BN3" s="131"/>
      <c r="BO3" s="131"/>
      <c r="BP3" s="131"/>
      <c r="BQ3" s="131"/>
      <c r="BR3" s="131"/>
      <c r="BS3" s="131"/>
      <c r="BT3" s="131"/>
      <c r="BU3" s="131"/>
      <c r="BV3" s="131"/>
      <c r="BW3" s="131"/>
      <c r="BX3" s="131"/>
      <c r="BY3" s="131"/>
      <c r="BZ3" s="131"/>
      <c r="CA3" s="131"/>
      <c r="CB3" s="131"/>
      <c r="CC3" s="131"/>
      <c r="CD3" s="131"/>
      <c r="CE3" s="131"/>
      <c r="CF3" s="131"/>
      <c r="CG3" s="131"/>
      <c r="CH3" s="131"/>
      <c r="CI3" s="131"/>
      <c r="CJ3" s="131"/>
      <c r="CK3" s="131"/>
      <c r="CL3" s="131"/>
      <c r="CM3" s="131"/>
      <c r="CN3" s="131"/>
      <c r="CO3" s="131"/>
      <c r="CP3" s="131"/>
      <c r="CQ3" s="131"/>
      <c r="CR3" s="131"/>
      <c r="CS3" s="131"/>
      <c r="CT3" s="131"/>
      <c r="CU3" s="131"/>
      <c r="CV3" s="131"/>
      <c r="CW3" s="131"/>
      <c r="CX3" s="131"/>
      <c r="CY3" s="131"/>
      <c r="CZ3" s="131"/>
      <c r="DA3" s="131"/>
      <c r="DB3" s="131"/>
      <c r="DC3" s="131"/>
      <c r="DD3" s="131"/>
      <c r="DE3" s="131"/>
      <c r="DF3" s="131"/>
      <c r="DG3" s="131"/>
      <c r="DH3" s="131"/>
      <c r="DI3" s="131"/>
      <c r="DJ3" s="131"/>
      <c r="DK3" s="131"/>
      <c r="DL3" s="131"/>
      <c r="DM3" s="131"/>
      <c r="DN3" s="131"/>
      <c r="DO3" s="131"/>
      <c r="DP3" s="131"/>
      <c r="DQ3" s="131"/>
      <c r="DR3" s="131"/>
      <c r="DS3" s="131"/>
      <c r="DT3" s="131"/>
      <c r="DU3" s="131"/>
      <c r="DV3" s="131"/>
      <c r="DW3" s="131"/>
      <c r="DX3" s="131"/>
      <c r="DY3" s="131"/>
      <c r="DZ3" s="131"/>
      <c r="EA3" s="131"/>
      <c r="EB3" s="131"/>
      <c r="EC3" s="131"/>
      <c r="ED3" s="131"/>
      <c r="EE3" s="131"/>
      <c r="EF3" s="131"/>
      <c r="EG3" s="131"/>
      <c r="EH3" s="131"/>
      <c r="EI3" s="131"/>
      <c r="EJ3" s="131"/>
      <c r="EK3" s="131"/>
      <c r="EL3" s="131"/>
      <c r="EM3" s="131"/>
      <c r="EN3" s="131"/>
      <c r="EO3" s="131"/>
      <c r="EP3" s="131"/>
      <c r="EQ3" s="131"/>
      <c r="ER3" s="131"/>
      <c r="ES3" s="131"/>
      <c r="ET3" s="131"/>
      <c r="EU3" s="131"/>
      <c r="EV3" s="131"/>
      <c r="EW3" s="131"/>
      <c r="EX3" s="131"/>
      <c r="EY3" s="131"/>
      <c r="EZ3" s="131"/>
      <c r="FA3" s="131"/>
      <c r="FB3" s="131"/>
      <c r="FC3" s="131"/>
      <c r="FD3" s="131"/>
      <c r="FE3" s="131"/>
      <c r="FF3" s="131"/>
      <c r="FG3" s="131"/>
      <c r="FH3" s="131"/>
      <c r="FI3" s="131"/>
      <c r="FJ3" s="131"/>
      <c r="FK3" s="131"/>
      <c r="FL3" s="131"/>
      <c r="FM3" s="131"/>
      <c r="FN3" s="131"/>
      <c r="FO3" s="131"/>
      <c r="FP3" s="131"/>
      <c r="FQ3" s="131"/>
      <c r="FR3" s="131"/>
      <c r="FS3" s="131"/>
      <c r="FT3" s="131"/>
      <c r="FU3" s="131"/>
      <c r="FV3" s="131"/>
      <c r="FW3" s="131"/>
      <c r="FX3" s="131"/>
      <c r="FY3" s="131"/>
      <c r="FZ3" s="131"/>
      <c r="GA3" s="131"/>
      <c r="GB3" s="131"/>
      <c r="GC3" s="131"/>
      <c r="GD3" s="131"/>
      <c r="GE3" s="131"/>
      <c r="GF3" s="131"/>
      <c r="GG3" s="131"/>
      <c r="GH3" s="131"/>
      <c r="GI3" s="131"/>
      <c r="GJ3" s="131"/>
      <c r="GK3" s="131"/>
      <c r="GL3" s="131"/>
      <c r="GM3" s="131"/>
      <c r="GN3" s="131"/>
      <c r="GO3" s="131"/>
      <c r="GP3" s="131"/>
      <c r="GQ3" s="131"/>
      <c r="GR3" s="131"/>
      <c r="GS3" s="131"/>
      <c r="GT3" s="131"/>
      <c r="GU3" s="131"/>
      <c r="GV3" s="131"/>
      <c r="GW3" s="131"/>
      <c r="GX3" s="131"/>
      <c r="GY3" s="131"/>
      <c r="GZ3" s="131"/>
      <c r="HA3" s="131"/>
      <c r="HB3" s="131"/>
      <c r="HC3" s="131"/>
      <c r="HD3" s="131"/>
      <c r="HE3" s="131"/>
      <c r="HF3" s="131"/>
      <c r="HG3" s="131"/>
      <c r="HH3" s="131"/>
      <c r="HI3" s="131"/>
      <c r="HJ3" s="131"/>
      <c r="HK3" s="131"/>
      <c r="HL3" s="131"/>
      <c r="HM3" s="131"/>
      <c r="HN3" s="131"/>
      <c r="HO3" s="131"/>
      <c r="HP3" s="131"/>
      <c r="HQ3" s="131"/>
      <c r="HR3" s="131"/>
      <c r="HS3" s="131"/>
      <c r="HT3" s="131"/>
      <c r="HU3" s="131"/>
      <c r="HV3" s="131"/>
      <c r="HW3" s="131"/>
      <c r="HX3" s="131"/>
      <c r="HY3" s="131"/>
      <c r="HZ3" s="131"/>
      <c r="IA3" s="131"/>
      <c r="IB3" s="131"/>
      <c r="IC3" s="131"/>
      <c r="ID3" s="131"/>
      <c r="IE3" s="131"/>
      <c r="IF3" s="131"/>
      <c r="IG3" s="131"/>
      <c r="IH3" s="131"/>
      <c r="II3" s="131"/>
      <c r="IJ3" s="131"/>
      <c r="IK3" s="131"/>
      <c r="IL3" s="131"/>
      <c r="IM3" s="131"/>
      <c r="IN3" s="131"/>
      <c r="IO3" s="131"/>
      <c r="IP3" s="131"/>
      <c r="IQ3" s="131"/>
      <c r="IR3" s="131"/>
      <c r="IS3" s="131"/>
      <c r="IT3" s="131"/>
      <c r="IU3" s="131"/>
      <c r="IV3" s="131"/>
      <c r="IW3" s="131"/>
      <c r="IX3" s="131"/>
      <c r="IY3" s="131"/>
      <c r="IZ3" s="131"/>
      <c r="JA3" s="131"/>
      <c r="JB3" s="131"/>
      <c r="JC3" s="131"/>
      <c r="JD3" s="131"/>
      <c r="JE3" s="131"/>
      <c r="JF3" s="131"/>
      <c r="JG3" s="131"/>
      <c r="JH3" s="131"/>
      <c r="JI3" s="131"/>
      <c r="JJ3" s="131"/>
      <c r="JK3" s="131"/>
      <c r="JL3" s="131"/>
      <c r="JM3" s="131"/>
      <c r="JN3" s="131"/>
      <c r="JO3" s="131"/>
      <c r="JP3" s="131"/>
      <c r="JQ3" s="131"/>
      <c r="JR3" s="131"/>
      <c r="JS3" s="131"/>
      <c r="JT3" s="131"/>
      <c r="JU3" s="131"/>
      <c r="JV3" s="131"/>
      <c r="JW3" s="131"/>
      <c r="JX3" s="131"/>
      <c r="JY3" s="131"/>
      <c r="JZ3" s="131"/>
      <c r="KA3" s="131"/>
      <c r="KB3" s="131"/>
      <c r="KC3" s="131"/>
      <c r="KD3" s="131"/>
      <c r="KE3" s="131"/>
      <c r="KF3" s="131"/>
      <c r="KG3" s="131"/>
      <c r="KH3" s="131"/>
      <c r="KI3" s="131"/>
      <c r="KJ3" s="131"/>
      <c r="KK3" s="131"/>
      <c r="KL3" s="131"/>
      <c r="KM3" s="131"/>
      <c r="KN3" s="131"/>
      <c r="KO3" s="131"/>
      <c r="KP3" s="131"/>
      <c r="KQ3" s="131"/>
      <c r="KR3" s="131"/>
      <c r="KS3" s="131"/>
      <c r="KT3" s="131"/>
      <c r="KU3" s="131"/>
      <c r="KV3" s="131"/>
      <c r="KW3" s="131"/>
      <c r="KX3" s="131"/>
      <c r="KY3" s="131"/>
      <c r="KZ3" s="131"/>
      <c r="LA3" s="131"/>
      <c r="LB3" s="131"/>
      <c r="LC3" s="131"/>
      <c r="LD3" s="131"/>
      <c r="LE3" s="131"/>
      <c r="LF3" s="131"/>
      <c r="LG3" s="131"/>
      <c r="LH3" s="131"/>
      <c r="LI3" s="131"/>
      <c r="LJ3" s="131"/>
      <c r="LK3" s="131"/>
      <c r="LL3" s="131"/>
      <c r="LM3" s="131"/>
      <c r="LN3" s="131"/>
      <c r="LO3" s="131"/>
      <c r="LP3" s="131"/>
      <c r="LQ3" s="131"/>
      <c r="LR3" s="131"/>
      <c r="LS3" s="131"/>
      <c r="LT3" s="131"/>
      <c r="LU3" s="131"/>
      <c r="LV3" s="131"/>
      <c r="LW3" s="131"/>
      <c r="LX3" s="131"/>
      <c r="LY3" s="131"/>
      <c r="LZ3" s="131"/>
      <c r="MA3" s="131"/>
      <c r="MB3" s="131"/>
      <c r="MC3" s="131"/>
      <c r="MD3" s="131"/>
      <c r="ME3" s="131"/>
      <c r="MF3" s="131"/>
      <c r="MG3" s="131"/>
      <c r="MH3" s="131"/>
      <c r="MI3" s="131"/>
      <c r="MJ3" s="131"/>
      <c r="MK3" s="131"/>
      <c r="ML3" s="131"/>
      <c r="MM3" s="131"/>
      <c r="MN3" s="131"/>
      <c r="MO3" s="131"/>
      <c r="MP3" s="131"/>
      <c r="MQ3" s="131"/>
      <c r="MR3" s="131"/>
      <c r="MS3" s="131"/>
      <c r="MT3" s="131"/>
      <c r="MU3" s="131"/>
      <c r="MV3" s="131"/>
      <c r="MW3" s="131"/>
      <c r="MX3" s="131"/>
      <c r="MY3" s="131"/>
      <c r="MZ3" s="131"/>
      <c r="NA3" s="131"/>
      <c r="NB3" s="131"/>
      <c r="NC3" s="131"/>
      <c r="ND3" s="131"/>
      <c r="NE3" s="131"/>
      <c r="NF3" s="131"/>
      <c r="NG3" s="131"/>
      <c r="NH3" s="131"/>
      <c r="NI3" s="131"/>
      <c r="NJ3" s="131"/>
      <c r="NK3" s="131"/>
      <c r="NL3" s="131"/>
      <c r="NM3" s="131"/>
      <c r="NN3" s="131"/>
      <c r="NO3" s="131"/>
      <c r="NP3" s="131"/>
      <c r="NQ3" s="131"/>
      <c r="NR3" s="131"/>
      <c r="NS3" s="131"/>
      <c r="NT3" s="131"/>
      <c r="NU3" s="131"/>
      <c r="NV3" s="131"/>
      <c r="NW3" s="24">
        <v>0</v>
      </c>
      <c r="NX3" s="56" t="s">
        <v>97</v>
      </c>
      <c r="NY3" s="82">
        <v>558</v>
      </c>
      <c r="NZ3" s="78">
        <f t="shared" ref="NZ3:NZ66" si="2">OC3</f>
        <v>0</v>
      </c>
      <c r="OA3" s="79">
        <v>353</v>
      </c>
      <c r="OB3" s="127">
        <f t="shared" si="0"/>
        <v>558</v>
      </c>
      <c r="OC3" s="80"/>
      <c r="OD3" s="41">
        <f t="shared" si="1"/>
        <v>1.5807365439093484</v>
      </c>
      <c r="OE3" s="5" t="s">
        <v>354</v>
      </c>
    </row>
    <row r="4" spans="1:395" s="5" customFormat="1" ht="12.75" customHeight="1" x14ac:dyDescent="0.25">
      <c r="A4" s="62">
        <v>44348</v>
      </c>
      <c r="B4" s="116" t="s">
        <v>129</v>
      </c>
      <c r="C4" s="129"/>
      <c r="D4" s="129"/>
      <c r="E4" s="130"/>
      <c r="F4" s="130"/>
      <c r="G4" s="130"/>
      <c r="H4" s="130"/>
      <c r="I4" s="130"/>
      <c r="J4" s="130"/>
      <c r="K4" s="130"/>
      <c r="L4" s="130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1"/>
      <c r="AH4" s="131"/>
      <c r="AI4" s="131"/>
      <c r="AJ4" s="131"/>
      <c r="AK4" s="131"/>
      <c r="AL4" s="131"/>
      <c r="AM4" s="131"/>
      <c r="AN4" s="131"/>
      <c r="AO4" s="131"/>
      <c r="AP4" s="131"/>
      <c r="AQ4" s="131"/>
      <c r="AR4" s="131"/>
      <c r="AS4" s="131"/>
      <c r="AT4" s="131"/>
      <c r="AU4" s="131"/>
      <c r="AV4" s="131"/>
      <c r="AW4" s="131"/>
      <c r="AX4" s="131"/>
      <c r="AY4" s="131"/>
      <c r="AZ4" s="131"/>
      <c r="BA4" s="131"/>
      <c r="BB4" s="131"/>
      <c r="BC4" s="131"/>
      <c r="BD4" s="131"/>
      <c r="BE4" s="131"/>
      <c r="BF4" s="131"/>
      <c r="BG4" s="131"/>
      <c r="BH4" s="131"/>
      <c r="BI4" s="131"/>
      <c r="BJ4" s="131"/>
      <c r="BK4" s="131"/>
      <c r="BL4" s="131"/>
      <c r="BM4" s="131"/>
      <c r="BN4" s="131"/>
      <c r="BO4" s="131"/>
      <c r="BP4" s="131"/>
      <c r="BQ4" s="131"/>
      <c r="BR4" s="131"/>
      <c r="BS4" s="131"/>
      <c r="BT4" s="131"/>
      <c r="BU4" s="131"/>
      <c r="BV4" s="131"/>
      <c r="BW4" s="131"/>
      <c r="BX4" s="131"/>
      <c r="BY4" s="131"/>
      <c r="BZ4" s="131"/>
      <c r="CA4" s="131"/>
      <c r="CB4" s="131"/>
      <c r="CC4" s="131"/>
      <c r="CD4" s="131"/>
      <c r="CE4" s="131"/>
      <c r="CF4" s="131"/>
      <c r="CG4" s="131"/>
      <c r="CH4" s="131"/>
      <c r="CI4" s="131"/>
      <c r="CJ4" s="131"/>
      <c r="CK4" s="131"/>
      <c r="CL4" s="131"/>
      <c r="CM4" s="131"/>
      <c r="CN4" s="131"/>
      <c r="CO4" s="131"/>
      <c r="CP4" s="131"/>
      <c r="CQ4" s="131"/>
      <c r="CR4" s="131"/>
      <c r="CS4" s="131"/>
      <c r="CT4" s="131"/>
      <c r="CU4" s="131"/>
      <c r="CV4" s="131"/>
      <c r="CW4" s="131"/>
      <c r="CX4" s="131"/>
      <c r="CY4" s="131"/>
      <c r="CZ4" s="131"/>
      <c r="DA4" s="131"/>
      <c r="DB4" s="131"/>
      <c r="DC4" s="131"/>
      <c r="DD4" s="131"/>
      <c r="DE4" s="131"/>
      <c r="DF4" s="131"/>
      <c r="DG4" s="131"/>
      <c r="DH4" s="131"/>
      <c r="DI4" s="131"/>
      <c r="DJ4" s="131"/>
      <c r="DK4" s="131"/>
      <c r="DL4" s="131"/>
      <c r="DM4" s="131"/>
      <c r="DN4" s="131"/>
      <c r="DO4" s="131"/>
      <c r="DP4" s="131"/>
      <c r="DQ4" s="131"/>
      <c r="DR4" s="131"/>
      <c r="DS4" s="131"/>
      <c r="DT4" s="131"/>
      <c r="DU4" s="131"/>
      <c r="DV4" s="131"/>
      <c r="DW4" s="131"/>
      <c r="DX4" s="131"/>
      <c r="DY4" s="131"/>
      <c r="DZ4" s="131"/>
      <c r="EA4" s="131"/>
      <c r="EB4" s="131"/>
      <c r="EC4" s="131"/>
      <c r="ED4" s="131"/>
      <c r="EE4" s="131"/>
      <c r="EF4" s="131"/>
      <c r="EG4" s="131"/>
      <c r="EH4" s="131"/>
      <c r="EI4" s="131"/>
      <c r="EJ4" s="131"/>
      <c r="EK4" s="131"/>
      <c r="EL4" s="131"/>
      <c r="EM4" s="131"/>
      <c r="EN4" s="131"/>
      <c r="EO4" s="131"/>
      <c r="EP4" s="131"/>
      <c r="EQ4" s="131"/>
      <c r="ER4" s="131"/>
      <c r="ES4" s="131"/>
      <c r="ET4" s="131"/>
      <c r="EU4" s="131"/>
      <c r="EV4" s="131"/>
      <c r="EW4" s="131"/>
      <c r="EX4" s="131"/>
      <c r="EY4" s="131"/>
      <c r="EZ4" s="131"/>
      <c r="FA4" s="131"/>
      <c r="FB4" s="131"/>
      <c r="FC4" s="131"/>
      <c r="FD4" s="131"/>
      <c r="FE4" s="131"/>
      <c r="FF4" s="131"/>
      <c r="FG4" s="131"/>
      <c r="FH4" s="131"/>
      <c r="FI4" s="131"/>
      <c r="FJ4" s="131"/>
      <c r="FK4" s="131"/>
      <c r="FL4" s="131"/>
      <c r="FM4" s="131"/>
      <c r="FN4" s="131"/>
      <c r="FO4" s="131"/>
      <c r="FP4" s="131"/>
      <c r="FQ4" s="131"/>
      <c r="FR4" s="131"/>
      <c r="FS4" s="131"/>
      <c r="FT4" s="131"/>
      <c r="FU4" s="131"/>
      <c r="FV4" s="131"/>
      <c r="FW4" s="131"/>
      <c r="FX4" s="131"/>
      <c r="FY4" s="131"/>
      <c r="FZ4" s="131"/>
      <c r="GA4" s="131"/>
      <c r="GB4" s="131"/>
      <c r="GC4" s="131"/>
      <c r="GD4" s="131"/>
      <c r="GE4" s="131"/>
      <c r="GF4" s="131"/>
      <c r="GG4" s="131"/>
      <c r="GH4" s="131"/>
      <c r="GI4" s="131"/>
      <c r="GJ4" s="131"/>
      <c r="GK4" s="131"/>
      <c r="GL4" s="131"/>
      <c r="GM4" s="131"/>
      <c r="GN4" s="131"/>
      <c r="GO4" s="131"/>
      <c r="GP4" s="131"/>
      <c r="GQ4" s="131"/>
      <c r="GR4" s="131"/>
      <c r="GS4" s="131"/>
      <c r="GT4" s="131"/>
      <c r="GU4" s="131"/>
      <c r="GV4" s="131"/>
      <c r="GW4" s="131"/>
      <c r="GX4" s="131"/>
      <c r="GY4" s="131"/>
      <c r="GZ4" s="131"/>
      <c r="HA4" s="131"/>
      <c r="HB4" s="131"/>
      <c r="HC4" s="131"/>
      <c r="HD4" s="131"/>
      <c r="HE4" s="131"/>
      <c r="HF4" s="131"/>
      <c r="HG4" s="131"/>
      <c r="HH4" s="131"/>
      <c r="HI4" s="131"/>
      <c r="HJ4" s="131"/>
      <c r="HK4" s="131"/>
      <c r="HL4" s="131"/>
      <c r="HM4" s="131"/>
      <c r="HN4" s="131"/>
      <c r="HO4" s="131"/>
      <c r="HP4" s="131"/>
      <c r="HQ4" s="131"/>
      <c r="HR4" s="131"/>
      <c r="HS4" s="131"/>
      <c r="HT4" s="131"/>
      <c r="HU4" s="131"/>
      <c r="HV4" s="131"/>
      <c r="HW4" s="131"/>
      <c r="HX4" s="131"/>
      <c r="HY4" s="131"/>
      <c r="HZ4" s="131"/>
      <c r="IA4" s="131"/>
      <c r="IB4" s="131"/>
      <c r="IC4" s="131"/>
      <c r="ID4" s="131"/>
      <c r="IE4" s="131"/>
      <c r="IF4" s="131"/>
      <c r="IG4" s="131"/>
      <c r="IH4" s="131"/>
      <c r="II4" s="131"/>
      <c r="IJ4" s="131"/>
      <c r="IK4" s="131"/>
      <c r="IL4" s="131"/>
      <c r="IM4" s="131"/>
      <c r="IN4" s="131"/>
      <c r="IO4" s="131"/>
      <c r="IP4" s="131"/>
      <c r="IQ4" s="131"/>
      <c r="IR4" s="131"/>
      <c r="IS4" s="131"/>
      <c r="IT4" s="131"/>
      <c r="IU4" s="131"/>
      <c r="IV4" s="131"/>
      <c r="IW4" s="131"/>
      <c r="IX4" s="131"/>
      <c r="IY4" s="131"/>
      <c r="IZ4" s="131"/>
      <c r="JA4" s="131"/>
      <c r="JB4" s="131"/>
      <c r="JC4" s="131"/>
      <c r="JD4" s="131"/>
      <c r="JE4" s="131"/>
      <c r="JF4" s="131"/>
      <c r="JG4" s="131"/>
      <c r="JH4" s="131"/>
      <c r="JI4" s="131"/>
      <c r="JJ4" s="131"/>
      <c r="JK4" s="131"/>
      <c r="JL4" s="131"/>
      <c r="JM4" s="131"/>
      <c r="JN4" s="131"/>
      <c r="JO4" s="131"/>
      <c r="JP4" s="131"/>
      <c r="JQ4" s="131"/>
      <c r="JR4" s="131"/>
      <c r="JS4" s="131"/>
      <c r="JT4" s="131"/>
      <c r="JU4" s="131"/>
      <c r="JV4" s="131"/>
      <c r="JW4" s="131"/>
      <c r="JX4" s="131"/>
      <c r="JY4" s="131"/>
      <c r="JZ4" s="131"/>
      <c r="KA4" s="131"/>
      <c r="KB4" s="131"/>
      <c r="KC4" s="131"/>
      <c r="KD4" s="131"/>
      <c r="KE4" s="131"/>
      <c r="KF4" s="131"/>
      <c r="KG4" s="131"/>
      <c r="KH4" s="131"/>
      <c r="KI4" s="131"/>
      <c r="KJ4" s="131"/>
      <c r="KK4" s="131"/>
      <c r="KL4" s="131"/>
      <c r="KM4" s="131"/>
      <c r="KN4" s="131"/>
      <c r="KO4" s="131"/>
      <c r="KP4" s="131"/>
      <c r="KQ4" s="131"/>
      <c r="KR4" s="131"/>
      <c r="KS4" s="131"/>
      <c r="KT4" s="131"/>
      <c r="KU4" s="131"/>
      <c r="KV4" s="131"/>
      <c r="KW4" s="131"/>
      <c r="KX4" s="131"/>
      <c r="KY4" s="131"/>
      <c r="KZ4" s="131"/>
      <c r="LA4" s="131"/>
      <c r="LB4" s="131"/>
      <c r="LC4" s="131"/>
      <c r="LD4" s="131"/>
      <c r="LE4" s="131"/>
      <c r="LF4" s="131"/>
      <c r="LG4" s="131"/>
      <c r="LH4" s="131"/>
      <c r="LI4" s="131"/>
      <c r="LJ4" s="131"/>
      <c r="LK4" s="131"/>
      <c r="LL4" s="131"/>
      <c r="LM4" s="131"/>
      <c r="LN4" s="131"/>
      <c r="LO4" s="131"/>
      <c r="LP4" s="131"/>
      <c r="LQ4" s="131"/>
      <c r="LR4" s="131"/>
      <c r="LS4" s="131"/>
      <c r="LT4" s="131"/>
      <c r="LU4" s="131"/>
      <c r="LV4" s="131"/>
      <c r="LW4" s="131"/>
      <c r="LX4" s="131"/>
      <c r="LY4" s="131"/>
      <c r="LZ4" s="131"/>
      <c r="MA4" s="131"/>
      <c r="MB4" s="131"/>
      <c r="MC4" s="131"/>
      <c r="MD4" s="131"/>
      <c r="ME4" s="131"/>
      <c r="MF4" s="131"/>
      <c r="MG4" s="131"/>
      <c r="MH4" s="131"/>
      <c r="MI4" s="131"/>
      <c r="MJ4" s="131"/>
      <c r="MK4" s="131"/>
      <c r="ML4" s="131"/>
      <c r="MM4" s="131"/>
      <c r="MN4" s="131"/>
      <c r="MO4" s="131"/>
      <c r="MP4" s="131"/>
      <c r="MQ4" s="131"/>
      <c r="MR4" s="131"/>
      <c r="MS4" s="131"/>
      <c r="MT4" s="131"/>
      <c r="MU4" s="131"/>
      <c r="MV4" s="131"/>
      <c r="MW4" s="131"/>
      <c r="MX4" s="131"/>
      <c r="MY4" s="131"/>
      <c r="MZ4" s="131"/>
      <c r="NA4" s="131"/>
      <c r="NB4" s="131"/>
      <c r="NC4" s="131"/>
      <c r="ND4" s="131"/>
      <c r="NE4" s="131"/>
      <c r="NF4" s="131"/>
      <c r="NG4" s="131"/>
      <c r="NH4" s="131"/>
      <c r="NI4" s="131"/>
      <c r="NJ4" s="131"/>
      <c r="NK4" s="131"/>
      <c r="NL4" s="131"/>
      <c r="NM4" s="131"/>
      <c r="NN4" s="131"/>
      <c r="NO4" s="131"/>
      <c r="NP4" s="131"/>
      <c r="NQ4" s="131"/>
      <c r="NR4" s="131"/>
      <c r="NS4" s="131"/>
      <c r="NT4" s="131"/>
      <c r="NU4" s="131"/>
      <c r="NV4" s="131"/>
      <c r="NW4" s="24">
        <f t="shared" ref="NW4" si="3">SUBTOTAL(9,C4:NV4)</f>
        <v>0</v>
      </c>
      <c r="NX4" s="56" t="s">
        <v>36</v>
      </c>
      <c r="NY4" s="127">
        <v>0.01</v>
      </c>
      <c r="NZ4" s="78">
        <f t="shared" si="2"/>
        <v>0</v>
      </c>
      <c r="OA4" s="78">
        <v>513</v>
      </c>
      <c r="OB4" s="127">
        <f t="shared" si="0"/>
        <v>0.01</v>
      </c>
      <c r="OC4" s="153"/>
      <c r="OD4" s="108">
        <f t="shared" si="1"/>
        <v>1.9493177387914231E-5</v>
      </c>
      <c r="OE4" s="5" t="s">
        <v>462</v>
      </c>
    </row>
    <row r="5" spans="1:395" s="5" customFormat="1" ht="12.75" hidden="1" customHeight="1" x14ac:dyDescent="0.25">
      <c r="A5" s="62">
        <v>44399</v>
      </c>
      <c r="B5" s="116" t="s">
        <v>93</v>
      </c>
      <c r="C5" s="129"/>
      <c r="D5" s="129"/>
      <c r="E5" s="130"/>
      <c r="F5" s="130"/>
      <c r="G5" s="130"/>
      <c r="H5" s="130"/>
      <c r="I5" s="130"/>
      <c r="J5" s="130"/>
      <c r="K5" s="130"/>
      <c r="L5" s="130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  <c r="X5" s="131"/>
      <c r="Y5" s="131"/>
      <c r="Z5" s="131"/>
      <c r="AA5" s="131"/>
      <c r="AB5" s="131"/>
      <c r="AC5" s="131"/>
      <c r="AD5" s="131"/>
      <c r="AE5" s="131"/>
      <c r="AF5" s="131"/>
      <c r="AG5" s="131"/>
      <c r="AH5" s="131"/>
      <c r="AI5" s="131"/>
      <c r="AJ5" s="131"/>
      <c r="AK5" s="131"/>
      <c r="AL5" s="131"/>
      <c r="AM5" s="131"/>
      <c r="AN5" s="131"/>
      <c r="AO5" s="131"/>
      <c r="AP5" s="131"/>
      <c r="AQ5" s="131"/>
      <c r="AR5" s="131"/>
      <c r="AS5" s="131"/>
      <c r="AT5" s="131"/>
      <c r="AU5" s="131"/>
      <c r="AV5" s="131"/>
      <c r="AW5" s="131"/>
      <c r="AX5" s="131"/>
      <c r="AY5" s="131"/>
      <c r="AZ5" s="131"/>
      <c r="BA5" s="131"/>
      <c r="BB5" s="131"/>
      <c r="BC5" s="131"/>
      <c r="BD5" s="131"/>
      <c r="BE5" s="131"/>
      <c r="BF5" s="131"/>
      <c r="BG5" s="131"/>
      <c r="BH5" s="131"/>
      <c r="BI5" s="131"/>
      <c r="BJ5" s="131"/>
      <c r="BK5" s="131"/>
      <c r="BL5" s="131"/>
      <c r="BM5" s="131"/>
      <c r="BN5" s="131"/>
      <c r="BO5" s="131"/>
      <c r="BP5" s="131"/>
      <c r="BQ5" s="131"/>
      <c r="BR5" s="131"/>
      <c r="BS5" s="131"/>
      <c r="BT5" s="131"/>
      <c r="BU5" s="131"/>
      <c r="BV5" s="131"/>
      <c r="BW5" s="131"/>
      <c r="BX5" s="131"/>
      <c r="BY5" s="131"/>
      <c r="BZ5" s="131"/>
      <c r="CA5" s="131"/>
      <c r="CB5" s="131"/>
      <c r="CC5" s="131"/>
      <c r="CD5" s="131"/>
      <c r="CE5" s="131"/>
      <c r="CF5" s="131"/>
      <c r="CG5" s="131"/>
      <c r="CH5" s="131"/>
      <c r="CI5" s="131"/>
      <c r="CJ5" s="131"/>
      <c r="CK5" s="131"/>
      <c r="CL5" s="131"/>
      <c r="CM5" s="131"/>
      <c r="CN5" s="131"/>
      <c r="CO5" s="131"/>
      <c r="CP5" s="131"/>
      <c r="CQ5" s="131"/>
      <c r="CR5" s="131"/>
      <c r="CS5" s="131"/>
      <c r="CT5" s="131"/>
      <c r="CU5" s="131"/>
      <c r="CV5" s="131"/>
      <c r="CW5" s="131"/>
      <c r="CX5" s="131"/>
      <c r="CY5" s="131"/>
      <c r="CZ5" s="131"/>
      <c r="DA5" s="131"/>
      <c r="DB5" s="131"/>
      <c r="DC5" s="131"/>
      <c r="DD5" s="131"/>
      <c r="DE5" s="131"/>
      <c r="DF5" s="131"/>
      <c r="DG5" s="131"/>
      <c r="DH5" s="131"/>
      <c r="DI5" s="131"/>
      <c r="DJ5" s="131"/>
      <c r="DK5" s="131"/>
      <c r="DL5" s="131"/>
      <c r="DM5" s="131"/>
      <c r="DN5" s="131"/>
      <c r="DO5" s="131"/>
      <c r="DP5" s="131"/>
      <c r="DQ5" s="131"/>
      <c r="DR5" s="131"/>
      <c r="DS5" s="131"/>
      <c r="DT5" s="131"/>
      <c r="DU5" s="131"/>
      <c r="DV5" s="131"/>
      <c r="DW5" s="131"/>
      <c r="DX5" s="131"/>
      <c r="DY5" s="131"/>
      <c r="DZ5" s="131"/>
      <c r="EA5" s="131"/>
      <c r="EB5" s="131"/>
      <c r="EC5" s="131"/>
      <c r="ED5" s="131"/>
      <c r="EE5" s="131"/>
      <c r="EF5" s="131"/>
      <c r="EG5" s="131"/>
      <c r="EH5" s="131"/>
      <c r="EI5" s="131"/>
      <c r="EJ5" s="131"/>
      <c r="EK5" s="131"/>
      <c r="EL5" s="131"/>
      <c r="EM5" s="131"/>
      <c r="EN5" s="131"/>
      <c r="EO5" s="131"/>
      <c r="EP5" s="131"/>
      <c r="EQ5" s="131"/>
      <c r="ER5" s="131"/>
      <c r="ES5" s="131"/>
      <c r="ET5" s="131"/>
      <c r="EU5" s="131"/>
      <c r="EV5" s="131"/>
      <c r="EW5" s="131"/>
      <c r="EX5" s="131"/>
      <c r="EY5" s="131"/>
      <c r="EZ5" s="131"/>
      <c r="FA5" s="131"/>
      <c r="FB5" s="131"/>
      <c r="FC5" s="131"/>
      <c r="FD5" s="131"/>
      <c r="FE5" s="131"/>
      <c r="FF5" s="131"/>
      <c r="FG5" s="131"/>
      <c r="FH5" s="131"/>
      <c r="FI5" s="131"/>
      <c r="FJ5" s="131"/>
      <c r="FK5" s="131"/>
      <c r="FL5" s="131"/>
      <c r="FM5" s="131"/>
      <c r="FN5" s="131"/>
      <c r="FO5" s="131"/>
      <c r="FP5" s="131"/>
      <c r="FQ5" s="131"/>
      <c r="FR5" s="131"/>
      <c r="FS5" s="131"/>
      <c r="FT5" s="131"/>
      <c r="FU5" s="131"/>
      <c r="FV5" s="131"/>
      <c r="FW5" s="131"/>
      <c r="FX5" s="131"/>
      <c r="FY5" s="131"/>
      <c r="FZ5" s="131"/>
      <c r="GA5" s="131"/>
      <c r="GB5" s="131"/>
      <c r="GC5" s="131"/>
      <c r="GD5" s="131"/>
      <c r="GE5" s="131"/>
      <c r="GF5" s="131"/>
      <c r="GG5" s="131"/>
      <c r="GH5" s="131"/>
      <c r="GI5" s="131"/>
      <c r="GJ5" s="131"/>
      <c r="GK5" s="131"/>
      <c r="GL5" s="131"/>
      <c r="GM5" s="131"/>
      <c r="GN5" s="131"/>
      <c r="GO5" s="131"/>
      <c r="GP5" s="131"/>
      <c r="GQ5" s="131"/>
      <c r="GR5" s="131"/>
      <c r="GS5" s="131"/>
      <c r="GT5" s="131"/>
      <c r="GU5" s="131"/>
      <c r="GV5" s="131"/>
      <c r="GW5" s="131"/>
      <c r="GX5" s="131"/>
      <c r="GY5" s="131"/>
      <c r="GZ5" s="131"/>
      <c r="HA5" s="131"/>
      <c r="HB5" s="131"/>
      <c r="HC5" s="131"/>
      <c r="HD5" s="131"/>
      <c r="HE5" s="131"/>
      <c r="HF5" s="131"/>
      <c r="HG5" s="131"/>
      <c r="HH5" s="131"/>
      <c r="HI5" s="131"/>
      <c r="HJ5" s="131"/>
      <c r="HK5" s="131"/>
      <c r="HL5" s="131"/>
      <c r="HM5" s="131"/>
      <c r="HN5" s="131"/>
      <c r="HO5" s="131"/>
      <c r="HP5" s="131"/>
      <c r="HQ5" s="131"/>
      <c r="HR5" s="131"/>
      <c r="HS5" s="131"/>
      <c r="HT5" s="131"/>
      <c r="HU5" s="131"/>
      <c r="HV5" s="131"/>
      <c r="HW5" s="131"/>
      <c r="HX5" s="131"/>
      <c r="HY5" s="131"/>
      <c r="HZ5" s="131"/>
      <c r="IA5" s="131"/>
      <c r="IB5" s="131"/>
      <c r="IC5" s="131"/>
      <c r="ID5" s="131"/>
      <c r="IE5" s="131"/>
      <c r="IF5" s="131"/>
      <c r="IG5" s="131"/>
      <c r="IH5" s="131"/>
      <c r="II5" s="131"/>
      <c r="IJ5" s="131"/>
      <c r="IK5" s="131"/>
      <c r="IL5" s="131"/>
      <c r="IM5" s="131"/>
      <c r="IN5" s="131"/>
      <c r="IO5" s="131"/>
      <c r="IP5" s="131"/>
      <c r="IQ5" s="131"/>
      <c r="IR5" s="131"/>
      <c r="IS5" s="131"/>
      <c r="IT5" s="131"/>
      <c r="IU5" s="131"/>
      <c r="IV5" s="131"/>
      <c r="IW5" s="131"/>
      <c r="IX5" s="131"/>
      <c r="IY5" s="131"/>
      <c r="IZ5" s="131"/>
      <c r="JA5" s="131"/>
      <c r="JB5" s="131"/>
      <c r="JC5" s="131"/>
      <c r="JD5" s="131"/>
      <c r="JE5" s="131"/>
      <c r="JF5" s="131"/>
      <c r="JG5" s="131"/>
      <c r="JH5" s="131"/>
      <c r="JI5" s="131"/>
      <c r="JJ5" s="131"/>
      <c r="JK5" s="131"/>
      <c r="JL5" s="131"/>
      <c r="JM5" s="131"/>
      <c r="JN5" s="131"/>
      <c r="JO5" s="131"/>
      <c r="JP5" s="131"/>
      <c r="JQ5" s="131"/>
      <c r="JR5" s="131"/>
      <c r="JS5" s="131"/>
      <c r="JT5" s="131"/>
      <c r="JU5" s="131"/>
      <c r="JV5" s="131"/>
      <c r="JW5" s="131"/>
      <c r="JX5" s="131"/>
      <c r="JY5" s="131"/>
      <c r="JZ5" s="131"/>
      <c r="KA5" s="131"/>
      <c r="KB5" s="131"/>
      <c r="KC5" s="131"/>
      <c r="KD5" s="131"/>
      <c r="KE5" s="131"/>
      <c r="KF5" s="131"/>
      <c r="KG5" s="131"/>
      <c r="KH5" s="131"/>
      <c r="KI5" s="131"/>
      <c r="KJ5" s="131"/>
      <c r="KK5" s="131"/>
      <c r="KL5" s="131"/>
      <c r="KM5" s="131"/>
      <c r="KN5" s="131"/>
      <c r="KO5" s="131"/>
      <c r="KP5" s="131"/>
      <c r="KQ5" s="131"/>
      <c r="KR5" s="131"/>
      <c r="KS5" s="131"/>
      <c r="KT5" s="131"/>
      <c r="KU5" s="131"/>
      <c r="KV5" s="131"/>
      <c r="KW5" s="131"/>
      <c r="KX5" s="131"/>
      <c r="KY5" s="131"/>
      <c r="KZ5" s="131"/>
      <c r="LA5" s="131"/>
      <c r="LB5" s="131"/>
      <c r="LC5" s="131"/>
      <c r="LD5" s="131"/>
      <c r="LE5" s="131"/>
      <c r="LF5" s="131"/>
      <c r="LG5" s="131"/>
      <c r="LH5" s="131"/>
      <c r="LI5" s="131"/>
      <c r="LJ5" s="131"/>
      <c r="LK5" s="131"/>
      <c r="LL5" s="131"/>
      <c r="LM5" s="131"/>
      <c r="LN5" s="131"/>
      <c r="LO5" s="131"/>
      <c r="LP5" s="131"/>
      <c r="LQ5" s="131"/>
      <c r="LR5" s="131"/>
      <c r="LS5" s="131"/>
      <c r="LT5" s="131"/>
      <c r="LU5" s="131"/>
      <c r="LV5" s="131"/>
      <c r="LW5" s="131"/>
      <c r="LX5" s="131"/>
      <c r="LY5" s="131"/>
      <c r="LZ5" s="131"/>
      <c r="MA5" s="131"/>
      <c r="MB5" s="131"/>
      <c r="MC5" s="131"/>
      <c r="MD5" s="131"/>
      <c r="ME5" s="131"/>
      <c r="MF5" s="131"/>
      <c r="MG5" s="131"/>
      <c r="MH5" s="131"/>
      <c r="MI5" s="131"/>
      <c r="MJ5" s="131"/>
      <c r="MK5" s="131"/>
      <c r="ML5" s="131"/>
      <c r="MM5" s="131"/>
      <c r="MN5" s="131"/>
      <c r="MO5" s="131"/>
      <c r="MP5" s="131"/>
      <c r="MQ5" s="131"/>
      <c r="MR5" s="131"/>
      <c r="MS5" s="131"/>
      <c r="MT5" s="131"/>
      <c r="MU5" s="131"/>
      <c r="MV5" s="131"/>
      <c r="MW5" s="131"/>
      <c r="MX5" s="131"/>
      <c r="MY5" s="131"/>
      <c r="MZ5" s="131"/>
      <c r="NA5" s="131"/>
      <c r="NB5" s="131"/>
      <c r="NC5" s="131"/>
      <c r="ND5" s="131"/>
      <c r="NE5" s="131"/>
      <c r="NF5" s="131"/>
      <c r="NG5" s="131"/>
      <c r="NH5" s="131"/>
      <c r="NI5" s="131"/>
      <c r="NJ5" s="131"/>
      <c r="NK5" s="131"/>
      <c r="NL5" s="131"/>
      <c r="NM5" s="131"/>
      <c r="NN5" s="131"/>
      <c r="NO5" s="131"/>
      <c r="NP5" s="131"/>
      <c r="NQ5" s="131"/>
      <c r="NR5" s="131"/>
      <c r="NS5" s="131"/>
      <c r="NT5" s="131"/>
      <c r="NU5" s="131"/>
      <c r="NV5" s="131"/>
      <c r="NW5" s="24">
        <f t="shared" ref="NW5:NW6" si="4">SUBTOTAL(9,C5:NV5)</f>
        <v>0</v>
      </c>
      <c r="NX5" s="56" t="s">
        <v>36</v>
      </c>
      <c r="NY5" s="127">
        <v>0.01</v>
      </c>
      <c r="NZ5" s="78">
        <f t="shared" si="2"/>
        <v>0.01</v>
      </c>
      <c r="OA5" s="78">
        <v>146.316</v>
      </c>
      <c r="OB5" s="127">
        <f t="shared" si="0"/>
        <v>0</v>
      </c>
      <c r="OC5" s="153">
        <v>0.01</v>
      </c>
      <c r="OD5" s="108">
        <f t="shared" si="1"/>
        <v>6.8345225402553376E-5</v>
      </c>
      <c r="OE5" s="5" t="s">
        <v>468</v>
      </c>
    </row>
    <row r="6" spans="1:395" s="5" customFormat="1" ht="12.75" customHeight="1" x14ac:dyDescent="0.25">
      <c r="A6" s="62">
        <v>44412</v>
      </c>
      <c r="B6" s="116" t="s">
        <v>46</v>
      </c>
      <c r="C6" s="129"/>
      <c r="D6" s="129"/>
      <c r="E6" s="130"/>
      <c r="F6" s="130"/>
      <c r="G6" s="130"/>
      <c r="H6" s="130"/>
      <c r="I6" s="130"/>
      <c r="J6" s="130"/>
      <c r="K6" s="130"/>
      <c r="L6" s="130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1"/>
      <c r="AB6" s="131"/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1"/>
      <c r="AN6" s="131"/>
      <c r="AO6" s="131"/>
      <c r="AP6" s="131"/>
      <c r="AQ6" s="131"/>
      <c r="AR6" s="131"/>
      <c r="AS6" s="131"/>
      <c r="AT6" s="131"/>
      <c r="AU6" s="131"/>
      <c r="AV6" s="131"/>
      <c r="AW6" s="131"/>
      <c r="AX6" s="131"/>
      <c r="AY6" s="131"/>
      <c r="AZ6" s="131"/>
      <c r="BA6" s="131"/>
      <c r="BB6" s="131"/>
      <c r="BC6" s="131"/>
      <c r="BD6" s="131"/>
      <c r="BE6" s="131"/>
      <c r="BF6" s="131"/>
      <c r="BG6" s="131"/>
      <c r="BH6" s="131"/>
      <c r="BI6" s="131"/>
      <c r="BJ6" s="131"/>
      <c r="BK6" s="131"/>
      <c r="BL6" s="131"/>
      <c r="BM6" s="131"/>
      <c r="BN6" s="131"/>
      <c r="BO6" s="131"/>
      <c r="BP6" s="131"/>
      <c r="BQ6" s="131"/>
      <c r="BR6" s="131"/>
      <c r="BS6" s="131"/>
      <c r="BT6" s="131"/>
      <c r="BU6" s="131"/>
      <c r="BV6" s="131"/>
      <c r="BW6" s="131"/>
      <c r="BX6" s="131"/>
      <c r="BY6" s="131"/>
      <c r="BZ6" s="131"/>
      <c r="CA6" s="131"/>
      <c r="CB6" s="131"/>
      <c r="CC6" s="131"/>
      <c r="CD6" s="131"/>
      <c r="CE6" s="131"/>
      <c r="CF6" s="131"/>
      <c r="CG6" s="131"/>
      <c r="CH6" s="131"/>
      <c r="CI6" s="131"/>
      <c r="CJ6" s="131"/>
      <c r="CK6" s="131"/>
      <c r="CL6" s="131"/>
      <c r="CM6" s="131"/>
      <c r="CN6" s="131"/>
      <c r="CO6" s="131"/>
      <c r="CP6" s="131"/>
      <c r="CQ6" s="131"/>
      <c r="CR6" s="131"/>
      <c r="CS6" s="131"/>
      <c r="CT6" s="131"/>
      <c r="CU6" s="131"/>
      <c r="CV6" s="131"/>
      <c r="CW6" s="131"/>
      <c r="CX6" s="131"/>
      <c r="CY6" s="131"/>
      <c r="CZ6" s="131"/>
      <c r="DA6" s="131"/>
      <c r="DB6" s="131"/>
      <c r="DC6" s="131"/>
      <c r="DD6" s="131"/>
      <c r="DE6" s="131"/>
      <c r="DF6" s="131"/>
      <c r="DG6" s="131"/>
      <c r="DH6" s="131"/>
      <c r="DI6" s="131"/>
      <c r="DJ6" s="131"/>
      <c r="DK6" s="131"/>
      <c r="DL6" s="131"/>
      <c r="DM6" s="131"/>
      <c r="DN6" s="131"/>
      <c r="DO6" s="131"/>
      <c r="DP6" s="131"/>
      <c r="DQ6" s="131"/>
      <c r="DR6" s="131"/>
      <c r="DS6" s="131"/>
      <c r="DT6" s="131"/>
      <c r="DU6" s="131"/>
      <c r="DV6" s="131"/>
      <c r="DW6" s="131"/>
      <c r="DX6" s="131"/>
      <c r="DY6" s="131"/>
      <c r="DZ6" s="131"/>
      <c r="EA6" s="131"/>
      <c r="EB6" s="131"/>
      <c r="EC6" s="131"/>
      <c r="ED6" s="131"/>
      <c r="EE6" s="131"/>
      <c r="EF6" s="131"/>
      <c r="EG6" s="131"/>
      <c r="EH6" s="131"/>
      <c r="EI6" s="131"/>
      <c r="EJ6" s="131"/>
      <c r="EK6" s="131"/>
      <c r="EL6" s="131"/>
      <c r="EM6" s="131"/>
      <c r="EN6" s="131"/>
      <c r="EO6" s="131"/>
      <c r="EP6" s="131"/>
      <c r="EQ6" s="131"/>
      <c r="ER6" s="131"/>
      <c r="ES6" s="131"/>
      <c r="ET6" s="131"/>
      <c r="EU6" s="131"/>
      <c r="EV6" s="131"/>
      <c r="EW6" s="131"/>
      <c r="EX6" s="131"/>
      <c r="EY6" s="131"/>
      <c r="EZ6" s="131"/>
      <c r="FA6" s="131"/>
      <c r="FB6" s="131"/>
      <c r="FC6" s="131"/>
      <c r="FD6" s="131"/>
      <c r="FE6" s="131"/>
      <c r="FF6" s="131"/>
      <c r="FG6" s="131"/>
      <c r="FH6" s="131"/>
      <c r="FI6" s="131"/>
      <c r="FJ6" s="131"/>
      <c r="FK6" s="131"/>
      <c r="FL6" s="131"/>
      <c r="FM6" s="131"/>
      <c r="FN6" s="131"/>
      <c r="FO6" s="131"/>
      <c r="FP6" s="131"/>
      <c r="FQ6" s="131"/>
      <c r="FR6" s="131"/>
      <c r="FS6" s="131"/>
      <c r="FT6" s="131"/>
      <c r="FU6" s="131"/>
      <c r="FV6" s="131"/>
      <c r="FW6" s="131"/>
      <c r="FX6" s="131"/>
      <c r="FY6" s="131"/>
      <c r="FZ6" s="131"/>
      <c r="GA6" s="131"/>
      <c r="GB6" s="131"/>
      <c r="GC6" s="131"/>
      <c r="GD6" s="131"/>
      <c r="GE6" s="131"/>
      <c r="GF6" s="131"/>
      <c r="GG6" s="131"/>
      <c r="GH6" s="131"/>
      <c r="GI6" s="131"/>
      <c r="GJ6" s="131"/>
      <c r="GK6" s="131"/>
      <c r="GL6" s="131"/>
      <c r="GM6" s="131"/>
      <c r="GN6" s="131"/>
      <c r="GO6" s="131"/>
      <c r="GP6" s="131"/>
      <c r="GQ6" s="131"/>
      <c r="GR6" s="131"/>
      <c r="GS6" s="131"/>
      <c r="GT6" s="131"/>
      <c r="GU6" s="131"/>
      <c r="GV6" s="131"/>
      <c r="GW6" s="131"/>
      <c r="GX6" s="131"/>
      <c r="GY6" s="131"/>
      <c r="GZ6" s="131"/>
      <c r="HA6" s="131"/>
      <c r="HB6" s="131"/>
      <c r="HC6" s="131"/>
      <c r="HD6" s="131"/>
      <c r="HE6" s="131"/>
      <c r="HF6" s="131"/>
      <c r="HG6" s="131"/>
      <c r="HH6" s="131"/>
      <c r="HI6" s="131"/>
      <c r="HJ6" s="131"/>
      <c r="HK6" s="131"/>
      <c r="HL6" s="131"/>
      <c r="HM6" s="131"/>
      <c r="HN6" s="131"/>
      <c r="HO6" s="131"/>
      <c r="HP6" s="131"/>
      <c r="HQ6" s="131"/>
      <c r="HR6" s="131"/>
      <c r="HS6" s="131"/>
      <c r="HT6" s="131"/>
      <c r="HU6" s="131"/>
      <c r="HV6" s="131"/>
      <c r="HW6" s="131"/>
      <c r="HX6" s="131"/>
      <c r="HY6" s="131"/>
      <c r="HZ6" s="131"/>
      <c r="IA6" s="131"/>
      <c r="IB6" s="131"/>
      <c r="IC6" s="131"/>
      <c r="ID6" s="131"/>
      <c r="IE6" s="131"/>
      <c r="IF6" s="131"/>
      <c r="IG6" s="131"/>
      <c r="IH6" s="131"/>
      <c r="II6" s="131"/>
      <c r="IJ6" s="131"/>
      <c r="IK6" s="131"/>
      <c r="IL6" s="131"/>
      <c r="IM6" s="131"/>
      <c r="IN6" s="131"/>
      <c r="IO6" s="131"/>
      <c r="IP6" s="131"/>
      <c r="IQ6" s="131"/>
      <c r="IR6" s="131"/>
      <c r="IS6" s="131"/>
      <c r="IT6" s="131"/>
      <c r="IU6" s="131"/>
      <c r="IV6" s="131"/>
      <c r="IW6" s="131"/>
      <c r="IX6" s="131"/>
      <c r="IY6" s="131"/>
      <c r="IZ6" s="131"/>
      <c r="JA6" s="131"/>
      <c r="JB6" s="131"/>
      <c r="JC6" s="131"/>
      <c r="JD6" s="131"/>
      <c r="JE6" s="131"/>
      <c r="JF6" s="131"/>
      <c r="JG6" s="131"/>
      <c r="JH6" s="131"/>
      <c r="JI6" s="131"/>
      <c r="JJ6" s="131"/>
      <c r="JK6" s="131"/>
      <c r="JL6" s="131"/>
      <c r="JM6" s="131"/>
      <c r="JN6" s="131"/>
      <c r="JO6" s="131"/>
      <c r="JP6" s="131"/>
      <c r="JQ6" s="131"/>
      <c r="JR6" s="131"/>
      <c r="JS6" s="131"/>
      <c r="JT6" s="131"/>
      <c r="JU6" s="131"/>
      <c r="JV6" s="131"/>
      <c r="JW6" s="131"/>
      <c r="JX6" s="131"/>
      <c r="JY6" s="131"/>
      <c r="JZ6" s="131"/>
      <c r="KA6" s="131"/>
      <c r="KB6" s="131"/>
      <c r="KC6" s="131"/>
      <c r="KD6" s="131"/>
      <c r="KE6" s="131"/>
      <c r="KF6" s="131"/>
      <c r="KG6" s="131"/>
      <c r="KH6" s="131"/>
      <c r="KI6" s="131"/>
      <c r="KJ6" s="131"/>
      <c r="KK6" s="131"/>
      <c r="KL6" s="131"/>
      <c r="KM6" s="131"/>
      <c r="KN6" s="131"/>
      <c r="KO6" s="131"/>
      <c r="KP6" s="131"/>
      <c r="KQ6" s="131"/>
      <c r="KR6" s="131"/>
      <c r="KS6" s="131"/>
      <c r="KT6" s="131"/>
      <c r="KU6" s="131"/>
      <c r="KV6" s="131"/>
      <c r="KW6" s="131"/>
      <c r="KX6" s="131"/>
      <c r="KY6" s="131"/>
      <c r="KZ6" s="131"/>
      <c r="LA6" s="131"/>
      <c r="LB6" s="131"/>
      <c r="LC6" s="131"/>
      <c r="LD6" s="131"/>
      <c r="LE6" s="131"/>
      <c r="LF6" s="131"/>
      <c r="LG6" s="131"/>
      <c r="LH6" s="131"/>
      <c r="LI6" s="131"/>
      <c r="LJ6" s="131"/>
      <c r="LK6" s="131"/>
      <c r="LL6" s="131"/>
      <c r="LM6" s="131"/>
      <c r="LN6" s="131"/>
      <c r="LO6" s="131"/>
      <c r="LP6" s="131"/>
      <c r="LQ6" s="131"/>
      <c r="LR6" s="131"/>
      <c r="LS6" s="131"/>
      <c r="LT6" s="131"/>
      <c r="LU6" s="131"/>
      <c r="LV6" s="131"/>
      <c r="LW6" s="131"/>
      <c r="LX6" s="131"/>
      <c r="LY6" s="131"/>
      <c r="LZ6" s="131"/>
      <c r="MA6" s="131"/>
      <c r="MB6" s="131"/>
      <c r="MC6" s="131"/>
      <c r="MD6" s="131"/>
      <c r="ME6" s="131"/>
      <c r="MF6" s="131"/>
      <c r="MG6" s="131"/>
      <c r="MH6" s="131"/>
      <c r="MI6" s="131"/>
      <c r="MJ6" s="131"/>
      <c r="MK6" s="131"/>
      <c r="ML6" s="131"/>
      <c r="MM6" s="131"/>
      <c r="MN6" s="131"/>
      <c r="MO6" s="131"/>
      <c r="MP6" s="131"/>
      <c r="MQ6" s="131"/>
      <c r="MR6" s="131"/>
      <c r="MS6" s="131"/>
      <c r="MT6" s="131"/>
      <c r="MU6" s="131"/>
      <c r="MV6" s="131"/>
      <c r="MW6" s="131"/>
      <c r="MX6" s="131"/>
      <c r="MY6" s="131"/>
      <c r="MZ6" s="131"/>
      <c r="NA6" s="131"/>
      <c r="NB6" s="131"/>
      <c r="NC6" s="131"/>
      <c r="ND6" s="131"/>
      <c r="NE6" s="131"/>
      <c r="NF6" s="131"/>
      <c r="NG6" s="131"/>
      <c r="NH6" s="131"/>
      <c r="NI6" s="131"/>
      <c r="NJ6" s="131"/>
      <c r="NK6" s="131"/>
      <c r="NL6" s="131"/>
      <c r="NM6" s="131"/>
      <c r="NN6" s="131"/>
      <c r="NO6" s="131"/>
      <c r="NP6" s="131"/>
      <c r="NQ6" s="131"/>
      <c r="NR6" s="131"/>
      <c r="NS6" s="131"/>
      <c r="NT6" s="131"/>
      <c r="NU6" s="131"/>
      <c r="NV6" s="131"/>
      <c r="NW6" s="24">
        <f t="shared" si="4"/>
        <v>0</v>
      </c>
      <c r="NX6" s="56" t="s">
        <v>36</v>
      </c>
      <c r="NY6" s="127">
        <v>3174.95</v>
      </c>
      <c r="NZ6" s="78">
        <f t="shared" si="2"/>
        <v>2200</v>
      </c>
      <c r="OA6" s="78">
        <v>3446.1300000000006</v>
      </c>
      <c r="OB6" s="127">
        <f t="shared" si="0"/>
        <v>974.94999999999982</v>
      </c>
      <c r="OC6" s="153">
        <v>2200</v>
      </c>
      <c r="OD6" s="108">
        <f t="shared" si="1"/>
        <v>0.92130883048521073</v>
      </c>
      <c r="OE6" s="160" t="s">
        <v>479</v>
      </c>
    </row>
    <row r="7" spans="1:395" s="5" customFormat="1" ht="12.75" customHeight="1" x14ac:dyDescent="0.25">
      <c r="A7" s="62">
        <v>44418</v>
      </c>
      <c r="B7" s="116" t="s">
        <v>46</v>
      </c>
      <c r="C7" s="129"/>
      <c r="D7" s="129"/>
      <c r="E7" s="130"/>
      <c r="F7" s="130"/>
      <c r="G7" s="130"/>
      <c r="H7" s="130"/>
      <c r="I7" s="130"/>
      <c r="J7" s="130"/>
      <c r="K7" s="130"/>
      <c r="L7" s="130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131"/>
      <c r="AG7" s="131"/>
      <c r="AH7" s="131"/>
      <c r="AI7" s="131"/>
      <c r="AJ7" s="131"/>
      <c r="AK7" s="131"/>
      <c r="AL7" s="131"/>
      <c r="AM7" s="131"/>
      <c r="AN7" s="131"/>
      <c r="AO7" s="131"/>
      <c r="AP7" s="131"/>
      <c r="AQ7" s="131"/>
      <c r="AR7" s="131"/>
      <c r="AS7" s="131"/>
      <c r="AT7" s="131"/>
      <c r="AU7" s="131"/>
      <c r="AV7" s="131"/>
      <c r="AW7" s="131"/>
      <c r="AX7" s="131"/>
      <c r="AY7" s="131"/>
      <c r="AZ7" s="131"/>
      <c r="BA7" s="131"/>
      <c r="BB7" s="131"/>
      <c r="BC7" s="131"/>
      <c r="BD7" s="131"/>
      <c r="BE7" s="131"/>
      <c r="BF7" s="131"/>
      <c r="BG7" s="131"/>
      <c r="BH7" s="131"/>
      <c r="BI7" s="131"/>
      <c r="BJ7" s="131"/>
      <c r="BK7" s="131"/>
      <c r="BL7" s="131"/>
      <c r="BM7" s="131"/>
      <c r="BN7" s="131"/>
      <c r="BO7" s="131"/>
      <c r="BP7" s="131"/>
      <c r="BQ7" s="131"/>
      <c r="BR7" s="131"/>
      <c r="BS7" s="131"/>
      <c r="BT7" s="131"/>
      <c r="BU7" s="131"/>
      <c r="BV7" s="131"/>
      <c r="BW7" s="131"/>
      <c r="BX7" s="131"/>
      <c r="BY7" s="131"/>
      <c r="BZ7" s="131"/>
      <c r="CA7" s="131"/>
      <c r="CB7" s="131"/>
      <c r="CC7" s="131"/>
      <c r="CD7" s="131"/>
      <c r="CE7" s="131"/>
      <c r="CF7" s="131"/>
      <c r="CG7" s="131"/>
      <c r="CH7" s="131"/>
      <c r="CI7" s="131"/>
      <c r="CJ7" s="131"/>
      <c r="CK7" s="131"/>
      <c r="CL7" s="131"/>
      <c r="CM7" s="131"/>
      <c r="CN7" s="131"/>
      <c r="CO7" s="131"/>
      <c r="CP7" s="131"/>
      <c r="CQ7" s="131"/>
      <c r="CR7" s="131"/>
      <c r="CS7" s="131"/>
      <c r="CT7" s="131"/>
      <c r="CU7" s="131"/>
      <c r="CV7" s="131"/>
      <c r="CW7" s="131"/>
      <c r="CX7" s="131"/>
      <c r="CY7" s="131"/>
      <c r="CZ7" s="131"/>
      <c r="DA7" s="131"/>
      <c r="DB7" s="131"/>
      <c r="DC7" s="131"/>
      <c r="DD7" s="131"/>
      <c r="DE7" s="131"/>
      <c r="DF7" s="131"/>
      <c r="DG7" s="131"/>
      <c r="DH7" s="131"/>
      <c r="DI7" s="131"/>
      <c r="DJ7" s="131"/>
      <c r="DK7" s="131"/>
      <c r="DL7" s="131"/>
      <c r="DM7" s="131"/>
      <c r="DN7" s="131"/>
      <c r="DO7" s="131"/>
      <c r="DP7" s="131"/>
      <c r="DQ7" s="131"/>
      <c r="DR7" s="131"/>
      <c r="DS7" s="131"/>
      <c r="DT7" s="131"/>
      <c r="DU7" s="131"/>
      <c r="DV7" s="131"/>
      <c r="DW7" s="131"/>
      <c r="DX7" s="131"/>
      <c r="DY7" s="131"/>
      <c r="DZ7" s="131"/>
      <c r="EA7" s="131"/>
      <c r="EB7" s="131"/>
      <c r="EC7" s="131"/>
      <c r="ED7" s="131"/>
      <c r="EE7" s="131"/>
      <c r="EF7" s="131"/>
      <c r="EG7" s="131"/>
      <c r="EH7" s="131"/>
      <c r="EI7" s="131"/>
      <c r="EJ7" s="131"/>
      <c r="EK7" s="131"/>
      <c r="EL7" s="131"/>
      <c r="EM7" s="131"/>
      <c r="EN7" s="131"/>
      <c r="EO7" s="131"/>
      <c r="EP7" s="131"/>
      <c r="EQ7" s="131"/>
      <c r="ER7" s="131"/>
      <c r="ES7" s="131"/>
      <c r="ET7" s="131"/>
      <c r="EU7" s="131"/>
      <c r="EV7" s="131"/>
      <c r="EW7" s="131"/>
      <c r="EX7" s="131"/>
      <c r="EY7" s="131"/>
      <c r="EZ7" s="131"/>
      <c r="FA7" s="131"/>
      <c r="FB7" s="131"/>
      <c r="FC7" s="131"/>
      <c r="FD7" s="131"/>
      <c r="FE7" s="131"/>
      <c r="FF7" s="131"/>
      <c r="FG7" s="131"/>
      <c r="FH7" s="131"/>
      <c r="FI7" s="131"/>
      <c r="FJ7" s="131"/>
      <c r="FK7" s="131"/>
      <c r="FL7" s="131"/>
      <c r="FM7" s="131"/>
      <c r="FN7" s="131"/>
      <c r="FO7" s="131"/>
      <c r="FP7" s="131"/>
      <c r="FQ7" s="131"/>
      <c r="FR7" s="131"/>
      <c r="FS7" s="131"/>
      <c r="FT7" s="131"/>
      <c r="FU7" s="131"/>
      <c r="FV7" s="131"/>
      <c r="FW7" s="131"/>
      <c r="FX7" s="131"/>
      <c r="FY7" s="131"/>
      <c r="FZ7" s="131"/>
      <c r="GA7" s="131"/>
      <c r="GB7" s="131"/>
      <c r="GC7" s="131"/>
      <c r="GD7" s="131"/>
      <c r="GE7" s="131"/>
      <c r="GF7" s="131"/>
      <c r="GG7" s="131"/>
      <c r="GH7" s="131"/>
      <c r="GI7" s="131"/>
      <c r="GJ7" s="131"/>
      <c r="GK7" s="131"/>
      <c r="GL7" s="131"/>
      <c r="GM7" s="131"/>
      <c r="GN7" s="131"/>
      <c r="GO7" s="131"/>
      <c r="GP7" s="131"/>
      <c r="GQ7" s="131"/>
      <c r="GR7" s="131"/>
      <c r="GS7" s="131"/>
      <c r="GT7" s="131"/>
      <c r="GU7" s="131"/>
      <c r="GV7" s="131"/>
      <c r="GW7" s="131"/>
      <c r="GX7" s="131"/>
      <c r="GY7" s="131"/>
      <c r="GZ7" s="131"/>
      <c r="HA7" s="131"/>
      <c r="HB7" s="131"/>
      <c r="HC7" s="131"/>
      <c r="HD7" s="131"/>
      <c r="HE7" s="131"/>
      <c r="HF7" s="131"/>
      <c r="HG7" s="131"/>
      <c r="HH7" s="131"/>
      <c r="HI7" s="131"/>
      <c r="HJ7" s="131"/>
      <c r="HK7" s="131"/>
      <c r="HL7" s="131"/>
      <c r="HM7" s="131"/>
      <c r="HN7" s="131"/>
      <c r="HO7" s="131"/>
      <c r="HP7" s="131"/>
      <c r="HQ7" s="131"/>
      <c r="HR7" s="131"/>
      <c r="HS7" s="131"/>
      <c r="HT7" s="131"/>
      <c r="HU7" s="131"/>
      <c r="HV7" s="131"/>
      <c r="HW7" s="131"/>
      <c r="HX7" s="131"/>
      <c r="HY7" s="131"/>
      <c r="HZ7" s="131"/>
      <c r="IA7" s="131"/>
      <c r="IB7" s="131"/>
      <c r="IC7" s="131"/>
      <c r="ID7" s="131"/>
      <c r="IE7" s="131"/>
      <c r="IF7" s="131"/>
      <c r="IG7" s="131"/>
      <c r="IH7" s="131"/>
      <c r="II7" s="131"/>
      <c r="IJ7" s="131"/>
      <c r="IK7" s="131"/>
      <c r="IL7" s="131"/>
      <c r="IM7" s="131"/>
      <c r="IN7" s="131"/>
      <c r="IO7" s="131"/>
      <c r="IP7" s="131"/>
      <c r="IQ7" s="131"/>
      <c r="IR7" s="131"/>
      <c r="IS7" s="131"/>
      <c r="IT7" s="131"/>
      <c r="IU7" s="131"/>
      <c r="IV7" s="131"/>
      <c r="IW7" s="131"/>
      <c r="IX7" s="131"/>
      <c r="IY7" s="131"/>
      <c r="IZ7" s="131"/>
      <c r="JA7" s="131"/>
      <c r="JB7" s="131"/>
      <c r="JC7" s="131"/>
      <c r="JD7" s="131"/>
      <c r="JE7" s="131"/>
      <c r="JF7" s="131"/>
      <c r="JG7" s="131"/>
      <c r="JH7" s="131"/>
      <c r="JI7" s="131"/>
      <c r="JJ7" s="131"/>
      <c r="JK7" s="131"/>
      <c r="JL7" s="131"/>
      <c r="JM7" s="131"/>
      <c r="JN7" s="131"/>
      <c r="JO7" s="131"/>
      <c r="JP7" s="131"/>
      <c r="JQ7" s="131"/>
      <c r="JR7" s="131"/>
      <c r="JS7" s="131"/>
      <c r="JT7" s="131"/>
      <c r="JU7" s="131"/>
      <c r="JV7" s="131"/>
      <c r="JW7" s="131"/>
      <c r="JX7" s="131"/>
      <c r="JY7" s="131"/>
      <c r="JZ7" s="131"/>
      <c r="KA7" s="131"/>
      <c r="KB7" s="131"/>
      <c r="KC7" s="131"/>
      <c r="KD7" s="131"/>
      <c r="KE7" s="131"/>
      <c r="KF7" s="131"/>
      <c r="KG7" s="131"/>
      <c r="KH7" s="131"/>
      <c r="KI7" s="131"/>
      <c r="KJ7" s="131"/>
      <c r="KK7" s="131"/>
      <c r="KL7" s="131"/>
      <c r="KM7" s="131"/>
      <c r="KN7" s="131"/>
      <c r="KO7" s="131"/>
      <c r="KP7" s="131"/>
      <c r="KQ7" s="131"/>
      <c r="KR7" s="131"/>
      <c r="KS7" s="131"/>
      <c r="KT7" s="131"/>
      <c r="KU7" s="131"/>
      <c r="KV7" s="131"/>
      <c r="KW7" s="131"/>
      <c r="KX7" s="131"/>
      <c r="KY7" s="131"/>
      <c r="KZ7" s="131"/>
      <c r="LA7" s="131"/>
      <c r="LB7" s="131"/>
      <c r="LC7" s="131"/>
      <c r="LD7" s="131"/>
      <c r="LE7" s="131"/>
      <c r="LF7" s="131"/>
      <c r="LG7" s="131"/>
      <c r="LH7" s="131"/>
      <c r="LI7" s="131"/>
      <c r="LJ7" s="131"/>
      <c r="LK7" s="131"/>
      <c r="LL7" s="131"/>
      <c r="LM7" s="131"/>
      <c r="LN7" s="131"/>
      <c r="LO7" s="131"/>
      <c r="LP7" s="131"/>
      <c r="LQ7" s="131"/>
      <c r="LR7" s="131"/>
      <c r="LS7" s="131"/>
      <c r="LT7" s="131"/>
      <c r="LU7" s="131"/>
      <c r="LV7" s="131"/>
      <c r="LW7" s="131"/>
      <c r="LX7" s="131"/>
      <c r="LY7" s="131"/>
      <c r="LZ7" s="131"/>
      <c r="MA7" s="131"/>
      <c r="MB7" s="131"/>
      <c r="MC7" s="131"/>
      <c r="MD7" s="131"/>
      <c r="ME7" s="131"/>
      <c r="MF7" s="131"/>
      <c r="MG7" s="131"/>
      <c r="MH7" s="131"/>
      <c r="MI7" s="131"/>
      <c r="MJ7" s="131"/>
      <c r="MK7" s="131"/>
      <c r="ML7" s="131"/>
      <c r="MM7" s="131"/>
      <c r="MN7" s="131"/>
      <c r="MO7" s="131"/>
      <c r="MP7" s="131"/>
      <c r="MQ7" s="131"/>
      <c r="MR7" s="131"/>
      <c r="MS7" s="131"/>
      <c r="MT7" s="131"/>
      <c r="MU7" s="131"/>
      <c r="MV7" s="131"/>
      <c r="MW7" s="131"/>
      <c r="MX7" s="131"/>
      <c r="MY7" s="131"/>
      <c r="MZ7" s="131"/>
      <c r="NA7" s="131"/>
      <c r="NB7" s="131"/>
      <c r="NC7" s="131"/>
      <c r="ND7" s="131"/>
      <c r="NE7" s="131"/>
      <c r="NF7" s="131"/>
      <c r="NG7" s="131"/>
      <c r="NH7" s="131"/>
      <c r="NI7" s="131"/>
      <c r="NJ7" s="131"/>
      <c r="NK7" s="131"/>
      <c r="NL7" s="131"/>
      <c r="NM7" s="131"/>
      <c r="NN7" s="131"/>
      <c r="NO7" s="131"/>
      <c r="NP7" s="131"/>
      <c r="NQ7" s="131"/>
      <c r="NR7" s="131"/>
      <c r="NS7" s="131"/>
      <c r="NT7" s="131"/>
      <c r="NU7" s="131"/>
      <c r="NV7" s="131"/>
      <c r="NW7" s="24">
        <f t="shared" ref="NW7:NW11" si="5">SUBTOTAL(9,C7:NV7)</f>
        <v>0</v>
      </c>
      <c r="NX7" s="56" t="s">
        <v>36</v>
      </c>
      <c r="NY7" s="127">
        <v>795.62</v>
      </c>
      <c r="NZ7" s="78">
        <f t="shared" si="2"/>
        <v>0</v>
      </c>
      <c r="OA7" s="78">
        <v>545.87</v>
      </c>
      <c r="OB7" s="127">
        <f t="shared" si="0"/>
        <v>795.62</v>
      </c>
      <c r="OC7" s="153"/>
      <c r="OD7" s="108">
        <f t="shared" si="1"/>
        <v>1.4575265173026544</v>
      </c>
      <c r="OE7" s="160" t="s">
        <v>480</v>
      </c>
    </row>
    <row r="8" spans="1:395" s="5" customFormat="1" ht="12.75" hidden="1" customHeight="1" x14ac:dyDescent="0.25">
      <c r="A8" s="62">
        <v>44419</v>
      </c>
      <c r="B8" s="116" t="s">
        <v>57</v>
      </c>
      <c r="C8" s="129"/>
      <c r="D8" s="129"/>
      <c r="E8" s="130"/>
      <c r="F8" s="130"/>
      <c r="G8" s="130"/>
      <c r="H8" s="130"/>
      <c r="I8" s="130"/>
      <c r="J8" s="130"/>
      <c r="K8" s="130"/>
      <c r="L8" s="130"/>
      <c r="M8" s="131"/>
      <c r="N8" s="131"/>
      <c r="O8" s="131"/>
      <c r="P8" s="131"/>
      <c r="Q8" s="131"/>
      <c r="R8" s="131"/>
      <c r="S8" s="131"/>
      <c r="T8" s="131"/>
      <c r="U8" s="131"/>
      <c r="V8" s="131"/>
      <c r="W8" s="131"/>
      <c r="X8" s="131"/>
      <c r="Y8" s="131"/>
      <c r="Z8" s="131"/>
      <c r="AA8" s="131"/>
      <c r="AB8" s="131"/>
      <c r="AC8" s="131"/>
      <c r="AD8" s="131"/>
      <c r="AE8" s="131"/>
      <c r="AF8" s="131"/>
      <c r="AG8" s="131"/>
      <c r="AH8" s="131"/>
      <c r="AI8" s="131"/>
      <c r="AJ8" s="131"/>
      <c r="AK8" s="131"/>
      <c r="AL8" s="131"/>
      <c r="AM8" s="131"/>
      <c r="AN8" s="131"/>
      <c r="AO8" s="131"/>
      <c r="AP8" s="131"/>
      <c r="AQ8" s="131"/>
      <c r="AR8" s="131"/>
      <c r="AS8" s="131"/>
      <c r="AT8" s="131"/>
      <c r="AU8" s="131"/>
      <c r="AV8" s="131"/>
      <c r="AW8" s="131"/>
      <c r="AX8" s="131"/>
      <c r="AY8" s="131"/>
      <c r="AZ8" s="131"/>
      <c r="BA8" s="131"/>
      <c r="BB8" s="131"/>
      <c r="BC8" s="131"/>
      <c r="BD8" s="131"/>
      <c r="BE8" s="131"/>
      <c r="BF8" s="131"/>
      <c r="BG8" s="131"/>
      <c r="BH8" s="131"/>
      <c r="BI8" s="131"/>
      <c r="BJ8" s="131"/>
      <c r="BK8" s="131"/>
      <c r="BL8" s="131"/>
      <c r="BM8" s="131"/>
      <c r="BN8" s="131"/>
      <c r="BO8" s="131"/>
      <c r="BP8" s="131"/>
      <c r="BQ8" s="131"/>
      <c r="BR8" s="131"/>
      <c r="BS8" s="131"/>
      <c r="BT8" s="131"/>
      <c r="BU8" s="131"/>
      <c r="BV8" s="131"/>
      <c r="BW8" s="131"/>
      <c r="BX8" s="131"/>
      <c r="BY8" s="131"/>
      <c r="BZ8" s="131"/>
      <c r="CA8" s="131"/>
      <c r="CB8" s="131"/>
      <c r="CC8" s="131"/>
      <c r="CD8" s="131"/>
      <c r="CE8" s="131"/>
      <c r="CF8" s="131"/>
      <c r="CG8" s="131"/>
      <c r="CH8" s="131"/>
      <c r="CI8" s="131"/>
      <c r="CJ8" s="131"/>
      <c r="CK8" s="131"/>
      <c r="CL8" s="131"/>
      <c r="CM8" s="131"/>
      <c r="CN8" s="131"/>
      <c r="CO8" s="131"/>
      <c r="CP8" s="131"/>
      <c r="CQ8" s="131"/>
      <c r="CR8" s="131"/>
      <c r="CS8" s="131"/>
      <c r="CT8" s="131"/>
      <c r="CU8" s="131"/>
      <c r="CV8" s="131"/>
      <c r="CW8" s="131"/>
      <c r="CX8" s="131"/>
      <c r="CY8" s="131"/>
      <c r="CZ8" s="131"/>
      <c r="DA8" s="131"/>
      <c r="DB8" s="131"/>
      <c r="DC8" s="131"/>
      <c r="DD8" s="131"/>
      <c r="DE8" s="131"/>
      <c r="DF8" s="131"/>
      <c r="DG8" s="131"/>
      <c r="DH8" s="131"/>
      <c r="DI8" s="131"/>
      <c r="DJ8" s="131"/>
      <c r="DK8" s="131"/>
      <c r="DL8" s="131"/>
      <c r="DM8" s="131"/>
      <c r="DN8" s="131"/>
      <c r="DO8" s="131"/>
      <c r="DP8" s="131"/>
      <c r="DQ8" s="131"/>
      <c r="DR8" s="131"/>
      <c r="DS8" s="131"/>
      <c r="DT8" s="131"/>
      <c r="DU8" s="131"/>
      <c r="DV8" s="131"/>
      <c r="DW8" s="131"/>
      <c r="DX8" s="131"/>
      <c r="DY8" s="131"/>
      <c r="DZ8" s="131"/>
      <c r="EA8" s="131"/>
      <c r="EB8" s="131"/>
      <c r="EC8" s="131"/>
      <c r="ED8" s="131"/>
      <c r="EE8" s="131"/>
      <c r="EF8" s="131"/>
      <c r="EG8" s="131"/>
      <c r="EH8" s="131"/>
      <c r="EI8" s="131"/>
      <c r="EJ8" s="131"/>
      <c r="EK8" s="131"/>
      <c r="EL8" s="131"/>
      <c r="EM8" s="131"/>
      <c r="EN8" s="131"/>
      <c r="EO8" s="131"/>
      <c r="EP8" s="131"/>
      <c r="EQ8" s="131"/>
      <c r="ER8" s="131"/>
      <c r="ES8" s="131"/>
      <c r="ET8" s="131"/>
      <c r="EU8" s="131"/>
      <c r="EV8" s="131"/>
      <c r="EW8" s="131"/>
      <c r="EX8" s="131"/>
      <c r="EY8" s="131"/>
      <c r="EZ8" s="131"/>
      <c r="FA8" s="131"/>
      <c r="FB8" s="131"/>
      <c r="FC8" s="131"/>
      <c r="FD8" s="131"/>
      <c r="FE8" s="131"/>
      <c r="FF8" s="131"/>
      <c r="FG8" s="131"/>
      <c r="FH8" s="131"/>
      <c r="FI8" s="131"/>
      <c r="FJ8" s="131"/>
      <c r="FK8" s="131"/>
      <c r="FL8" s="131"/>
      <c r="FM8" s="131"/>
      <c r="FN8" s="131"/>
      <c r="FO8" s="131"/>
      <c r="FP8" s="131"/>
      <c r="FQ8" s="131"/>
      <c r="FR8" s="131"/>
      <c r="FS8" s="131"/>
      <c r="FT8" s="131"/>
      <c r="FU8" s="131"/>
      <c r="FV8" s="131"/>
      <c r="FW8" s="131"/>
      <c r="FX8" s="131"/>
      <c r="FY8" s="131"/>
      <c r="FZ8" s="131"/>
      <c r="GA8" s="131"/>
      <c r="GB8" s="131"/>
      <c r="GC8" s="131"/>
      <c r="GD8" s="131"/>
      <c r="GE8" s="131"/>
      <c r="GF8" s="131"/>
      <c r="GG8" s="131"/>
      <c r="GH8" s="131"/>
      <c r="GI8" s="131"/>
      <c r="GJ8" s="131"/>
      <c r="GK8" s="131"/>
      <c r="GL8" s="131"/>
      <c r="GM8" s="131"/>
      <c r="GN8" s="131"/>
      <c r="GO8" s="131"/>
      <c r="GP8" s="131"/>
      <c r="GQ8" s="131"/>
      <c r="GR8" s="131"/>
      <c r="GS8" s="131"/>
      <c r="GT8" s="131"/>
      <c r="GU8" s="131"/>
      <c r="GV8" s="131"/>
      <c r="GW8" s="131"/>
      <c r="GX8" s="131"/>
      <c r="GY8" s="131"/>
      <c r="GZ8" s="131"/>
      <c r="HA8" s="131"/>
      <c r="HB8" s="131"/>
      <c r="HC8" s="131"/>
      <c r="HD8" s="131"/>
      <c r="HE8" s="131"/>
      <c r="HF8" s="131"/>
      <c r="HG8" s="131"/>
      <c r="HH8" s="131"/>
      <c r="HI8" s="131"/>
      <c r="HJ8" s="131"/>
      <c r="HK8" s="131"/>
      <c r="HL8" s="131"/>
      <c r="HM8" s="131"/>
      <c r="HN8" s="131"/>
      <c r="HO8" s="131"/>
      <c r="HP8" s="131"/>
      <c r="HQ8" s="131"/>
      <c r="HR8" s="131"/>
      <c r="HS8" s="131"/>
      <c r="HT8" s="131"/>
      <c r="HU8" s="131"/>
      <c r="HV8" s="131"/>
      <c r="HW8" s="131"/>
      <c r="HX8" s="131"/>
      <c r="HY8" s="131"/>
      <c r="HZ8" s="131"/>
      <c r="IA8" s="131"/>
      <c r="IB8" s="131"/>
      <c r="IC8" s="131"/>
      <c r="ID8" s="131"/>
      <c r="IE8" s="131"/>
      <c r="IF8" s="131"/>
      <c r="IG8" s="131"/>
      <c r="IH8" s="131"/>
      <c r="II8" s="131"/>
      <c r="IJ8" s="131"/>
      <c r="IK8" s="131"/>
      <c r="IL8" s="131"/>
      <c r="IM8" s="131"/>
      <c r="IN8" s="131"/>
      <c r="IO8" s="131"/>
      <c r="IP8" s="131"/>
      <c r="IQ8" s="131"/>
      <c r="IR8" s="131"/>
      <c r="IS8" s="131"/>
      <c r="IT8" s="131"/>
      <c r="IU8" s="131"/>
      <c r="IV8" s="131"/>
      <c r="IW8" s="131"/>
      <c r="IX8" s="131"/>
      <c r="IY8" s="131"/>
      <c r="IZ8" s="131"/>
      <c r="JA8" s="131"/>
      <c r="JB8" s="131"/>
      <c r="JC8" s="131"/>
      <c r="JD8" s="131"/>
      <c r="JE8" s="131"/>
      <c r="JF8" s="131"/>
      <c r="JG8" s="131"/>
      <c r="JH8" s="131"/>
      <c r="JI8" s="131"/>
      <c r="JJ8" s="131"/>
      <c r="JK8" s="131"/>
      <c r="JL8" s="131"/>
      <c r="JM8" s="131"/>
      <c r="JN8" s="131"/>
      <c r="JO8" s="131"/>
      <c r="JP8" s="131"/>
      <c r="JQ8" s="131"/>
      <c r="JR8" s="131"/>
      <c r="JS8" s="131"/>
      <c r="JT8" s="131"/>
      <c r="JU8" s="131"/>
      <c r="JV8" s="131"/>
      <c r="JW8" s="131"/>
      <c r="JX8" s="131"/>
      <c r="JY8" s="131"/>
      <c r="JZ8" s="131"/>
      <c r="KA8" s="131"/>
      <c r="KB8" s="131"/>
      <c r="KC8" s="131"/>
      <c r="KD8" s="131"/>
      <c r="KE8" s="131"/>
      <c r="KF8" s="131"/>
      <c r="KG8" s="131"/>
      <c r="KH8" s="131"/>
      <c r="KI8" s="131"/>
      <c r="KJ8" s="131"/>
      <c r="KK8" s="131"/>
      <c r="KL8" s="131"/>
      <c r="KM8" s="131"/>
      <c r="KN8" s="131"/>
      <c r="KO8" s="131"/>
      <c r="KP8" s="131"/>
      <c r="KQ8" s="131"/>
      <c r="KR8" s="131"/>
      <c r="KS8" s="131"/>
      <c r="KT8" s="131"/>
      <c r="KU8" s="131"/>
      <c r="KV8" s="131"/>
      <c r="KW8" s="131"/>
      <c r="KX8" s="131"/>
      <c r="KY8" s="131"/>
      <c r="KZ8" s="131"/>
      <c r="LA8" s="131"/>
      <c r="LB8" s="131"/>
      <c r="LC8" s="131"/>
      <c r="LD8" s="131"/>
      <c r="LE8" s="131"/>
      <c r="LF8" s="131"/>
      <c r="LG8" s="131"/>
      <c r="LH8" s="131"/>
      <c r="LI8" s="131"/>
      <c r="LJ8" s="131"/>
      <c r="LK8" s="131"/>
      <c r="LL8" s="131"/>
      <c r="LM8" s="131"/>
      <c r="LN8" s="131"/>
      <c r="LO8" s="131"/>
      <c r="LP8" s="131"/>
      <c r="LQ8" s="131"/>
      <c r="LR8" s="131"/>
      <c r="LS8" s="131"/>
      <c r="LT8" s="131"/>
      <c r="LU8" s="131"/>
      <c r="LV8" s="131"/>
      <c r="LW8" s="131"/>
      <c r="LX8" s="131"/>
      <c r="LY8" s="131"/>
      <c r="LZ8" s="131"/>
      <c r="MA8" s="131"/>
      <c r="MB8" s="131"/>
      <c r="MC8" s="131"/>
      <c r="MD8" s="131"/>
      <c r="ME8" s="131"/>
      <c r="MF8" s="131"/>
      <c r="MG8" s="131"/>
      <c r="MH8" s="131"/>
      <c r="MI8" s="131"/>
      <c r="MJ8" s="131"/>
      <c r="MK8" s="131"/>
      <c r="ML8" s="131"/>
      <c r="MM8" s="131"/>
      <c r="MN8" s="131"/>
      <c r="MO8" s="131"/>
      <c r="MP8" s="131"/>
      <c r="MQ8" s="131"/>
      <c r="MR8" s="131"/>
      <c r="MS8" s="131"/>
      <c r="MT8" s="131"/>
      <c r="MU8" s="131"/>
      <c r="MV8" s="131"/>
      <c r="MW8" s="131"/>
      <c r="MX8" s="131"/>
      <c r="MY8" s="131"/>
      <c r="MZ8" s="131"/>
      <c r="NA8" s="131"/>
      <c r="NB8" s="131"/>
      <c r="NC8" s="131"/>
      <c r="ND8" s="131"/>
      <c r="NE8" s="131"/>
      <c r="NF8" s="131"/>
      <c r="NG8" s="131"/>
      <c r="NH8" s="131"/>
      <c r="NI8" s="131"/>
      <c r="NJ8" s="131"/>
      <c r="NK8" s="131"/>
      <c r="NL8" s="131"/>
      <c r="NM8" s="131"/>
      <c r="NN8" s="131"/>
      <c r="NO8" s="131"/>
      <c r="NP8" s="131"/>
      <c r="NQ8" s="131"/>
      <c r="NR8" s="131"/>
      <c r="NS8" s="131"/>
      <c r="NT8" s="131"/>
      <c r="NU8" s="131"/>
      <c r="NV8" s="131"/>
      <c r="NW8" s="24">
        <f t="shared" si="5"/>
        <v>0</v>
      </c>
      <c r="NX8" s="56" t="s">
        <v>36</v>
      </c>
      <c r="NY8" s="127">
        <v>2221.2399999999998</v>
      </c>
      <c r="NZ8" s="78">
        <f t="shared" si="2"/>
        <v>2221.2399999999998</v>
      </c>
      <c r="OA8" s="78">
        <v>5823.6</v>
      </c>
      <c r="OB8" s="127">
        <f t="shared" si="0"/>
        <v>0</v>
      </c>
      <c r="OC8" s="153">
        <v>2221.2399999999998</v>
      </c>
      <c r="OD8" s="108">
        <f t="shared" si="1"/>
        <v>0.38142042722714464</v>
      </c>
      <c r="OE8" s="160" t="s">
        <v>481</v>
      </c>
    </row>
    <row r="9" spans="1:395" s="5" customFormat="1" ht="12.75" customHeight="1" x14ac:dyDescent="0.25">
      <c r="A9" s="62">
        <v>44419</v>
      </c>
      <c r="B9" s="106" t="s">
        <v>152</v>
      </c>
      <c r="C9" s="129"/>
      <c r="D9" s="129"/>
      <c r="E9" s="130"/>
      <c r="F9" s="130"/>
      <c r="G9" s="130"/>
      <c r="H9" s="130"/>
      <c r="I9" s="130"/>
      <c r="J9" s="130"/>
      <c r="K9" s="130"/>
      <c r="L9" s="130"/>
      <c r="M9" s="131"/>
      <c r="N9" s="131"/>
      <c r="O9" s="131"/>
      <c r="P9" s="131"/>
      <c r="Q9" s="131"/>
      <c r="R9" s="131"/>
      <c r="S9" s="131"/>
      <c r="T9" s="131"/>
      <c r="U9" s="131"/>
      <c r="V9" s="131"/>
      <c r="W9" s="131"/>
      <c r="X9" s="131"/>
      <c r="Y9" s="131"/>
      <c r="Z9" s="131"/>
      <c r="AA9" s="131"/>
      <c r="AB9" s="131"/>
      <c r="AC9" s="131"/>
      <c r="AD9" s="131"/>
      <c r="AE9" s="131"/>
      <c r="AF9" s="131"/>
      <c r="AG9" s="131"/>
      <c r="AH9" s="131"/>
      <c r="AI9" s="131"/>
      <c r="AJ9" s="131"/>
      <c r="AK9" s="131"/>
      <c r="AL9" s="131"/>
      <c r="AM9" s="131"/>
      <c r="AN9" s="131"/>
      <c r="AO9" s="131"/>
      <c r="AP9" s="131"/>
      <c r="AQ9" s="131"/>
      <c r="AR9" s="131"/>
      <c r="AS9" s="131"/>
      <c r="AT9" s="131"/>
      <c r="AU9" s="131"/>
      <c r="AV9" s="131"/>
      <c r="AW9" s="131"/>
      <c r="AX9" s="131"/>
      <c r="AY9" s="131"/>
      <c r="AZ9" s="131"/>
      <c r="BA9" s="131"/>
      <c r="BB9" s="131"/>
      <c r="BC9" s="131"/>
      <c r="BD9" s="131"/>
      <c r="BE9" s="131"/>
      <c r="BF9" s="131"/>
      <c r="BG9" s="131"/>
      <c r="BH9" s="131"/>
      <c r="BI9" s="131"/>
      <c r="BJ9" s="131"/>
      <c r="BK9" s="131"/>
      <c r="BL9" s="131"/>
      <c r="BM9" s="131"/>
      <c r="BN9" s="131"/>
      <c r="BO9" s="131"/>
      <c r="BP9" s="131"/>
      <c r="BQ9" s="131"/>
      <c r="BR9" s="131"/>
      <c r="BS9" s="131"/>
      <c r="BT9" s="131"/>
      <c r="BU9" s="131"/>
      <c r="BV9" s="131"/>
      <c r="BW9" s="131"/>
      <c r="BX9" s="131"/>
      <c r="BY9" s="131"/>
      <c r="BZ9" s="131"/>
      <c r="CA9" s="131"/>
      <c r="CB9" s="131"/>
      <c r="CC9" s="131"/>
      <c r="CD9" s="131"/>
      <c r="CE9" s="131"/>
      <c r="CF9" s="131"/>
      <c r="CG9" s="131"/>
      <c r="CH9" s="131"/>
      <c r="CI9" s="131"/>
      <c r="CJ9" s="131"/>
      <c r="CK9" s="131"/>
      <c r="CL9" s="131"/>
      <c r="CM9" s="131"/>
      <c r="CN9" s="131"/>
      <c r="CO9" s="131"/>
      <c r="CP9" s="131"/>
      <c r="CQ9" s="131"/>
      <c r="CR9" s="131"/>
      <c r="CS9" s="131"/>
      <c r="CT9" s="131"/>
      <c r="CU9" s="131"/>
      <c r="CV9" s="131"/>
      <c r="CW9" s="131"/>
      <c r="CX9" s="131"/>
      <c r="CY9" s="131"/>
      <c r="CZ9" s="131"/>
      <c r="DA9" s="131"/>
      <c r="DB9" s="131"/>
      <c r="DC9" s="131"/>
      <c r="DD9" s="131"/>
      <c r="DE9" s="131"/>
      <c r="DF9" s="131"/>
      <c r="DG9" s="131"/>
      <c r="DH9" s="131"/>
      <c r="DI9" s="131"/>
      <c r="DJ9" s="131"/>
      <c r="DK9" s="131"/>
      <c r="DL9" s="131"/>
      <c r="DM9" s="131"/>
      <c r="DN9" s="131"/>
      <c r="DO9" s="131"/>
      <c r="DP9" s="131"/>
      <c r="DQ9" s="131"/>
      <c r="DR9" s="131"/>
      <c r="DS9" s="131"/>
      <c r="DT9" s="131"/>
      <c r="DU9" s="131"/>
      <c r="DV9" s="131"/>
      <c r="DW9" s="131"/>
      <c r="DX9" s="131"/>
      <c r="DY9" s="131"/>
      <c r="DZ9" s="131"/>
      <c r="EA9" s="131"/>
      <c r="EB9" s="131"/>
      <c r="EC9" s="131"/>
      <c r="ED9" s="131"/>
      <c r="EE9" s="131"/>
      <c r="EF9" s="131"/>
      <c r="EG9" s="131"/>
      <c r="EH9" s="131"/>
      <c r="EI9" s="131"/>
      <c r="EJ9" s="131"/>
      <c r="EK9" s="131"/>
      <c r="EL9" s="131"/>
      <c r="EM9" s="131"/>
      <c r="EN9" s="131"/>
      <c r="EO9" s="131"/>
      <c r="EP9" s="131"/>
      <c r="EQ9" s="131"/>
      <c r="ER9" s="131"/>
      <c r="ES9" s="131"/>
      <c r="ET9" s="131"/>
      <c r="EU9" s="131"/>
      <c r="EV9" s="131"/>
      <c r="EW9" s="131"/>
      <c r="EX9" s="131"/>
      <c r="EY9" s="131"/>
      <c r="EZ9" s="131"/>
      <c r="FA9" s="131"/>
      <c r="FB9" s="131"/>
      <c r="FC9" s="131"/>
      <c r="FD9" s="131"/>
      <c r="FE9" s="131"/>
      <c r="FF9" s="131"/>
      <c r="FG9" s="131"/>
      <c r="FH9" s="131"/>
      <c r="FI9" s="131"/>
      <c r="FJ9" s="131"/>
      <c r="FK9" s="131"/>
      <c r="FL9" s="131"/>
      <c r="FM9" s="131"/>
      <c r="FN9" s="131"/>
      <c r="FO9" s="131"/>
      <c r="FP9" s="131"/>
      <c r="FQ9" s="131"/>
      <c r="FR9" s="131"/>
      <c r="FS9" s="131"/>
      <c r="FT9" s="131"/>
      <c r="FU9" s="131"/>
      <c r="FV9" s="131"/>
      <c r="FW9" s="131"/>
      <c r="FX9" s="131"/>
      <c r="FY9" s="131"/>
      <c r="FZ9" s="131"/>
      <c r="GA9" s="131"/>
      <c r="GB9" s="131"/>
      <c r="GC9" s="131"/>
      <c r="GD9" s="131"/>
      <c r="GE9" s="131"/>
      <c r="GF9" s="131"/>
      <c r="GG9" s="131"/>
      <c r="GH9" s="131"/>
      <c r="GI9" s="131"/>
      <c r="GJ9" s="131"/>
      <c r="GK9" s="131"/>
      <c r="GL9" s="131"/>
      <c r="GM9" s="131"/>
      <c r="GN9" s="131"/>
      <c r="GO9" s="131"/>
      <c r="GP9" s="131"/>
      <c r="GQ9" s="131"/>
      <c r="GR9" s="131"/>
      <c r="GS9" s="131"/>
      <c r="GT9" s="131"/>
      <c r="GU9" s="131"/>
      <c r="GV9" s="131"/>
      <c r="GW9" s="131"/>
      <c r="GX9" s="131"/>
      <c r="GY9" s="131"/>
      <c r="GZ9" s="131"/>
      <c r="HA9" s="131"/>
      <c r="HB9" s="131"/>
      <c r="HC9" s="131"/>
      <c r="HD9" s="131"/>
      <c r="HE9" s="131"/>
      <c r="HF9" s="131"/>
      <c r="HG9" s="131"/>
      <c r="HH9" s="131"/>
      <c r="HI9" s="131"/>
      <c r="HJ9" s="131"/>
      <c r="HK9" s="131"/>
      <c r="HL9" s="131"/>
      <c r="HM9" s="131"/>
      <c r="HN9" s="131"/>
      <c r="HO9" s="131"/>
      <c r="HP9" s="131"/>
      <c r="HQ9" s="131"/>
      <c r="HR9" s="131"/>
      <c r="HS9" s="131"/>
      <c r="HT9" s="131"/>
      <c r="HU9" s="131"/>
      <c r="HV9" s="131"/>
      <c r="HW9" s="131"/>
      <c r="HX9" s="131"/>
      <c r="HY9" s="131"/>
      <c r="HZ9" s="131"/>
      <c r="IA9" s="131"/>
      <c r="IB9" s="131"/>
      <c r="IC9" s="131"/>
      <c r="ID9" s="131"/>
      <c r="IE9" s="131"/>
      <c r="IF9" s="131"/>
      <c r="IG9" s="131"/>
      <c r="IH9" s="131"/>
      <c r="II9" s="131"/>
      <c r="IJ9" s="131"/>
      <c r="IK9" s="131"/>
      <c r="IL9" s="131"/>
      <c r="IM9" s="131"/>
      <c r="IN9" s="131"/>
      <c r="IO9" s="131"/>
      <c r="IP9" s="131"/>
      <c r="IQ9" s="131"/>
      <c r="IR9" s="131"/>
      <c r="IS9" s="131"/>
      <c r="IT9" s="131"/>
      <c r="IU9" s="131"/>
      <c r="IV9" s="131"/>
      <c r="IW9" s="131"/>
      <c r="IX9" s="131"/>
      <c r="IY9" s="131"/>
      <c r="IZ9" s="131"/>
      <c r="JA9" s="131"/>
      <c r="JB9" s="131"/>
      <c r="JC9" s="131"/>
      <c r="JD9" s="131"/>
      <c r="JE9" s="131"/>
      <c r="JF9" s="131"/>
      <c r="JG9" s="131"/>
      <c r="JH9" s="131"/>
      <c r="JI9" s="131"/>
      <c r="JJ9" s="131"/>
      <c r="JK9" s="131"/>
      <c r="JL9" s="131"/>
      <c r="JM9" s="131"/>
      <c r="JN9" s="131"/>
      <c r="JO9" s="131"/>
      <c r="JP9" s="131"/>
      <c r="JQ9" s="131"/>
      <c r="JR9" s="131"/>
      <c r="JS9" s="131"/>
      <c r="JT9" s="131"/>
      <c r="JU9" s="131"/>
      <c r="JV9" s="131"/>
      <c r="JW9" s="131"/>
      <c r="JX9" s="131"/>
      <c r="JY9" s="131"/>
      <c r="JZ9" s="131"/>
      <c r="KA9" s="131"/>
      <c r="KB9" s="131"/>
      <c r="KC9" s="131"/>
      <c r="KD9" s="131"/>
      <c r="KE9" s="131"/>
      <c r="KF9" s="131"/>
      <c r="KG9" s="131"/>
      <c r="KH9" s="131"/>
      <c r="KI9" s="131"/>
      <c r="KJ9" s="131"/>
      <c r="KK9" s="131"/>
      <c r="KL9" s="131"/>
      <c r="KM9" s="131"/>
      <c r="KN9" s="131"/>
      <c r="KO9" s="131"/>
      <c r="KP9" s="131"/>
      <c r="KQ9" s="131"/>
      <c r="KR9" s="131"/>
      <c r="KS9" s="131"/>
      <c r="KT9" s="131"/>
      <c r="KU9" s="131"/>
      <c r="KV9" s="131"/>
      <c r="KW9" s="131"/>
      <c r="KX9" s="131"/>
      <c r="KY9" s="131"/>
      <c r="KZ9" s="131"/>
      <c r="LA9" s="131"/>
      <c r="LB9" s="131"/>
      <c r="LC9" s="131"/>
      <c r="LD9" s="131"/>
      <c r="LE9" s="131"/>
      <c r="LF9" s="131"/>
      <c r="LG9" s="131"/>
      <c r="LH9" s="131"/>
      <c r="LI9" s="131"/>
      <c r="LJ9" s="131"/>
      <c r="LK9" s="131"/>
      <c r="LL9" s="131"/>
      <c r="LM9" s="131"/>
      <c r="LN9" s="131"/>
      <c r="LO9" s="131"/>
      <c r="LP9" s="131"/>
      <c r="LQ9" s="131"/>
      <c r="LR9" s="131"/>
      <c r="LS9" s="131"/>
      <c r="LT9" s="131"/>
      <c r="LU9" s="131"/>
      <c r="LV9" s="131"/>
      <c r="LW9" s="131"/>
      <c r="LX9" s="131"/>
      <c r="LY9" s="131"/>
      <c r="LZ9" s="131"/>
      <c r="MA9" s="131"/>
      <c r="MB9" s="131"/>
      <c r="MC9" s="131"/>
      <c r="MD9" s="131"/>
      <c r="ME9" s="131"/>
      <c r="MF9" s="131"/>
      <c r="MG9" s="131"/>
      <c r="MH9" s="131"/>
      <c r="MI9" s="131"/>
      <c r="MJ9" s="131"/>
      <c r="MK9" s="131"/>
      <c r="ML9" s="131"/>
      <c r="MM9" s="131"/>
      <c r="MN9" s="131"/>
      <c r="MO9" s="131"/>
      <c r="MP9" s="131"/>
      <c r="MQ9" s="131"/>
      <c r="MR9" s="131"/>
      <c r="MS9" s="131"/>
      <c r="MT9" s="131"/>
      <c r="MU9" s="131"/>
      <c r="MV9" s="131"/>
      <c r="MW9" s="131"/>
      <c r="MX9" s="131"/>
      <c r="MY9" s="131"/>
      <c r="MZ9" s="131"/>
      <c r="NA9" s="131"/>
      <c r="NB9" s="131"/>
      <c r="NC9" s="131"/>
      <c r="ND9" s="131"/>
      <c r="NE9" s="131"/>
      <c r="NF9" s="131"/>
      <c r="NG9" s="131"/>
      <c r="NH9" s="131"/>
      <c r="NI9" s="131"/>
      <c r="NJ9" s="131"/>
      <c r="NK9" s="131"/>
      <c r="NL9" s="131"/>
      <c r="NM9" s="131"/>
      <c r="NN9" s="131"/>
      <c r="NO9" s="131"/>
      <c r="NP9" s="131"/>
      <c r="NQ9" s="131"/>
      <c r="NR9" s="131"/>
      <c r="NS9" s="131"/>
      <c r="NT9" s="131"/>
      <c r="NU9" s="131"/>
      <c r="NV9" s="131"/>
      <c r="NW9" s="24">
        <f t="shared" si="5"/>
        <v>0</v>
      </c>
      <c r="NX9" s="56" t="s">
        <v>36</v>
      </c>
      <c r="NY9" s="127">
        <v>1367.56</v>
      </c>
      <c r="NZ9" s="78">
        <f t="shared" si="2"/>
        <v>0</v>
      </c>
      <c r="OA9" s="78">
        <v>1751.1120000000001</v>
      </c>
      <c r="OB9" s="127">
        <f t="shared" si="0"/>
        <v>1367.56</v>
      </c>
      <c r="OC9" s="153"/>
      <c r="OD9" s="108">
        <f t="shared" si="1"/>
        <v>0.78096660864639145</v>
      </c>
      <c r="OE9" s="160" t="s">
        <v>483</v>
      </c>
    </row>
    <row r="10" spans="1:395" s="5" customFormat="1" ht="12.75" customHeight="1" x14ac:dyDescent="0.25">
      <c r="A10" s="62">
        <v>44439</v>
      </c>
      <c r="B10" s="116" t="s">
        <v>46</v>
      </c>
      <c r="C10" s="129"/>
      <c r="D10" s="129"/>
      <c r="E10" s="130"/>
      <c r="F10" s="130"/>
      <c r="G10" s="130"/>
      <c r="H10" s="130"/>
      <c r="I10" s="130"/>
      <c r="J10" s="130"/>
      <c r="K10" s="130"/>
      <c r="L10" s="130"/>
      <c r="M10" s="131"/>
      <c r="N10" s="131"/>
      <c r="O10" s="131"/>
      <c r="P10" s="131"/>
      <c r="Q10" s="131"/>
      <c r="R10" s="131"/>
      <c r="S10" s="131"/>
      <c r="T10" s="131"/>
      <c r="U10" s="131"/>
      <c r="V10" s="131"/>
      <c r="W10" s="131"/>
      <c r="X10" s="131"/>
      <c r="Y10" s="131"/>
      <c r="Z10" s="131"/>
      <c r="AA10" s="131"/>
      <c r="AB10" s="131"/>
      <c r="AC10" s="131"/>
      <c r="AD10" s="131"/>
      <c r="AE10" s="131"/>
      <c r="AF10" s="131"/>
      <c r="AG10" s="131"/>
      <c r="AH10" s="131"/>
      <c r="AI10" s="131"/>
      <c r="AJ10" s="131"/>
      <c r="AK10" s="131"/>
      <c r="AL10" s="131"/>
      <c r="AM10" s="131"/>
      <c r="AN10" s="131"/>
      <c r="AO10" s="131"/>
      <c r="AP10" s="131"/>
      <c r="AQ10" s="131"/>
      <c r="AR10" s="131"/>
      <c r="AS10" s="131"/>
      <c r="AT10" s="131"/>
      <c r="AU10" s="131"/>
      <c r="AV10" s="131"/>
      <c r="AW10" s="131"/>
      <c r="AX10" s="131"/>
      <c r="AY10" s="131"/>
      <c r="AZ10" s="131"/>
      <c r="BA10" s="131"/>
      <c r="BB10" s="131"/>
      <c r="BC10" s="131"/>
      <c r="BD10" s="131"/>
      <c r="BE10" s="131"/>
      <c r="BF10" s="131"/>
      <c r="BG10" s="131"/>
      <c r="BH10" s="131"/>
      <c r="BI10" s="131"/>
      <c r="BJ10" s="131"/>
      <c r="BK10" s="131"/>
      <c r="BL10" s="131"/>
      <c r="BM10" s="131"/>
      <c r="BN10" s="131"/>
      <c r="BO10" s="131"/>
      <c r="BP10" s="131"/>
      <c r="BQ10" s="131"/>
      <c r="BR10" s="131"/>
      <c r="BS10" s="131"/>
      <c r="BT10" s="131"/>
      <c r="BU10" s="131"/>
      <c r="BV10" s="131"/>
      <c r="BW10" s="131"/>
      <c r="BX10" s="131"/>
      <c r="BY10" s="131"/>
      <c r="BZ10" s="131"/>
      <c r="CA10" s="131"/>
      <c r="CB10" s="131"/>
      <c r="CC10" s="131"/>
      <c r="CD10" s="131"/>
      <c r="CE10" s="131"/>
      <c r="CF10" s="131"/>
      <c r="CG10" s="131"/>
      <c r="CH10" s="131"/>
      <c r="CI10" s="131"/>
      <c r="CJ10" s="131"/>
      <c r="CK10" s="131"/>
      <c r="CL10" s="131"/>
      <c r="CM10" s="131"/>
      <c r="CN10" s="131"/>
      <c r="CO10" s="131"/>
      <c r="CP10" s="131"/>
      <c r="CQ10" s="131"/>
      <c r="CR10" s="131"/>
      <c r="CS10" s="131"/>
      <c r="CT10" s="131"/>
      <c r="CU10" s="131"/>
      <c r="CV10" s="131"/>
      <c r="CW10" s="131"/>
      <c r="CX10" s="131"/>
      <c r="CY10" s="131"/>
      <c r="CZ10" s="131"/>
      <c r="DA10" s="131"/>
      <c r="DB10" s="131"/>
      <c r="DC10" s="131"/>
      <c r="DD10" s="131"/>
      <c r="DE10" s="131"/>
      <c r="DF10" s="131"/>
      <c r="DG10" s="131"/>
      <c r="DH10" s="131"/>
      <c r="DI10" s="131"/>
      <c r="DJ10" s="131"/>
      <c r="DK10" s="131"/>
      <c r="DL10" s="131"/>
      <c r="DM10" s="131"/>
      <c r="DN10" s="131"/>
      <c r="DO10" s="131"/>
      <c r="DP10" s="131"/>
      <c r="DQ10" s="131"/>
      <c r="DR10" s="131"/>
      <c r="DS10" s="131"/>
      <c r="DT10" s="131"/>
      <c r="DU10" s="131"/>
      <c r="DV10" s="131"/>
      <c r="DW10" s="131"/>
      <c r="DX10" s="131"/>
      <c r="DY10" s="131"/>
      <c r="DZ10" s="131"/>
      <c r="EA10" s="131"/>
      <c r="EB10" s="131"/>
      <c r="EC10" s="131"/>
      <c r="ED10" s="131"/>
      <c r="EE10" s="131"/>
      <c r="EF10" s="131"/>
      <c r="EG10" s="131"/>
      <c r="EH10" s="131"/>
      <c r="EI10" s="131"/>
      <c r="EJ10" s="131"/>
      <c r="EK10" s="131"/>
      <c r="EL10" s="131"/>
      <c r="EM10" s="131"/>
      <c r="EN10" s="131"/>
      <c r="EO10" s="131"/>
      <c r="EP10" s="131"/>
      <c r="EQ10" s="131"/>
      <c r="ER10" s="131"/>
      <c r="ES10" s="131"/>
      <c r="ET10" s="131"/>
      <c r="EU10" s="131"/>
      <c r="EV10" s="131"/>
      <c r="EW10" s="131"/>
      <c r="EX10" s="131"/>
      <c r="EY10" s="131"/>
      <c r="EZ10" s="131"/>
      <c r="FA10" s="131"/>
      <c r="FB10" s="131"/>
      <c r="FC10" s="131"/>
      <c r="FD10" s="131"/>
      <c r="FE10" s="131"/>
      <c r="FF10" s="131"/>
      <c r="FG10" s="131"/>
      <c r="FH10" s="131"/>
      <c r="FI10" s="131"/>
      <c r="FJ10" s="131"/>
      <c r="FK10" s="131"/>
      <c r="FL10" s="131"/>
      <c r="FM10" s="131"/>
      <c r="FN10" s="131"/>
      <c r="FO10" s="131"/>
      <c r="FP10" s="131"/>
      <c r="FQ10" s="131"/>
      <c r="FR10" s="131"/>
      <c r="FS10" s="131"/>
      <c r="FT10" s="131"/>
      <c r="FU10" s="131"/>
      <c r="FV10" s="131"/>
      <c r="FW10" s="131"/>
      <c r="FX10" s="131"/>
      <c r="FY10" s="131"/>
      <c r="FZ10" s="131"/>
      <c r="GA10" s="131"/>
      <c r="GB10" s="131"/>
      <c r="GC10" s="131"/>
      <c r="GD10" s="131"/>
      <c r="GE10" s="131"/>
      <c r="GF10" s="131"/>
      <c r="GG10" s="131"/>
      <c r="GH10" s="131"/>
      <c r="GI10" s="131"/>
      <c r="GJ10" s="131"/>
      <c r="GK10" s="131"/>
      <c r="GL10" s="131"/>
      <c r="GM10" s="131"/>
      <c r="GN10" s="131"/>
      <c r="GO10" s="131"/>
      <c r="GP10" s="131"/>
      <c r="GQ10" s="131"/>
      <c r="GR10" s="131"/>
      <c r="GS10" s="131"/>
      <c r="GT10" s="131"/>
      <c r="GU10" s="131"/>
      <c r="GV10" s="131"/>
      <c r="GW10" s="131"/>
      <c r="GX10" s="131"/>
      <c r="GY10" s="131"/>
      <c r="GZ10" s="131"/>
      <c r="HA10" s="131"/>
      <c r="HB10" s="131"/>
      <c r="HC10" s="131"/>
      <c r="HD10" s="131"/>
      <c r="HE10" s="131"/>
      <c r="HF10" s="131"/>
      <c r="HG10" s="131"/>
      <c r="HH10" s="131"/>
      <c r="HI10" s="131"/>
      <c r="HJ10" s="131"/>
      <c r="HK10" s="131"/>
      <c r="HL10" s="131"/>
      <c r="HM10" s="131"/>
      <c r="HN10" s="131"/>
      <c r="HO10" s="131"/>
      <c r="HP10" s="131"/>
      <c r="HQ10" s="131"/>
      <c r="HR10" s="131"/>
      <c r="HS10" s="131"/>
      <c r="HT10" s="131"/>
      <c r="HU10" s="131"/>
      <c r="HV10" s="131"/>
      <c r="HW10" s="131"/>
      <c r="HX10" s="131"/>
      <c r="HY10" s="131"/>
      <c r="HZ10" s="131"/>
      <c r="IA10" s="131"/>
      <c r="IB10" s="131"/>
      <c r="IC10" s="131"/>
      <c r="ID10" s="131"/>
      <c r="IE10" s="131"/>
      <c r="IF10" s="131"/>
      <c r="IG10" s="131"/>
      <c r="IH10" s="131"/>
      <c r="II10" s="131"/>
      <c r="IJ10" s="131"/>
      <c r="IK10" s="131"/>
      <c r="IL10" s="131"/>
      <c r="IM10" s="131"/>
      <c r="IN10" s="131"/>
      <c r="IO10" s="131"/>
      <c r="IP10" s="131"/>
      <c r="IQ10" s="131"/>
      <c r="IR10" s="131"/>
      <c r="IS10" s="131"/>
      <c r="IT10" s="131"/>
      <c r="IU10" s="131"/>
      <c r="IV10" s="131"/>
      <c r="IW10" s="131"/>
      <c r="IX10" s="131"/>
      <c r="IY10" s="131"/>
      <c r="IZ10" s="131"/>
      <c r="JA10" s="131"/>
      <c r="JB10" s="131"/>
      <c r="JC10" s="131"/>
      <c r="JD10" s="131"/>
      <c r="JE10" s="131"/>
      <c r="JF10" s="131"/>
      <c r="JG10" s="131"/>
      <c r="JH10" s="131"/>
      <c r="JI10" s="131"/>
      <c r="JJ10" s="131"/>
      <c r="JK10" s="131"/>
      <c r="JL10" s="131"/>
      <c r="JM10" s="131"/>
      <c r="JN10" s="131"/>
      <c r="JO10" s="131"/>
      <c r="JP10" s="131"/>
      <c r="JQ10" s="131"/>
      <c r="JR10" s="131"/>
      <c r="JS10" s="131"/>
      <c r="JT10" s="131"/>
      <c r="JU10" s="131"/>
      <c r="JV10" s="131"/>
      <c r="JW10" s="131"/>
      <c r="JX10" s="131"/>
      <c r="JY10" s="131"/>
      <c r="JZ10" s="131"/>
      <c r="KA10" s="131"/>
      <c r="KB10" s="131"/>
      <c r="KC10" s="131"/>
      <c r="KD10" s="131"/>
      <c r="KE10" s="131"/>
      <c r="KF10" s="131"/>
      <c r="KG10" s="131"/>
      <c r="KH10" s="131"/>
      <c r="KI10" s="131"/>
      <c r="KJ10" s="131"/>
      <c r="KK10" s="131"/>
      <c r="KL10" s="131"/>
      <c r="KM10" s="131"/>
      <c r="KN10" s="131"/>
      <c r="KO10" s="131"/>
      <c r="KP10" s="131"/>
      <c r="KQ10" s="131"/>
      <c r="KR10" s="131"/>
      <c r="KS10" s="131"/>
      <c r="KT10" s="131"/>
      <c r="KU10" s="131"/>
      <c r="KV10" s="131"/>
      <c r="KW10" s="131"/>
      <c r="KX10" s="131"/>
      <c r="KY10" s="131"/>
      <c r="KZ10" s="131"/>
      <c r="LA10" s="131"/>
      <c r="LB10" s="131"/>
      <c r="LC10" s="131"/>
      <c r="LD10" s="131"/>
      <c r="LE10" s="131"/>
      <c r="LF10" s="131"/>
      <c r="LG10" s="131"/>
      <c r="LH10" s="131"/>
      <c r="LI10" s="131"/>
      <c r="LJ10" s="131"/>
      <c r="LK10" s="131"/>
      <c r="LL10" s="131"/>
      <c r="LM10" s="131"/>
      <c r="LN10" s="131"/>
      <c r="LO10" s="131"/>
      <c r="LP10" s="131"/>
      <c r="LQ10" s="131"/>
      <c r="LR10" s="131"/>
      <c r="LS10" s="131"/>
      <c r="LT10" s="131"/>
      <c r="LU10" s="131"/>
      <c r="LV10" s="131"/>
      <c r="LW10" s="131"/>
      <c r="LX10" s="131"/>
      <c r="LY10" s="131"/>
      <c r="LZ10" s="131"/>
      <c r="MA10" s="131"/>
      <c r="MB10" s="131"/>
      <c r="MC10" s="131"/>
      <c r="MD10" s="131"/>
      <c r="ME10" s="131"/>
      <c r="MF10" s="131"/>
      <c r="MG10" s="131"/>
      <c r="MH10" s="131"/>
      <c r="MI10" s="131"/>
      <c r="MJ10" s="131"/>
      <c r="MK10" s="131"/>
      <c r="ML10" s="131"/>
      <c r="MM10" s="131"/>
      <c r="MN10" s="131"/>
      <c r="MO10" s="131"/>
      <c r="MP10" s="131"/>
      <c r="MQ10" s="131"/>
      <c r="MR10" s="131"/>
      <c r="MS10" s="131"/>
      <c r="MT10" s="131"/>
      <c r="MU10" s="131"/>
      <c r="MV10" s="131"/>
      <c r="MW10" s="131"/>
      <c r="MX10" s="131"/>
      <c r="MY10" s="131"/>
      <c r="MZ10" s="131"/>
      <c r="NA10" s="131"/>
      <c r="NB10" s="131"/>
      <c r="NC10" s="131"/>
      <c r="ND10" s="131"/>
      <c r="NE10" s="131"/>
      <c r="NF10" s="131"/>
      <c r="NG10" s="131"/>
      <c r="NH10" s="131"/>
      <c r="NI10" s="131"/>
      <c r="NJ10" s="131"/>
      <c r="NK10" s="131"/>
      <c r="NL10" s="131"/>
      <c r="NM10" s="131"/>
      <c r="NN10" s="131"/>
      <c r="NO10" s="131"/>
      <c r="NP10" s="131"/>
      <c r="NQ10" s="131"/>
      <c r="NR10" s="131"/>
      <c r="NS10" s="131"/>
      <c r="NT10" s="131"/>
      <c r="NU10" s="131"/>
      <c r="NV10" s="131"/>
      <c r="NW10" s="24">
        <f t="shared" si="5"/>
        <v>0</v>
      </c>
      <c r="NX10" s="56" t="s">
        <v>36</v>
      </c>
      <c r="NY10" s="127">
        <v>3955.45</v>
      </c>
      <c r="NZ10" s="78">
        <f t="shared" si="2"/>
        <v>0</v>
      </c>
      <c r="OA10" s="78">
        <v>2154.29</v>
      </c>
      <c r="OB10" s="127">
        <f t="shared" si="0"/>
        <v>3955.45</v>
      </c>
      <c r="OC10" s="153"/>
      <c r="OD10" s="108">
        <f t="shared" si="1"/>
        <v>1.8360805648264624</v>
      </c>
      <c r="OE10" s="160" t="s">
        <v>476</v>
      </c>
    </row>
    <row r="11" spans="1:395" s="5" customFormat="1" ht="12.75" customHeight="1" x14ac:dyDescent="0.25">
      <c r="A11" s="62">
        <v>44439</v>
      </c>
      <c r="B11" s="116" t="s">
        <v>57</v>
      </c>
      <c r="C11" s="129"/>
      <c r="D11" s="129"/>
      <c r="E11" s="130"/>
      <c r="F11" s="130"/>
      <c r="G11" s="130"/>
      <c r="H11" s="130"/>
      <c r="I11" s="130"/>
      <c r="J11" s="130"/>
      <c r="K11" s="130"/>
      <c r="L11" s="130"/>
      <c r="M11" s="131"/>
      <c r="N11" s="131"/>
      <c r="O11" s="131"/>
      <c r="P11" s="131"/>
      <c r="Q11" s="131"/>
      <c r="R11" s="131"/>
      <c r="S11" s="131"/>
      <c r="T11" s="131"/>
      <c r="U11" s="131"/>
      <c r="V11" s="131"/>
      <c r="W11" s="131"/>
      <c r="X11" s="131"/>
      <c r="Y11" s="131"/>
      <c r="Z11" s="131"/>
      <c r="AA11" s="131"/>
      <c r="AB11" s="131"/>
      <c r="AC11" s="131"/>
      <c r="AD11" s="131"/>
      <c r="AE11" s="131"/>
      <c r="AF11" s="131"/>
      <c r="AG11" s="131"/>
      <c r="AH11" s="131"/>
      <c r="AI11" s="131"/>
      <c r="AJ11" s="131"/>
      <c r="AK11" s="131"/>
      <c r="AL11" s="131"/>
      <c r="AM11" s="131"/>
      <c r="AN11" s="131"/>
      <c r="AO11" s="131"/>
      <c r="AP11" s="131"/>
      <c r="AQ11" s="131"/>
      <c r="AR11" s="131"/>
      <c r="AS11" s="131"/>
      <c r="AT11" s="131"/>
      <c r="AU11" s="131"/>
      <c r="AV11" s="131"/>
      <c r="AW11" s="131"/>
      <c r="AX11" s="131"/>
      <c r="AY11" s="131"/>
      <c r="AZ11" s="131"/>
      <c r="BA11" s="131"/>
      <c r="BB11" s="131"/>
      <c r="BC11" s="131"/>
      <c r="BD11" s="131"/>
      <c r="BE11" s="131"/>
      <c r="BF11" s="131"/>
      <c r="BG11" s="131"/>
      <c r="BH11" s="131"/>
      <c r="BI11" s="131"/>
      <c r="BJ11" s="131"/>
      <c r="BK11" s="131"/>
      <c r="BL11" s="131"/>
      <c r="BM11" s="131"/>
      <c r="BN11" s="131"/>
      <c r="BO11" s="131"/>
      <c r="BP11" s="131"/>
      <c r="BQ11" s="131"/>
      <c r="BR11" s="131"/>
      <c r="BS11" s="131"/>
      <c r="BT11" s="131"/>
      <c r="BU11" s="131"/>
      <c r="BV11" s="131"/>
      <c r="BW11" s="131"/>
      <c r="BX11" s="131"/>
      <c r="BY11" s="131"/>
      <c r="BZ11" s="131"/>
      <c r="CA11" s="131"/>
      <c r="CB11" s="131"/>
      <c r="CC11" s="131"/>
      <c r="CD11" s="131"/>
      <c r="CE11" s="131"/>
      <c r="CF11" s="131"/>
      <c r="CG11" s="131"/>
      <c r="CH11" s="131"/>
      <c r="CI11" s="131"/>
      <c r="CJ11" s="131"/>
      <c r="CK11" s="131"/>
      <c r="CL11" s="131"/>
      <c r="CM11" s="131"/>
      <c r="CN11" s="131"/>
      <c r="CO11" s="131"/>
      <c r="CP11" s="131"/>
      <c r="CQ11" s="131"/>
      <c r="CR11" s="131"/>
      <c r="CS11" s="131"/>
      <c r="CT11" s="131"/>
      <c r="CU11" s="131"/>
      <c r="CV11" s="131"/>
      <c r="CW11" s="131"/>
      <c r="CX11" s="131"/>
      <c r="CY11" s="131"/>
      <c r="CZ11" s="131"/>
      <c r="DA11" s="131"/>
      <c r="DB11" s="131"/>
      <c r="DC11" s="131"/>
      <c r="DD11" s="131"/>
      <c r="DE11" s="131"/>
      <c r="DF11" s="131"/>
      <c r="DG11" s="131"/>
      <c r="DH11" s="131"/>
      <c r="DI11" s="131"/>
      <c r="DJ11" s="131"/>
      <c r="DK11" s="131"/>
      <c r="DL11" s="131"/>
      <c r="DM11" s="131"/>
      <c r="DN11" s="131"/>
      <c r="DO11" s="131"/>
      <c r="DP11" s="131"/>
      <c r="DQ11" s="131"/>
      <c r="DR11" s="131"/>
      <c r="DS11" s="131"/>
      <c r="DT11" s="131"/>
      <c r="DU11" s="131"/>
      <c r="DV11" s="131"/>
      <c r="DW11" s="131"/>
      <c r="DX11" s="131"/>
      <c r="DY11" s="131"/>
      <c r="DZ11" s="131"/>
      <c r="EA11" s="131"/>
      <c r="EB11" s="131"/>
      <c r="EC11" s="131"/>
      <c r="ED11" s="131"/>
      <c r="EE11" s="131"/>
      <c r="EF11" s="131"/>
      <c r="EG11" s="131"/>
      <c r="EH11" s="131"/>
      <c r="EI11" s="131"/>
      <c r="EJ11" s="131"/>
      <c r="EK11" s="131"/>
      <c r="EL11" s="131"/>
      <c r="EM11" s="131"/>
      <c r="EN11" s="131"/>
      <c r="EO11" s="131"/>
      <c r="EP11" s="131"/>
      <c r="EQ11" s="131"/>
      <c r="ER11" s="131"/>
      <c r="ES11" s="131"/>
      <c r="ET11" s="131"/>
      <c r="EU11" s="131"/>
      <c r="EV11" s="131"/>
      <c r="EW11" s="131"/>
      <c r="EX11" s="131"/>
      <c r="EY11" s="131"/>
      <c r="EZ11" s="131"/>
      <c r="FA11" s="131"/>
      <c r="FB11" s="131"/>
      <c r="FC11" s="131"/>
      <c r="FD11" s="131"/>
      <c r="FE11" s="131"/>
      <c r="FF11" s="131"/>
      <c r="FG11" s="131"/>
      <c r="FH11" s="131"/>
      <c r="FI11" s="131"/>
      <c r="FJ11" s="131"/>
      <c r="FK11" s="131"/>
      <c r="FL11" s="131"/>
      <c r="FM11" s="131"/>
      <c r="FN11" s="131"/>
      <c r="FO11" s="131"/>
      <c r="FP11" s="131"/>
      <c r="FQ11" s="131"/>
      <c r="FR11" s="131"/>
      <c r="FS11" s="131"/>
      <c r="FT11" s="131"/>
      <c r="FU11" s="131"/>
      <c r="FV11" s="131"/>
      <c r="FW11" s="131"/>
      <c r="FX11" s="131"/>
      <c r="FY11" s="131"/>
      <c r="FZ11" s="131"/>
      <c r="GA11" s="131"/>
      <c r="GB11" s="131"/>
      <c r="GC11" s="131"/>
      <c r="GD11" s="131"/>
      <c r="GE11" s="131"/>
      <c r="GF11" s="131"/>
      <c r="GG11" s="131"/>
      <c r="GH11" s="131"/>
      <c r="GI11" s="131"/>
      <c r="GJ11" s="131"/>
      <c r="GK11" s="131"/>
      <c r="GL11" s="131"/>
      <c r="GM11" s="131"/>
      <c r="GN11" s="131"/>
      <c r="GO11" s="131"/>
      <c r="GP11" s="131"/>
      <c r="GQ11" s="131"/>
      <c r="GR11" s="131"/>
      <c r="GS11" s="131"/>
      <c r="GT11" s="131"/>
      <c r="GU11" s="131"/>
      <c r="GV11" s="131"/>
      <c r="GW11" s="131"/>
      <c r="GX11" s="131"/>
      <c r="GY11" s="131"/>
      <c r="GZ11" s="131"/>
      <c r="HA11" s="131"/>
      <c r="HB11" s="131"/>
      <c r="HC11" s="131"/>
      <c r="HD11" s="131"/>
      <c r="HE11" s="131"/>
      <c r="HF11" s="131"/>
      <c r="HG11" s="131"/>
      <c r="HH11" s="131"/>
      <c r="HI11" s="131"/>
      <c r="HJ11" s="131"/>
      <c r="HK11" s="131"/>
      <c r="HL11" s="131"/>
      <c r="HM11" s="131"/>
      <c r="HN11" s="131"/>
      <c r="HO11" s="131"/>
      <c r="HP11" s="131"/>
      <c r="HQ11" s="131"/>
      <c r="HR11" s="131"/>
      <c r="HS11" s="131"/>
      <c r="HT11" s="131"/>
      <c r="HU11" s="131"/>
      <c r="HV11" s="131"/>
      <c r="HW11" s="131"/>
      <c r="HX11" s="131"/>
      <c r="HY11" s="131"/>
      <c r="HZ11" s="131"/>
      <c r="IA11" s="131"/>
      <c r="IB11" s="131"/>
      <c r="IC11" s="131"/>
      <c r="ID11" s="131"/>
      <c r="IE11" s="131"/>
      <c r="IF11" s="131"/>
      <c r="IG11" s="131"/>
      <c r="IH11" s="131"/>
      <c r="II11" s="131"/>
      <c r="IJ11" s="131"/>
      <c r="IK11" s="131"/>
      <c r="IL11" s="131"/>
      <c r="IM11" s="131"/>
      <c r="IN11" s="131"/>
      <c r="IO11" s="131"/>
      <c r="IP11" s="131"/>
      <c r="IQ11" s="131"/>
      <c r="IR11" s="131"/>
      <c r="IS11" s="131"/>
      <c r="IT11" s="131"/>
      <c r="IU11" s="131"/>
      <c r="IV11" s="131"/>
      <c r="IW11" s="131"/>
      <c r="IX11" s="131"/>
      <c r="IY11" s="131"/>
      <c r="IZ11" s="131"/>
      <c r="JA11" s="131"/>
      <c r="JB11" s="131"/>
      <c r="JC11" s="131"/>
      <c r="JD11" s="131"/>
      <c r="JE11" s="131"/>
      <c r="JF11" s="131"/>
      <c r="JG11" s="131"/>
      <c r="JH11" s="131"/>
      <c r="JI11" s="131"/>
      <c r="JJ11" s="131"/>
      <c r="JK11" s="131"/>
      <c r="JL11" s="131"/>
      <c r="JM11" s="131"/>
      <c r="JN11" s="131"/>
      <c r="JO11" s="131"/>
      <c r="JP11" s="131"/>
      <c r="JQ11" s="131"/>
      <c r="JR11" s="131"/>
      <c r="JS11" s="131"/>
      <c r="JT11" s="131"/>
      <c r="JU11" s="131"/>
      <c r="JV11" s="131"/>
      <c r="JW11" s="131"/>
      <c r="JX11" s="131"/>
      <c r="JY11" s="131"/>
      <c r="JZ11" s="131"/>
      <c r="KA11" s="131"/>
      <c r="KB11" s="131"/>
      <c r="KC11" s="131"/>
      <c r="KD11" s="131"/>
      <c r="KE11" s="131"/>
      <c r="KF11" s="131"/>
      <c r="KG11" s="131"/>
      <c r="KH11" s="131"/>
      <c r="KI11" s="131"/>
      <c r="KJ11" s="131"/>
      <c r="KK11" s="131"/>
      <c r="KL11" s="131"/>
      <c r="KM11" s="131"/>
      <c r="KN11" s="131"/>
      <c r="KO11" s="131"/>
      <c r="KP11" s="131"/>
      <c r="KQ11" s="131"/>
      <c r="KR11" s="131"/>
      <c r="KS11" s="131"/>
      <c r="KT11" s="131"/>
      <c r="KU11" s="131"/>
      <c r="KV11" s="131"/>
      <c r="KW11" s="131"/>
      <c r="KX11" s="131"/>
      <c r="KY11" s="131"/>
      <c r="KZ11" s="131"/>
      <c r="LA11" s="131"/>
      <c r="LB11" s="131"/>
      <c r="LC11" s="131"/>
      <c r="LD11" s="131"/>
      <c r="LE11" s="131"/>
      <c r="LF11" s="131"/>
      <c r="LG11" s="131"/>
      <c r="LH11" s="131"/>
      <c r="LI11" s="131"/>
      <c r="LJ11" s="131"/>
      <c r="LK11" s="131"/>
      <c r="LL11" s="131"/>
      <c r="LM11" s="131"/>
      <c r="LN11" s="131"/>
      <c r="LO11" s="131"/>
      <c r="LP11" s="131"/>
      <c r="LQ11" s="131"/>
      <c r="LR11" s="131"/>
      <c r="LS11" s="131"/>
      <c r="LT11" s="131"/>
      <c r="LU11" s="131"/>
      <c r="LV11" s="131"/>
      <c r="LW11" s="131"/>
      <c r="LX11" s="131"/>
      <c r="LY11" s="131"/>
      <c r="LZ11" s="131"/>
      <c r="MA11" s="131"/>
      <c r="MB11" s="131"/>
      <c r="MC11" s="131"/>
      <c r="MD11" s="131"/>
      <c r="ME11" s="131"/>
      <c r="MF11" s="131"/>
      <c r="MG11" s="131"/>
      <c r="MH11" s="131"/>
      <c r="MI11" s="131"/>
      <c r="MJ11" s="131"/>
      <c r="MK11" s="131"/>
      <c r="ML11" s="131"/>
      <c r="MM11" s="131"/>
      <c r="MN11" s="131"/>
      <c r="MO11" s="131"/>
      <c r="MP11" s="131"/>
      <c r="MQ11" s="131"/>
      <c r="MR11" s="131"/>
      <c r="MS11" s="131"/>
      <c r="MT11" s="131"/>
      <c r="MU11" s="131"/>
      <c r="MV11" s="131"/>
      <c r="MW11" s="131"/>
      <c r="MX11" s="131"/>
      <c r="MY11" s="131"/>
      <c r="MZ11" s="131"/>
      <c r="NA11" s="131"/>
      <c r="NB11" s="131"/>
      <c r="NC11" s="131"/>
      <c r="ND11" s="131"/>
      <c r="NE11" s="131"/>
      <c r="NF11" s="131"/>
      <c r="NG11" s="131"/>
      <c r="NH11" s="131"/>
      <c r="NI11" s="131"/>
      <c r="NJ11" s="131"/>
      <c r="NK11" s="131"/>
      <c r="NL11" s="131"/>
      <c r="NM11" s="131"/>
      <c r="NN11" s="131"/>
      <c r="NO11" s="131"/>
      <c r="NP11" s="131"/>
      <c r="NQ11" s="131"/>
      <c r="NR11" s="131"/>
      <c r="NS11" s="131"/>
      <c r="NT11" s="131"/>
      <c r="NU11" s="131"/>
      <c r="NV11" s="131"/>
      <c r="NW11" s="24">
        <f t="shared" si="5"/>
        <v>0</v>
      </c>
      <c r="NX11" s="56" t="s">
        <v>36</v>
      </c>
      <c r="NY11" s="127">
        <v>6670.8</v>
      </c>
      <c r="NZ11" s="78">
        <f t="shared" si="2"/>
        <v>291.08</v>
      </c>
      <c r="OA11" s="78">
        <v>4990</v>
      </c>
      <c r="OB11" s="127">
        <f t="shared" si="0"/>
        <v>6379.72</v>
      </c>
      <c r="OC11" s="153">
        <v>291.08</v>
      </c>
      <c r="OD11" s="108">
        <f t="shared" si="1"/>
        <v>1.3368336673346695</v>
      </c>
      <c r="OE11" s="160">
        <v>44571</v>
      </c>
    </row>
    <row r="12" spans="1:395" s="5" customFormat="1" ht="12.75" hidden="1" customHeight="1" x14ac:dyDescent="0.25">
      <c r="A12" s="62">
        <v>44452</v>
      </c>
      <c r="B12" s="116" t="s">
        <v>81</v>
      </c>
      <c r="C12" s="129"/>
      <c r="D12" s="129"/>
      <c r="E12" s="130"/>
      <c r="F12" s="130"/>
      <c r="G12" s="130"/>
      <c r="H12" s="130"/>
      <c r="I12" s="130"/>
      <c r="J12" s="130"/>
      <c r="K12" s="130"/>
      <c r="L12" s="130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  <c r="BY12" s="131"/>
      <c r="BZ12" s="131"/>
      <c r="CA12" s="131"/>
      <c r="CB12" s="131"/>
      <c r="CC12" s="131"/>
      <c r="CD12" s="131"/>
      <c r="CE12" s="131"/>
      <c r="CF12" s="131"/>
      <c r="CG12" s="131"/>
      <c r="CH12" s="131"/>
      <c r="CI12" s="131"/>
      <c r="CJ12" s="131"/>
      <c r="CK12" s="131"/>
      <c r="CL12" s="131"/>
      <c r="CM12" s="131"/>
      <c r="CN12" s="131"/>
      <c r="CO12" s="131"/>
      <c r="CP12" s="131"/>
      <c r="CQ12" s="131"/>
      <c r="CR12" s="131"/>
      <c r="CS12" s="131"/>
      <c r="CT12" s="131"/>
      <c r="CU12" s="131"/>
      <c r="CV12" s="131"/>
      <c r="CW12" s="131"/>
      <c r="CX12" s="131"/>
      <c r="CY12" s="131"/>
      <c r="CZ12" s="131"/>
      <c r="DA12" s="131"/>
      <c r="DB12" s="131"/>
      <c r="DC12" s="131"/>
      <c r="DD12" s="131"/>
      <c r="DE12" s="131"/>
      <c r="DF12" s="131"/>
      <c r="DG12" s="131"/>
      <c r="DH12" s="131"/>
      <c r="DI12" s="131"/>
      <c r="DJ12" s="131"/>
      <c r="DK12" s="131"/>
      <c r="DL12" s="131"/>
      <c r="DM12" s="131"/>
      <c r="DN12" s="131"/>
      <c r="DO12" s="131"/>
      <c r="DP12" s="131"/>
      <c r="DQ12" s="131"/>
      <c r="DR12" s="131"/>
      <c r="DS12" s="131"/>
      <c r="DT12" s="131"/>
      <c r="DU12" s="131"/>
      <c r="DV12" s="131"/>
      <c r="DW12" s="131"/>
      <c r="DX12" s="131"/>
      <c r="DY12" s="131"/>
      <c r="DZ12" s="131"/>
      <c r="EA12" s="131"/>
      <c r="EB12" s="131"/>
      <c r="EC12" s="131"/>
      <c r="ED12" s="131"/>
      <c r="EE12" s="131"/>
      <c r="EF12" s="131"/>
      <c r="EG12" s="131"/>
      <c r="EH12" s="131"/>
      <c r="EI12" s="131"/>
      <c r="EJ12" s="131"/>
      <c r="EK12" s="131"/>
      <c r="EL12" s="131"/>
      <c r="EM12" s="131"/>
      <c r="EN12" s="131"/>
      <c r="EO12" s="131"/>
      <c r="EP12" s="131"/>
      <c r="EQ12" s="131"/>
      <c r="ER12" s="131"/>
      <c r="ES12" s="131"/>
      <c r="ET12" s="131"/>
      <c r="EU12" s="131"/>
      <c r="EV12" s="131"/>
      <c r="EW12" s="131"/>
      <c r="EX12" s="131"/>
      <c r="EY12" s="131"/>
      <c r="EZ12" s="131"/>
      <c r="FA12" s="131"/>
      <c r="FB12" s="131"/>
      <c r="FC12" s="131"/>
      <c r="FD12" s="131"/>
      <c r="FE12" s="131"/>
      <c r="FF12" s="131"/>
      <c r="FG12" s="131"/>
      <c r="FH12" s="131"/>
      <c r="FI12" s="131"/>
      <c r="FJ12" s="131"/>
      <c r="FK12" s="131"/>
      <c r="FL12" s="131"/>
      <c r="FM12" s="131"/>
      <c r="FN12" s="131"/>
      <c r="FO12" s="131"/>
      <c r="FP12" s="131"/>
      <c r="FQ12" s="131"/>
      <c r="FR12" s="131"/>
      <c r="FS12" s="131"/>
      <c r="FT12" s="131"/>
      <c r="FU12" s="131"/>
      <c r="FV12" s="131"/>
      <c r="FW12" s="131"/>
      <c r="FX12" s="131"/>
      <c r="FY12" s="131"/>
      <c r="FZ12" s="131"/>
      <c r="GA12" s="131"/>
      <c r="GB12" s="131"/>
      <c r="GC12" s="131"/>
      <c r="GD12" s="131"/>
      <c r="GE12" s="131"/>
      <c r="GF12" s="131"/>
      <c r="GG12" s="131"/>
      <c r="GH12" s="131"/>
      <c r="GI12" s="131"/>
      <c r="GJ12" s="131"/>
      <c r="GK12" s="131"/>
      <c r="GL12" s="131"/>
      <c r="GM12" s="131"/>
      <c r="GN12" s="131"/>
      <c r="GO12" s="131"/>
      <c r="GP12" s="131"/>
      <c r="GQ12" s="131"/>
      <c r="GR12" s="131"/>
      <c r="GS12" s="131"/>
      <c r="GT12" s="131"/>
      <c r="GU12" s="131"/>
      <c r="GV12" s="131"/>
      <c r="GW12" s="131"/>
      <c r="GX12" s="131"/>
      <c r="GY12" s="131"/>
      <c r="GZ12" s="131"/>
      <c r="HA12" s="131"/>
      <c r="HB12" s="131"/>
      <c r="HC12" s="131"/>
      <c r="HD12" s="131"/>
      <c r="HE12" s="131"/>
      <c r="HF12" s="131"/>
      <c r="HG12" s="131"/>
      <c r="HH12" s="131"/>
      <c r="HI12" s="131"/>
      <c r="HJ12" s="131"/>
      <c r="HK12" s="131"/>
      <c r="HL12" s="131"/>
      <c r="HM12" s="131"/>
      <c r="HN12" s="131"/>
      <c r="HO12" s="131"/>
      <c r="HP12" s="131"/>
      <c r="HQ12" s="131"/>
      <c r="HR12" s="131"/>
      <c r="HS12" s="131"/>
      <c r="HT12" s="131"/>
      <c r="HU12" s="131"/>
      <c r="HV12" s="131"/>
      <c r="HW12" s="131"/>
      <c r="HX12" s="131"/>
      <c r="HY12" s="131"/>
      <c r="HZ12" s="131"/>
      <c r="IA12" s="131"/>
      <c r="IB12" s="131"/>
      <c r="IC12" s="131"/>
      <c r="ID12" s="131"/>
      <c r="IE12" s="131"/>
      <c r="IF12" s="131"/>
      <c r="IG12" s="131"/>
      <c r="IH12" s="131"/>
      <c r="II12" s="131"/>
      <c r="IJ12" s="131"/>
      <c r="IK12" s="131"/>
      <c r="IL12" s="131"/>
      <c r="IM12" s="131"/>
      <c r="IN12" s="131"/>
      <c r="IO12" s="131"/>
      <c r="IP12" s="131"/>
      <c r="IQ12" s="131"/>
      <c r="IR12" s="131"/>
      <c r="IS12" s="131"/>
      <c r="IT12" s="131"/>
      <c r="IU12" s="131"/>
      <c r="IV12" s="131"/>
      <c r="IW12" s="131"/>
      <c r="IX12" s="131"/>
      <c r="IY12" s="131"/>
      <c r="IZ12" s="131"/>
      <c r="JA12" s="131"/>
      <c r="JB12" s="131"/>
      <c r="JC12" s="131"/>
      <c r="JD12" s="131"/>
      <c r="JE12" s="131"/>
      <c r="JF12" s="131"/>
      <c r="JG12" s="131"/>
      <c r="JH12" s="131"/>
      <c r="JI12" s="131"/>
      <c r="JJ12" s="131"/>
      <c r="JK12" s="131"/>
      <c r="JL12" s="131"/>
      <c r="JM12" s="131"/>
      <c r="JN12" s="131"/>
      <c r="JO12" s="131"/>
      <c r="JP12" s="131"/>
      <c r="JQ12" s="131"/>
      <c r="JR12" s="131"/>
      <c r="JS12" s="131"/>
      <c r="JT12" s="131"/>
      <c r="JU12" s="131"/>
      <c r="JV12" s="131"/>
      <c r="JW12" s="131"/>
      <c r="JX12" s="131"/>
      <c r="JY12" s="131"/>
      <c r="JZ12" s="131"/>
      <c r="KA12" s="131"/>
      <c r="KB12" s="131"/>
      <c r="KC12" s="131"/>
      <c r="KD12" s="131"/>
      <c r="KE12" s="131"/>
      <c r="KF12" s="131"/>
      <c r="KG12" s="131"/>
      <c r="KH12" s="131"/>
      <c r="KI12" s="131"/>
      <c r="KJ12" s="131"/>
      <c r="KK12" s="131"/>
      <c r="KL12" s="131"/>
      <c r="KM12" s="131"/>
      <c r="KN12" s="131"/>
      <c r="KO12" s="131"/>
      <c r="KP12" s="131"/>
      <c r="KQ12" s="131"/>
      <c r="KR12" s="131"/>
      <c r="KS12" s="131"/>
      <c r="KT12" s="131"/>
      <c r="KU12" s="131"/>
      <c r="KV12" s="131"/>
      <c r="KW12" s="131"/>
      <c r="KX12" s="131"/>
      <c r="KY12" s="131"/>
      <c r="KZ12" s="131"/>
      <c r="LA12" s="131"/>
      <c r="LB12" s="131"/>
      <c r="LC12" s="131"/>
      <c r="LD12" s="131"/>
      <c r="LE12" s="131"/>
      <c r="LF12" s="131"/>
      <c r="LG12" s="131"/>
      <c r="LH12" s="131"/>
      <c r="LI12" s="131"/>
      <c r="LJ12" s="131"/>
      <c r="LK12" s="131"/>
      <c r="LL12" s="131"/>
      <c r="LM12" s="131"/>
      <c r="LN12" s="131"/>
      <c r="LO12" s="131"/>
      <c r="LP12" s="131"/>
      <c r="LQ12" s="131"/>
      <c r="LR12" s="131"/>
      <c r="LS12" s="131"/>
      <c r="LT12" s="131"/>
      <c r="LU12" s="131"/>
      <c r="LV12" s="131"/>
      <c r="LW12" s="131"/>
      <c r="LX12" s="131"/>
      <c r="LY12" s="131"/>
      <c r="LZ12" s="131"/>
      <c r="MA12" s="131"/>
      <c r="MB12" s="131"/>
      <c r="MC12" s="131"/>
      <c r="MD12" s="131"/>
      <c r="ME12" s="131"/>
      <c r="MF12" s="131"/>
      <c r="MG12" s="131"/>
      <c r="MH12" s="131"/>
      <c r="MI12" s="131"/>
      <c r="MJ12" s="131"/>
      <c r="MK12" s="131"/>
      <c r="ML12" s="131"/>
      <c r="MM12" s="131"/>
      <c r="MN12" s="131"/>
      <c r="MO12" s="131"/>
      <c r="MP12" s="131"/>
      <c r="MQ12" s="131"/>
      <c r="MR12" s="131"/>
      <c r="MS12" s="131"/>
      <c r="MT12" s="131"/>
      <c r="MU12" s="131"/>
      <c r="MV12" s="131"/>
      <c r="MW12" s="131"/>
      <c r="MX12" s="131"/>
      <c r="MY12" s="131"/>
      <c r="MZ12" s="131"/>
      <c r="NA12" s="131"/>
      <c r="NB12" s="131"/>
      <c r="NC12" s="131"/>
      <c r="ND12" s="131"/>
      <c r="NE12" s="131"/>
      <c r="NF12" s="131"/>
      <c r="NG12" s="131"/>
      <c r="NH12" s="131"/>
      <c r="NI12" s="131"/>
      <c r="NJ12" s="131"/>
      <c r="NK12" s="131"/>
      <c r="NL12" s="131"/>
      <c r="NM12" s="131"/>
      <c r="NN12" s="131"/>
      <c r="NO12" s="131"/>
      <c r="NP12" s="131"/>
      <c r="NQ12" s="131"/>
      <c r="NR12" s="131"/>
      <c r="NS12" s="131"/>
      <c r="NT12" s="131"/>
      <c r="NU12" s="131"/>
      <c r="NV12" s="131"/>
      <c r="NW12" s="24">
        <f t="shared" ref="NW12:NW13" si="6">SUBTOTAL(9,C12:NV12)</f>
        <v>0</v>
      </c>
      <c r="NX12" s="56" t="s">
        <v>253</v>
      </c>
      <c r="NY12" s="127">
        <v>2937.85</v>
      </c>
      <c r="NZ12" s="78">
        <f t="shared" si="2"/>
        <v>2937.85</v>
      </c>
      <c r="OA12" s="78">
        <v>5074.7700000000004</v>
      </c>
      <c r="OB12" s="127">
        <f t="shared" si="0"/>
        <v>0</v>
      </c>
      <c r="OC12" s="153">
        <v>2937.85</v>
      </c>
      <c r="OD12" s="108">
        <f t="shared" si="1"/>
        <v>0.57891293595571813</v>
      </c>
      <c r="OE12" s="160" t="s">
        <v>492</v>
      </c>
    </row>
    <row r="13" spans="1:395" s="5" customFormat="1" ht="12.75" hidden="1" customHeight="1" x14ac:dyDescent="0.25">
      <c r="A13" s="62">
        <v>44456</v>
      </c>
      <c r="B13" s="116" t="s">
        <v>81</v>
      </c>
      <c r="C13" s="129"/>
      <c r="D13" s="129"/>
      <c r="E13" s="130"/>
      <c r="F13" s="130"/>
      <c r="G13" s="130"/>
      <c r="H13" s="130"/>
      <c r="I13" s="130"/>
      <c r="J13" s="130"/>
      <c r="K13" s="130"/>
      <c r="L13" s="130"/>
      <c r="M13" s="131"/>
      <c r="N13" s="131"/>
      <c r="O13" s="131"/>
      <c r="P13" s="131"/>
      <c r="Q13" s="131"/>
      <c r="R13" s="131"/>
      <c r="S13" s="131"/>
      <c r="T13" s="131"/>
      <c r="U13" s="131"/>
      <c r="V13" s="131"/>
      <c r="W13" s="131"/>
      <c r="X13" s="131"/>
      <c r="Y13" s="131"/>
      <c r="Z13" s="131"/>
      <c r="AA13" s="131"/>
      <c r="AB13" s="131"/>
      <c r="AC13" s="131"/>
      <c r="AD13" s="131"/>
      <c r="AE13" s="131"/>
      <c r="AF13" s="131"/>
      <c r="AG13" s="131"/>
      <c r="AH13" s="131"/>
      <c r="AI13" s="131"/>
      <c r="AJ13" s="131"/>
      <c r="AK13" s="131"/>
      <c r="AL13" s="131"/>
      <c r="AM13" s="131"/>
      <c r="AN13" s="131"/>
      <c r="AO13" s="131"/>
      <c r="AP13" s="131"/>
      <c r="AQ13" s="131"/>
      <c r="AR13" s="131"/>
      <c r="AS13" s="131"/>
      <c r="AT13" s="131"/>
      <c r="AU13" s="131"/>
      <c r="AV13" s="131"/>
      <c r="AW13" s="131"/>
      <c r="AX13" s="131"/>
      <c r="AY13" s="131"/>
      <c r="AZ13" s="131"/>
      <c r="BA13" s="131"/>
      <c r="BB13" s="131"/>
      <c r="BC13" s="131"/>
      <c r="BD13" s="131"/>
      <c r="BE13" s="131"/>
      <c r="BF13" s="131"/>
      <c r="BG13" s="131"/>
      <c r="BH13" s="131"/>
      <c r="BI13" s="131"/>
      <c r="BJ13" s="131"/>
      <c r="BK13" s="131"/>
      <c r="BL13" s="131"/>
      <c r="BM13" s="131"/>
      <c r="BN13" s="131"/>
      <c r="BO13" s="131"/>
      <c r="BP13" s="131"/>
      <c r="BQ13" s="131"/>
      <c r="BR13" s="131"/>
      <c r="BS13" s="131"/>
      <c r="BT13" s="131"/>
      <c r="BU13" s="131"/>
      <c r="BV13" s="131"/>
      <c r="BW13" s="131"/>
      <c r="BX13" s="131"/>
      <c r="BY13" s="131"/>
      <c r="BZ13" s="131"/>
      <c r="CA13" s="131"/>
      <c r="CB13" s="131"/>
      <c r="CC13" s="131"/>
      <c r="CD13" s="131"/>
      <c r="CE13" s="131"/>
      <c r="CF13" s="131"/>
      <c r="CG13" s="131"/>
      <c r="CH13" s="131"/>
      <c r="CI13" s="131"/>
      <c r="CJ13" s="131"/>
      <c r="CK13" s="131"/>
      <c r="CL13" s="131"/>
      <c r="CM13" s="131"/>
      <c r="CN13" s="131"/>
      <c r="CO13" s="131"/>
      <c r="CP13" s="131"/>
      <c r="CQ13" s="131"/>
      <c r="CR13" s="131"/>
      <c r="CS13" s="131"/>
      <c r="CT13" s="131"/>
      <c r="CU13" s="131"/>
      <c r="CV13" s="131"/>
      <c r="CW13" s="131"/>
      <c r="CX13" s="131"/>
      <c r="CY13" s="131"/>
      <c r="CZ13" s="131"/>
      <c r="DA13" s="131"/>
      <c r="DB13" s="131"/>
      <c r="DC13" s="131"/>
      <c r="DD13" s="131"/>
      <c r="DE13" s="131"/>
      <c r="DF13" s="131"/>
      <c r="DG13" s="131"/>
      <c r="DH13" s="131"/>
      <c r="DI13" s="131"/>
      <c r="DJ13" s="131"/>
      <c r="DK13" s="131"/>
      <c r="DL13" s="131"/>
      <c r="DM13" s="131"/>
      <c r="DN13" s="131"/>
      <c r="DO13" s="131"/>
      <c r="DP13" s="131"/>
      <c r="DQ13" s="131"/>
      <c r="DR13" s="131"/>
      <c r="DS13" s="131"/>
      <c r="DT13" s="131"/>
      <c r="DU13" s="131"/>
      <c r="DV13" s="131"/>
      <c r="DW13" s="131"/>
      <c r="DX13" s="131"/>
      <c r="DY13" s="131"/>
      <c r="DZ13" s="131"/>
      <c r="EA13" s="131"/>
      <c r="EB13" s="131"/>
      <c r="EC13" s="131"/>
      <c r="ED13" s="131"/>
      <c r="EE13" s="131"/>
      <c r="EF13" s="131"/>
      <c r="EG13" s="131"/>
      <c r="EH13" s="131"/>
      <c r="EI13" s="131"/>
      <c r="EJ13" s="131"/>
      <c r="EK13" s="131"/>
      <c r="EL13" s="131"/>
      <c r="EM13" s="131"/>
      <c r="EN13" s="131"/>
      <c r="EO13" s="131"/>
      <c r="EP13" s="131"/>
      <c r="EQ13" s="131"/>
      <c r="ER13" s="131"/>
      <c r="ES13" s="131"/>
      <c r="ET13" s="131"/>
      <c r="EU13" s="131"/>
      <c r="EV13" s="131"/>
      <c r="EW13" s="131"/>
      <c r="EX13" s="131"/>
      <c r="EY13" s="131"/>
      <c r="EZ13" s="131"/>
      <c r="FA13" s="131"/>
      <c r="FB13" s="131"/>
      <c r="FC13" s="131"/>
      <c r="FD13" s="131"/>
      <c r="FE13" s="131"/>
      <c r="FF13" s="131"/>
      <c r="FG13" s="131"/>
      <c r="FH13" s="131"/>
      <c r="FI13" s="131"/>
      <c r="FJ13" s="131"/>
      <c r="FK13" s="131"/>
      <c r="FL13" s="131"/>
      <c r="FM13" s="131"/>
      <c r="FN13" s="131"/>
      <c r="FO13" s="131"/>
      <c r="FP13" s="131"/>
      <c r="FQ13" s="131"/>
      <c r="FR13" s="131"/>
      <c r="FS13" s="131"/>
      <c r="FT13" s="131"/>
      <c r="FU13" s="131"/>
      <c r="FV13" s="131"/>
      <c r="FW13" s="131"/>
      <c r="FX13" s="131"/>
      <c r="FY13" s="131"/>
      <c r="FZ13" s="131"/>
      <c r="GA13" s="131"/>
      <c r="GB13" s="131"/>
      <c r="GC13" s="131"/>
      <c r="GD13" s="131"/>
      <c r="GE13" s="131"/>
      <c r="GF13" s="131"/>
      <c r="GG13" s="131"/>
      <c r="GH13" s="131"/>
      <c r="GI13" s="131"/>
      <c r="GJ13" s="131"/>
      <c r="GK13" s="131"/>
      <c r="GL13" s="131"/>
      <c r="GM13" s="131"/>
      <c r="GN13" s="131"/>
      <c r="GO13" s="131"/>
      <c r="GP13" s="131"/>
      <c r="GQ13" s="131"/>
      <c r="GR13" s="131"/>
      <c r="GS13" s="131"/>
      <c r="GT13" s="131"/>
      <c r="GU13" s="131"/>
      <c r="GV13" s="131"/>
      <c r="GW13" s="131"/>
      <c r="GX13" s="131"/>
      <c r="GY13" s="131"/>
      <c r="GZ13" s="131"/>
      <c r="HA13" s="131"/>
      <c r="HB13" s="131"/>
      <c r="HC13" s="131"/>
      <c r="HD13" s="131"/>
      <c r="HE13" s="131"/>
      <c r="HF13" s="131"/>
      <c r="HG13" s="131"/>
      <c r="HH13" s="131"/>
      <c r="HI13" s="131"/>
      <c r="HJ13" s="131"/>
      <c r="HK13" s="131"/>
      <c r="HL13" s="131"/>
      <c r="HM13" s="131"/>
      <c r="HN13" s="131"/>
      <c r="HO13" s="131"/>
      <c r="HP13" s="131"/>
      <c r="HQ13" s="131"/>
      <c r="HR13" s="131"/>
      <c r="HS13" s="131"/>
      <c r="HT13" s="131"/>
      <c r="HU13" s="131"/>
      <c r="HV13" s="131"/>
      <c r="HW13" s="131"/>
      <c r="HX13" s="131"/>
      <c r="HY13" s="131"/>
      <c r="HZ13" s="131"/>
      <c r="IA13" s="131"/>
      <c r="IB13" s="131"/>
      <c r="IC13" s="131"/>
      <c r="ID13" s="131"/>
      <c r="IE13" s="131"/>
      <c r="IF13" s="131"/>
      <c r="IG13" s="131"/>
      <c r="IH13" s="131"/>
      <c r="II13" s="131"/>
      <c r="IJ13" s="131"/>
      <c r="IK13" s="131"/>
      <c r="IL13" s="131"/>
      <c r="IM13" s="131"/>
      <c r="IN13" s="131"/>
      <c r="IO13" s="131"/>
      <c r="IP13" s="131"/>
      <c r="IQ13" s="131"/>
      <c r="IR13" s="131"/>
      <c r="IS13" s="131"/>
      <c r="IT13" s="131"/>
      <c r="IU13" s="131"/>
      <c r="IV13" s="131"/>
      <c r="IW13" s="131"/>
      <c r="IX13" s="131"/>
      <c r="IY13" s="131"/>
      <c r="IZ13" s="131"/>
      <c r="JA13" s="131"/>
      <c r="JB13" s="131"/>
      <c r="JC13" s="131"/>
      <c r="JD13" s="131"/>
      <c r="JE13" s="131"/>
      <c r="JF13" s="131"/>
      <c r="JG13" s="131"/>
      <c r="JH13" s="131"/>
      <c r="JI13" s="131"/>
      <c r="JJ13" s="131"/>
      <c r="JK13" s="131"/>
      <c r="JL13" s="131"/>
      <c r="JM13" s="131"/>
      <c r="JN13" s="131"/>
      <c r="JO13" s="131"/>
      <c r="JP13" s="131"/>
      <c r="JQ13" s="131"/>
      <c r="JR13" s="131"/>
      <c r="JS13" s="131"/>
      <c r="JT13" s="131"/>
      <c r="JU13" s="131"/>
      <c r="JV13" s="131"/>
      <c r="JW13" s="131"/>
      <c r="JX13" s="131"/>
      <c r="JY13" s="131"/>
      <c r="JZ13" s="131"/>
      <c r="KA13" s="131"/>
      <c r="KB13" s="131"/>
      <c r="KC13" s="131"/>
      <c r="KD13" s="131"/>
      <c r="KE13" s="131"/>
      <c r="KF13" s="131"/>
      <c r="KG13" s="131"/>
      <c r="KH13" s="131"/>
      <c r="KI13" s="131"/>
      <c r="KJ13" s="131"/>
      <c r="KK13" s="131"/>
      <c r="KL13" s="131"/>
      <c r="KM13" s="131"/>
      <c r="KN13" s="131"/>
      <c r="KO13" s="131"/>
      <c r="KP13" s="131"/>
      <c r="KQ13" s="131"/>
      <c r="KR13" s="131"/>
      <c r="KS13" s="131"/>
      <c r="KT13" s="131"/>
      <c r="KU13" s="131"/>
      <c r="KV13" s="131"/>
      <c r="KW13" s="131"/>
      <c r="KX13" s="131"/>
      <c r="KY13" s="131"/>
      <c r="KZ13" s="131"/>
      <c r="LA13" s="131"/>
      <c r="LB13" s="131"/>
      <c r="LC13" s="131"/>
      <c r="LD13" s="131"/>
      <c r="LE13" s="131"/>
      <c r="LF13" s="131"/>
      <c r="LG13" s="131"/>
      <c r="LH13" s="131"/>
      <c r="LI13" s="131"/>
      <c r="LJ13" s="131"/>
      <c r="LK13" s="131"/>
      <c r="LL13" s="131"/>
      <c r="LM13" s="131"/>
      <c r="LN13" s="131"/>
      <c r="LO13" s="131"/>
      <c r="LP13" s="131"/>
      <c r="LQ13" s="131"/>
      <c r="LR13" s="131"/>
      <c r="LS13" s="131"/>
      <c r="LT13" s="131"/>
      <c r="LU13" s="131"/>
      <c r="LV13" s="131"/>
      <c r="LW13" s="131"/>
      <c r="LX13" s="131"/>
      <c r="LY13" s="131"/>
      <c r="LZ13" s="131"/>
      <c r="MA13" s="131"/>
      <c r="MB13" s="131"/>
      <c r="MC13" s="131"/>
      <c r="MD13" s="131"/>
      <c r="ME13" s="131"/>
      <c r="MF13" s="131"/>
      <c r="MG13" s="131"/>
      <c r="MH13" s="131"/>
      <c r="MI13" s="131"/>
      <c r="MJ13" s="131"/>
      <c r="MK13" s="131"/>
      <c r="ML13" s="131"/>
      <c r="MM13" s="131"/>
      <c r="MN13" s="131"/>
      <c r="MO13" s="131"/>
      <c r="MP13" s="131"/>
      <c r="MQ13" s="131"/>
      <c r="MR13" s="131"/>
      <c r="MS13" s="131"/>
      <c r="MT13" s="131"/>
      <c r="MU13" s="131"/>
      <c r="MV13" s="131"/>
      <c r="MW13" s="131"/>
      <c r="MX13" s="131"/>
      <c r="MY13" s="131"/>
      <c r="MZ13" s="131"/>
      <c r="NA13" s="131"/>
      <c r="NB13" s="131"/>
      <c r="NC13" s="131"/>
      <c r="ND13" s="131"/>
      <c r="NE13" s="131"/>
      <c r="NF13" s="131"/>
      <c r="NG13" s="131"/>
      <c r="NH13" s="131"/>
      <c r="NI13" s="131"/>
      <c r="NJ13" s="131"/>
      <c r="NK13" s="131"/>
      <c r="NL13" s="131"/>
      <c r="NM13" s="131"/>
      <c r="NN13" s="131"/>
      <c r="NO13" s="131"/>
      <c r="NP13" s="131"/>
      <c r="NQ13" s="131"/>
      <c r="NR13" s="131"/>
      <c r="NS13" s="131"/>
      <c r="NT13" s="131"/>
      <c r="NU13" s="131"/>
      <c r="NV13" s="131"/>
      <c r="NW13" s="24">
        <f t="shared" si="6"/>
        <v>0</v>
      </c>
      <c r="NX13" s="56" t="s">
        <v>253</v>
      </c>
      <c r="NY13" s="127">
        <v>1006.5</v>
      </c>
      <c r="NZ13" s="78">
        <f t="shared" si="2"/>
        <v>1006.5</v>
      </c>
      <c r="OA13" s="78">
        <v>622.25</v>
      </c>
      <c r="OB13" s="127">
        <f t="shared" si="0"/>
        <v>0</v>
      </c>
      <c r="OC13" s="153">
        <v>1006.5</v>
      </c>
      <c r="OD13" s="108">
        <f t="shared" si="1"/>
        <v>1.6175170751305745</v>
      </c>
      <c r="OE13" s="160" t="s">
        <v>497</v>
      </c>
    </row>
    <row r="14" spans="1:395" s="5" customFormat="1" ht="12.75" customHeight="1" x14ac:dyDescent="0.25">
      <c r="A14" s="62">
        <v>44461</v>
      </c>
      <c r="B14" s="116" t="s">
        <v>57</v>
      </c>
      <c r="C14" s="129"/>
      <c r="D14" s="129"/>
      <c r="E14" s="130"/>
      <c r="F14" s="130"/>
      <c r="G14" s="130"/>
      <c r="H14" s="130"/>
      <c r="I14" s="130"/>
      <c r="J14" s="130"/>
      <c r="K14" s="130"/>
      <c r="L14" s="130"/>
      <c r="M14" s="131"/>
      <c r="N14" s="131"/>
      <c r="O14" s="131"/>
      <c r="P14" s="131"/>
      <c r="Q14" s="131"/>
      <c r="R14" s="131"/>
      <c r="S14" s="131"/>
      <c r="T14" s="131"/>
      <c r="U14" s="131"/>
      <c r="V14" s="131"/>
      <c r="W14" s="131"/>
      <c r="X14" s="131"/>
      <c r="Y14" s="131"/>
      <c r="Z14" s="131"/>
      <c r="AA14" s="131"/>
      <c r="AB14" s="131"/>
      <c r="AC14" s="131"/>
      <c r="AD14" s="131"/>
      <c r="AE14" s="131"/>
      <c r="AF14" s="131"/>
      <c r="AG14" s="131"/>
      <c r="AH14" s="131"/>
      <c r="AI14" s="131"/>
      <c r="AJ14" s="131"/>
      <c r="AK14" s="131"/>
      <c r="AL14" s="131"/>
      <c r="AM14" s="131"/>
      <c r="AN14" s="131"/>
      <c r="AO14" s="131"/>
      <c r="AP14" s="131"/>
      <c r="AQ14" s="131"/>
      <c r="AR14" s="131"/>
      <c r="AS14" s="131"/>
      <c r="AT14" s="131"/>
      <c r="AU14" s="131"/>
      <c r="AV14" s="131"/>
      <c r="AW14" s="131"/>
      <c r="AX14" s="131"/>
      <c r="AY14" s="131"/>
      <c r="AZ14" s="131"/>
      <c r="BA14" s="131"/>
      <c r="BB14" s="131"/>
      <c r="BC14" s="131"/>
      <c r="BD14" s="131"/>
      <c r="BE14" s="131"/>
      <c r="BF14" s="131"/>
      <c r="BG14" s="131"/>
      <c r="BH14" s="131"/>
      <c r="BI14" s="131"/>
      <c r="BJ14" s="131"/>
      <c r="BK14" s="131"/>
      <c r="BL14" s="131"/>
      <c r="BM14" s="131"/>
      <c r="BN14" s="131"/>
      <c r="BO14" s="131"/>
      <c r="BP14" s="131"/>
      <c r="BQ14" s="131"/>
      <c r="BR14" s="131"/>
      <c r="BS14" s="131"/>
      <c r="BT14" s="131"/>
      <c r="BU14" s="131"/>
      <c r="BV14" s="131"/>
      <c r="BW14" s="131"/>
      <c r="BX14" s="131"/>
      <c r="BY14" s="131"/>
      <c r="BZ14" s="131"/>
      <c r="CA14" s="131"/>
      <c r="CB14" s="131"/>
      <c r="CC14" s="131"/>
      <c r="CD14" s="131"/>
      <c r="CE14" s="131"/>
      <c r="CF14" s="131"/>
      <c r="CG14" s="131"/>
      <c r="CH14" s="131"/>
      <c r="CI14" s="131"/>
      <c r="CJ14" s="131"/>
      <c r="CK14" s="131"/>
      <c r="CL14" s="131"/>
      <c r="CM14" s="131"/>
      <c r="CN14" s="131"/>
      <c r="CO14" s="131"/>
      <c r="CP14" s="131"/>
      <c r="CQ14" s="131"/>
      <c r="CR14" s="131"/>
      <c r="CS14" s="131"/>
      <c r="CT14" s="131"/>
      <c r="CU14" s="131"/>
      <c r="CV14" s="131"/>
      <c r="CW14" s="131"/>
      <c r="CX14" s="131"/>
      <c r="CY14" s="131"/>
      <c r="CZ14" s="131"/>
      <c r="DA14" s="131"/>
      <c r="DB14" s="131"/>
      <c r="DC14" s="131"/>
      <c r="DD14" s="131"/>
      <c r="DE14" s="131"/>
      <c r="DF14" s="131"/>
      <c r="DG14" s="131"/>
      <c r="DH14" s="131"/>
      <c r="DI14" s="131"/>
      <c r="DJ14" s="131"/>
      <c r="DK14" s="131"/>
      <c r="DL14" s="131"/>
      <c r="DM14" s="131"/>
      <c r="DN14" s="131"/>
      <c r="DO14" s="131"/>
      <c r="DP14" s="131"/>
      <c r="DQ14" s="131"/>
      <c r="DR14" s="131"/>
      <c r="DS14" s="131"/>
      <c r="DT14" s="131"/>
      <c r="DU14" s="131"/>
      <c r="DV14" s="131"/>
      <c r="DW14" s="131"/>
      <c r="DX14" s="131"/>
      <c r="DY14" s="131"/>
      <c r="DZ14" s="131"/>
      <c r="EA14" s="131"/>
      <c r="EB14" s="131"/>
      <c r="EC14" s="131"/>
      <c r="ED14" s="131"/>
      <c r="EE14" s="131"/>
      <c r="EF14" s="131"/>
      <c r="EG14" s="131"/>
      <c r="EH14" s="131"/>
      <c r="EI14" s="131"/>
      <c r="EJ14" s="131"/>
      <c r="EK14" s="131"/>
      <c r="EL14" s="131"/>
      <c r="EM14" s="131"/>
      <c r="EN14" s="131"/>
      <c r="EO14" s="131"/>
      <c r="EP14" s="131"/>
      <c r="EQ14" s="131"/>
      <c r="ER14" s="131"/>
      <c r="ES14" s="131"/>
      <c r="ET14" s="131"/>
      <c r="EU14" s="131"/>
      <c r="EV14" s="131"/>
      <c r="EW14" s="131"/>
      <c r="EX14" s="131"/>
      <c r="EY14" s="131"/>
      <c r="EZ14" s="131"/>
      <c r="FA14" s="131"/>
      <c r="FB14" s="131"/>
      <c r="FC14" s="131"/>
      <c r="FD14" s="131"/>
      <c r="FE14" s="131"/>
      <c r="FF14" s="131"/>
      <c r="FG14" s="131"/>
      <c r="FH14" s="131"/>
      <c r="FI14" s="131"/>
      <c r="FJ14" s="131"/>
      <c r="FK14" s="131"/>
      <c r="FL14" s="131"/>
      <c r="FM14" s="131"/>
      <c r="FN14" s="131"/>
      <c r="FO14" s="131"/>
      <c r="FP14" s="131"/>
      <c r="FQ14" s="131"/>
      <c r="FR14" s="131"/>
      <c r="FS14" s="131"/>
      <c r="FT14" s="131"/>
      <c r="FU14" s="131"/>
      <c r="FV14" s="131"/>
      <c r="FW14" s="131"/>
      <c r="FX14" s="131"/>
      <c r="FY14" s="131"/>
      <c r="FZ14" s="131"/>
      <c r="GA14" s="131"/>
      <c r="GB14" s="131"/>
      <c r="GC14" s="131"/>
      <c r="GD14" s="131"/>
      <c r="GE14" s="131"/>
      <c r="GF14" s="131"/>
      <c r="GG14" s="131"/>
      <c r="GH14" s="131"/>
      <c r="GI14" s="131"/>
      <c r="GJ14" s="131"/>
      <c r="GK14" s="131"/>
      <c r="GL14" s="131"/>
      <c r="GM14" s="131"/>
      <c r="GN14" s="131"/>
      <c r="GO14" s="131"/>
      <c r="GP14" s="131"/>
      <c r="GQ14" s="131"/>
      <c r="GR14" s="131"/>
      <c r="GS14" s="131"/>
      <c r="GT14" s="131"/>
      <c r="GU14" s="131"/>
      <c r="GV14" s="131"/>
      <c r="GW14" s="131"/>
      <c r="GX14" s="131"/>
      <c r="GY14" s="131"/>
      <c r="GZ14" s="131"/>
      <c r="HA14" s="131"/>
      <c r="HB14" s="131"/>
      <c r="HC14" s="131"/>
      <c r="HD14" s="131"/>
      <c r="HE14" s="131"/>
      <c r="HF14" s="131"/>
      <c r="HG14" s="131"/>
      <c r="HH14" s="131"/>
      <c r="HI14" s="131"/>
      <c r="HJ14" s="131"/>
      <c r="HK14" s="131"/>
      <c r="HL14" s="131"/>
      <c r="HM14" s="131"/>
      <c r="HN14" s="131"/>
      <c r="HO14" s="131"/>
      <c r="HP14" s="131"/>
      <c r="HQ14" s="131"/>
      <c r="HR14" s="131"/>
      <c r="HS14" s="131"/>
      <c r="HT14" s="131"/>
      <c r="HU14" s="131"/>
      <c r="HV14" s="131"/>
      <c r="HW14" s="131"/>
      <c r="HX14" s="131"/>
      <c r="HY14" s="131"/>
      <c r="HZ14" s="131"/>
      <c r="IA14" s="131"/>
      <c r="IB14" s="131"/>
      <c r="IC14" s="131"/>
      <c r="ID14" s="131"/>
      <c r="IE14" s="131"/>
      <c r="IF14" s="131"/>
      <c r="IG14" s="131"/>
      <c r="IH14" s="131"/>
      <c r="II14" s="131"/>
      <c r="IJ14" s="131"/>
      <c r="IK14" s="131"/>
      <c r="IL14" s="131"/>
      <c r="IM14" s="131"/>
      <c r="IN14" s="131"/>
      <c r="IO14" s="131"/>
      <c r="IP14" s="131"/>
      <c r="IQ14" s="131"/>
      <c r="IR14" s="131"/>
      <c r="IS14" s="131"/>
      <c r="IT14" s="131"/>
      <c r="IU14" s="131"/>
      <c r="IV14" s="131"/>
      <c r="IW14" s="131"/>
      <c r="IX14" s="131"/>
      <c r="IY14" s="131"/>
      <c r="IZ14" s="131"/>
      <c r="JA14" s="131"/>
      <c r="JB14" s="131"/>
      <c r="JC14" s="131"/>
      <c r="JD14" s="131"/>
      <c r="JE14" s="131"/>
      <c r="JF14" s="131"/>
      <c r="JG14" s="131"/>
      <c r="JH14" s="131"/>
      <c r="JI14" s="131"/>
      <c r="JJ14" s="131"/>
      <c r="JK14" s="131"/>
      <c r="JL14" s="131"/>
      <c r="JM14" s="131"/>
      <c r="JN14" s="131"/>
      <c r="JO14" s="131"/>
      <c r="JP14" s="131"/>
      <c r="JQ14" s="131"/>
      <c r="JR14" s="131"/>
      <c r="JS14" s="131"/>
      <c r="JT14" s="131"/>
      <c r="JU14" s="131"/>
      <c r="JV14" s="131"/>
      <c r="JW14" s="131"/>
      <c r="JX14" s="131"/>
      <c r="JY14" s="131"/>
      <c r="JZ14" s="131"/>
      <c r="KA14" s="131"/>
      <c r="KB14" s="131"/>
      <c r="KC14" s="131"/>
      <c r="KD14" s="131"/>
      <c r="KE14" s="131"/>
      <c r="KF14" s="131"/>
      <c r="KG14" s="131"/>
      <c r="KH14" s="131"/>
      <c r="KI14" s="131"/>
      <c r="KJ14" s="131"/>
      <c r="KK14" s="131"/>
      <c r="KL14" s="131"/>
      <c r="KM14" s="131"/>
      <c r="KN14" s="131"/>
      <c r="KO14" s="131"/>
      <c r="KP14" s="131"/>
      <c r="KQ14" s="131"/>
      <c r="KR14" s="131"/>
      <c r="KS14" s="131"/>
      <c r="KT14" s="131"/>
      <c r="KU14" s="131"/>
      <c r="KV14" s="131"/>
      <c r="KW14" s="131"/>
      <c r="KX14" s="131"/>
      <c r="KY14" s="131"/>
      <c r="KZ14" s="131"/>
      <c r="LA14" s="131"/>
      <c r="LB14" s="131"/>
      <c r="LC14" s="131"/>
      <c r="LD14" s="131"/>
      <c r="LE14" s="131"/>
      <c r="LF14" s="131"/>
      <c r="LG14" s="131"/>
      <c r="LH14" s="131"/>
      <c r="LI14" s="131"/>
      <c r="LJ14" s="131"/>
      <c r="LK14" s="131"/>
      <c r="LL14" s="131"/>
      <c r="LM14" s="131"/>
      <c r="LN14" s="131"/>
      <c r="LO14" s="131"/>
      <c r="LP14" s="131"/>
      <c r="LQ14" s="131"/>
      <c r="LR14" s="131"/>
      <c r="LS14" s="131"/>
      <c r="LT14" s="131"/>
      <c r="LU14" s="131"/>
      <c r="LV14" s="131"/>
      <c r="LW14" s="131"/>
      <c r="LX14" s="131"/>
      <c r="LY14" s="131"/>
      <c r="LZ14" s="131"/>
      <c r="MA14" s="131"/>
      <c r="MB14" s="131"/>
      <c r="MC14" s="131"/>
      <c r="MD14" s="131"/>
      <c r="ME14" s="131"/>
      <c r="MF14" s="131"/>
      <c r="MG14" s="131"/>
      <c r="MH14" s="131"/>
      <c r="MI14" s="131"/>
      <c r="MJ14" s="131"/>
      <c r="MK14" s="131"/>
      <c r="ML14" s="131"/>
      <c r="MM14" s="131"/>
      <c r="MN14" s="131"/>
      <c r="MO14" s="131"/>
      <c r="MP14" s="131"/>
      <c r="MQ14" s="131"/>
      <c r="MR14" s="131"/>
      <c r="MS14" s="131"/>
      <c r="MT14" s="131"/>
      <c r="MU14" s="131"/>
      <c r="MV14" s="131"/>
      <c r="MW14" s="131"/>
      <c r="MX14" s="131"/>
      <c r="MY14" s="131"/>
      <c r="MZ14" s="131"/>
      <c r="NA14" s="131"/>
      <c r="NB14" s="131"/>
      <c r="NC14" s="131"/>
      <c r="ND14" s="131"/>
      <c r="NE14" s="131"/>
      <c r="NF14" s="131"/>
      <c r="NG14" s="131"/>
      <c r="NH14" s="131"/>
      <c r="NI14" s="131"/>
      <c r="NJ14" s="131"/>
      <c r="NK14" s="131"/>
      <c r="NL14" s="131"/>
      <c r="NM14" s="131"/>
      <c r="NN14" s="131"/>
      <c r="NO14" s="131"/>
      <c r="NP14" s="131"/>
      <c r="NQ14" s="131"/>
      <c r="NR14" s="131"/>
      <c r="NS14" s="131"/>
      <c r="NT14" s="131"/>
      <c r="NU14" s="131"/>
      <c r="NV14" s="131"/>
      <c r="NW14" s="24">
        <f t="shared" ref="NW14:NW19" si="7">SUBTOTAL(9,C14:NV14)</f>
        <v>0</v>
      </c>
      <c r="NX14" s="56" t="s">
        <v>36</v>
      </c>
      <c r="NY14" s="127">
        <v>4440</v>
      </c>
      <c r="NZ14" s="78">
        <f t="shared" si="2"/>
        <v>0</v>
      </c>
      <c r="OA14" s="78">
        <v>3292</v>
      </c>
      <c r="OB14" s="127">
        <f t="shared" si="0"/>
        <v>4440</v>
      </c>
      <c r="OC14" s="153"/>
      <c r="OD14" s="108">
        <f t="shared" si="1"/>
        <v>1.3487241798298906</v>
      </c>
      <c r="OE14" s="160" t="s">
        <v>547</v>
      </c>
    </row>
    <row r="15" spans="1:395" s="5" customFormat="1" ht="12.75" customHeight="1" x14ac:dyDescent="0.25">
      <c r="A15" s="62">
        <v>44469</v>
      </c>
      <c r="B15" s="116" t="s">
        <v>81</v>
      </c>
      <c r="C15" s="129"/>
      <c r="D15" s="129"/>
      <c r="E15" s="130"/>
      <c r="F15" s="130"/>
      <c r="G15" s="130"/>
      <c r="H15" s="130"/>
      <c r="I15" s="130"/>
      <c r="J15" s="130"/>
      <c r="K15" s="130"/>
      <c r="L15" s="130"/>
      <c r="M15" s="131"/>
      <c r="N15" s="131"/>
      <c r="O15" s="131"/>
      <c r="P15" s="131"/>
      <c r="Q15" s="131"/>
      <c r="R15" s="131"/>
      <c r="S15" s="131"/>
      <c r="T15" s="131"/>
      <c r="U15" s="131"/>
      <c r="V15" s="131"/>
      <c r="W15" s="131"/>
      <c r="X15" s="131"/>
      <c r="Y15" s="131"/>
      <c r="Z15" s="131"/>
      <c r="AA15" s="131"/>
      <c r="AB15" s="131"/>
      <c r="AC15" s="131"/>
      <c r="AD15" s="131"/>
      <c r="AE15" s="131"/>
      <c r="AF15" s="131"/>
      <c r="AG15" s="131"/>
      <c r="AH15" s="131"/>
      <c r="AI15" s="131"/>
      <c r="AJ15" s="131"/>
      <c r="AK15" s="131"/>
      <c r="AL15" s="131"/>
      <c r="AM15" s="131"/>
      <c r="AN15" s="131"/>
      <c r="AO15" s="131"/>
      <c r="AP15" s="131"/>
      <c r="AQ15" s="131"/>
      <c r="AR15" s="131"/>
      <c r="AS15" s="131"/>
      <c r="AT15" s="131"/>
      <c r="AU15" s="131"/>
      <c r="AV15" s="131"/>
      <c r="AW15" s="131"/>
      <c r="AX15" s="131"/>
      <c r="AY15" s="131"/>
      <c r="AZ15" s="131"/>
      <c r="BA15" s="131"/>
      <c r="BB15" s="131"/>
      <c r="BC15" s="131"/>
      <c r="BD15" s="131"/>
      <c r="BE15" s="131"/>
      <c r="BF15" s="131"/>
      <c r="BG15" s="131"/>
      <c r="BH15" s="131"/>
      <c r="BI15" s="131"/>
      <c r="BJ15" s="131"/>
      <c r="BK15" s="131"/>
      <c r="BL15" s="131"/>
      <c r="BM15" s="131"/>
      <c r="BN15" s="131"/>
      <c r="BO15" s="131"/>
      <c r="BP15" s="131"/>
      <c r="BQ15" s="131"/>
      <c r="BR15" s="131"/>
      <c r="BS15" s="131"/>
      <c r="BT15" s="131"/>
      <c r="BU15" s="131"/>
      <c r="BV15" s="131"/>
      <c r="BW15" s="131"/>
      <c r="BX15" s="131"/>
      <c r="BY15" s="131"/>
      <c r="BZ15" s="131"/>
      <c r="CA15" s="131"/>
      <c r="CB15" s="131"/>
      <c r="CC15" s="131"/>
      <c r="CD15" s="131"/>
      <c r="CE15" s="131"/>
      <c r="CF15" s="131"/>
      <c r="CG15" s="131"/>
      <c r="CH15" s="131"/>
      <c r="CI15" s="131"/>
      <c r="CJ15" s="131"/>
      <c r="CK15" s="131"/>
      <c r="CL15" s="131"/>
      <c r="CM15" s="131"/>
      <c r="CN15" s="131"/>
      <c r="CO15" s="131"/>
      <c r="CP15" s="131"/>
      <c r="CQ15" s="131"/>
      <c r="CR15" s="131"/>
      <c r="CS15" s="131"/>
      <c r="CT15" s="131"/>
      <c r="CU15" s="131"/>
      <c r="CV15" s="131"/>
      <c r="CW15" s="131"/>
      <c r="CX15" s="131"/>
      <c r="CY15" s="131"/>
      <c r="CZ15" s="131"/>
      <c r="DA15" s="131"/>
      <c r="DB15" s="131"/>
      <c r="DC15" s="131"/>
      <c r="DD15" s="131"/>
      <c r="DE15" s="131"/>
      <c r="DF15" s="131"/>
      <c r="DG15" s="131"/>
      <c r="DH15" s="131"/>
      <c r="DI15" s="131"/>
      <c r="DJ15" s="131"/>
      <c r="DK15" s="131"/>
      <c r="DL15" s="131"/>
      <c r="DM15" s="131"/>
      <c r="DN15" s="131"/>
      <c r="DO15" s="131"/>
      <c r="DP15" s="131"/>
      <c r="DQ15" s="131"/>
      <c r="DR15" s="131"/>
      <c r="DS15" s="131"/>
      <c r="DT15" s="131"/>
      <c r="DU15" s="131"/>
      <c r="DV15" s="131"/>
      <c r="DW15" s="131"/>
      <c r="DX15" s="131"/>
      <c r="DY15" s="131"/>
      <c r="DZ15" s="131"/>
      <c r="EA15" s="131"/>
      <c r="EB15" s="131"/>
      <c r="EC15" s="131"/>
      <c r="ED15" s="131"/>
      <c r="EE15" s="131"/>
      <c r="EF15" s="131"/>
      <c r="EG15" s="131"/>
      <c r="EH15" s="131"/>
      <c r="EI15" s="131"/>
      <c r="EJ15" s="131"/>
      <c r="EK15" s="131"/>
      <c r="EL15" s="131"/>
      <c r="EM15" s="131"/>
      <c r="EN15" s="131"/>
      <c r="EO15" s="131"/>
      <c r="EP15" s="131"/>
      <c r="EQ15" s="131"/>
      <c r="ER15" s="131"/>
      <c r="ES15" s="131"/>
      <c r="ET15" s="131"/>
      <c r="EU15" s="131"/>
      <c r="EV15" s="131"/>
      <c r="EW15" s="131"/>
      <c r="EX15" s="131"/>
      <c r="EY15" s="131"/>
      <c r="EZ15" s="131"/>
      <c r="FA15" s="131"/>
      <c r="FB15" s="131"/>
      <c r="FC15" s="131"/>
      <c r="FD15" s="131"/>
      <c r="FE15" s="131"/>
      <c r="FF15" s="131"/>
      <c r="FG15" s="131"/>
      <c r="FH15" s="131"/>
      <c r="FI15" s="131"/>
      <c r="FJ15" s="131"/>
      <c r="FK15" s="131"/>
      <c r="FL15" s="131"/>
      <c r="FM15" s="131"/>
      <c r="FN15" s="131"/>
      <c r="FO15" s="131"/>
      <c r="FP15" s="131"/>
      <c r="FQ15" s="131"/>
      <c r="FR15" s="131"/>
      <c r="FS15" s="131"/>
      <c r="FT15" s="131"/>
      <c r="FU15" s="131"/>
      <c r="FV15" s="131"/>
      <c r="FW15" s="131"/>
      <c r="FX15" s="131"/>
      <c r="FY15" s="131"/>
      <c r="FZ15" s="131"/>
      <c r="GA15" s="131"/>
      <c r="GB15" s="131"/>
      <c r="GC15" s="131"/>
      <c r="GD15" s="131"/>
      <c r="GE15" s="131"/>
      <c r="GF15" s="131"/>
      <c r="GG15" s="131"/>
      <c r="GH15" s="131"/>
      <c r="GI15" s="131"/>
      <c r="GJ15" s="131"/>
      <c r="GK15" s="131"/>
      <c r="GL15" s="131"/>
      <c r="GM15" s="131"/>
      <c r="GN15" s="131"/>
      <c r="GO15" s="131"/>
      <c r="GP15" s="131"/>
      <c r="GQ15" s="131"/>
      <c r="GR15" s="131"/>
      <c r="GS15" s="131"/>
      <c r="GT15" s="131"/>
      <c r="GU15" s="131"/>
      <c r="GV15" s="131"/>
      <c r="GW15" s="131"/>
      <c r="GX15" s="131"/>
      <c r="GY15" s="131"/>
      <c r="GZ15" s="131"/>
      <c r="HA15" s="131"/>
      <c r="HB15" s="131"/>
      <c r="HC15" s="131"/>
      <c r="HD15" s="131"/>
      <c r="HE15" s="131"/>
      <c r="HF15" s="131"/>
      <c r="HG15" s="131"/>
      <c r="HH15" s="131"/>
      <c r="HI15" s="131"/>
      <c r="HJ15" s="131"/>
      <c r="HK15" s="131"/>
      <c r="HL15" s="131"/>
      <c r="HM15" s="131"/>
      <c r="HN15" s="131"/>
      <c r="HO15" s="131"/>
      <c r="HP15" s="131"/>
      <c r="HQ15" s="131"/>
      <c r="HR15" s="131"/>
      <c r="HS15" s="131"/>
      <c r="HT15" s="131"/>
      <c r="HU15" s="131"/>
      <c r="HV15" s="131"/>
      <c r="HW15" s="131"/>
      <c r="HX15" s="131"/>
      <c r="HY15" s="131"/>
      <c r="HZ15" s="131"/>
      <c r="IA15" s="131"/>
      <c r="IB15" s="131"/>
      <c r="IC15" s="131"/>
      <c r="ID15" s="131"/>
      <c r="IE15" s="131"/>
      <c r="IF15" s="131"/>
      <c r="IG15" s="131"/>
      <c r="IH15" s="131"/>
      <c r="II15" s="131"/>
      <c r="IJ15" s="131"/>
      <c r="IK15" s="131"/>
      <c r="IL15" s="131"/>
      <c r="IM15" s="131"/>
      <c r="IN15" s="131"/>
      <c r="IO15" s="131"/>
      <c r="IP15" s="131"/>
      <c r="IQ15" s="131"/>
      <c r="IR15" s="131"/>
      <c r="IS15" s="131"/>
      <c r="IT15" s="131"/>
      <c r="IU15" s="131"/>
      <c r="IV15" s="131"/>
      <c r="IW15" s="131"/>
      <c r="IX15" s="131"/>
      <c r="IY15" s="131"/>
      <c r="IZ15" s="131"/>
      <c r="JA15" s="131"/>
      <c r="JB15" s="131"/>
      <c r="JC15" s="131"/>
      <c r="JD15" s="131"/>
      <c r="JE15" s="131"/>
      <c r="JF15" s="131"/>
      <c r="JG15" s="131"/>
      <c r="JH15" s="131"/>
      <c r="JI15" s="131"/>
      <c r="JJ15" s="131"/>
      <c r="JK15" s="131"/>
      <c r="JL15" s="131"/>
      <c r="JM15" s="131"/>
      <c r="JN15" s="131"/>
      <c r="JO15" s="131"/>
      <c r="JP15" s="131"/>
      <c r="JQ15" s="131"/>
      <c r="JR15" s="131"/>
      <c r="JS15" s="131"/>
      <c r="JT15" s="131"/>
      <c r="JU15" s="131"/>
      <c r="JV15" s="131"/>
      <c r="JW15" s="131"/>
      <c r="JX15" s="131"/>
      <c r="JY15" s="131"/>
      <c r="JZ15" s="131"/>
      <c r="KA15" s="131"/>
      <c r="KB15" s="131"/>
      <c r="KC15" s="131"/>
      <c r="KD15" s="131"/>
      <c r="KE15" s="131"/>
      <c r="KF15" s="131"/>
      <c r="KG15" s="131"/>
      <c r="KH15" s="131"/>
      <c r="KI15" s="131"/>
      <c r="KJ15" s="131"/>
      <c r="KK15" s="131"/>
      <c r="KL15" s="131"/>
      <c r="KM15" s="131"/>
      <c r="KN15" s="131"/>
      <c r="KO15" s="131"/>
      <c r="KP15" s="131"/>
      <c r="KQ15" s="131"/>
      <c r="KR15" s="131"/>
      <c r="KS15" s="131"/>
      <c r="KT15" s="131"/>
      <c r="KU15" s="131"/>
      <c r="KV15" s="131"/>
      <c r="KW15" s="131"/>
      <c r="KX15" s="131"/>
      <c r="KY15" s="131"/>
      <c r="KZ15" s="131"/>
      <c r="LA15" s="131"/>
      <c r="LB15" s="131"/>
      <c r="LC15" s="131"/>
      <c r="LD15" s="131"/>
      <c r="LE15" s="131"/>
      <c r="LF15" s="131"/>
      <c r="LG15" s="131"/>
      <c r="LH15" s="131"/>
      <c r="LI15" s="131"/>
      <c r="LJ15" s="131"/>
      <c r="LK15" s="131"/>
      <c r="LL15" s="131"/>
      <c r="LM15" s="131"/>
      <c r="LN15" s="131"/>
      <c r="LO15" s="131"/>
      <c r="LP15" s="131"/>
      <c r="LQ15" s="131"/>
      <c r="LR15" s="131"/>
      <c r="LS15" s="131"/>
      <c r="LT15" s="131"/>
      <c r="LU15" s="131"/>
      <c r="LV15" s="131"/>
      <c r="LW15" s="131"/>
      <c r="LX15" s="131"/>
      <c r="LY15" s="131"/>
      <c r="LZ15" s="131"/>
      <c r="MA15" s="131"/>
      <c r="MB15" s="131"/>
      <c r="MC15" s="131"/>
      <c r="MD15" s="131"/>
      <c r="ME15" s="131"/>
      <c r="MF15" s="131"/>
      <c r="MG15" s="131"/>
      <c r="MH15" s="131"/>
      <c r="MI15" s="131"/>
      <c r="MJ15" s="131"/>
      <c r="MK15" s="131"/>
      <c r="ML15" s="131"/>
      <c r="MM15" s="131"/>
      <c r="MN15" s="131"/>
      <c r="MO15" s="131"/>
      <c r="MP15" s="131"/>
      <c r="MQ15" s="131"/>
      <c r="MR15" s="131"/>
      <c r="MS15" s="131"/>
      <c r="MT15" s="131"/>
      <c r="MU15" s="131"/>
      <c r="MV15" s="131"/>
      <c r="MW15" s="131"/>
      <c r="MX15" s="131"/>
      <c r="MY15" s="131"/>
      <c r="MZ15" s="131"/>
      <c r="NA15" s="131"/>
      <c r="NB15" s="131"/>
      <c r="NC15" s="131"/>
      <c r="ND15" s="131"/>
      <c r="NE15" s="131"/>
      <c r="NF15" s="131"/>
      <c r="NG15" s="131"/>
      <c r="NH15" s="131"/>
      <c r="NI15" s="131"/>
      <c r="NJ15" s="131"/>
      <c r="NK15" s="131"/>
      <c r="NL15" s="131"/>
      <c r="NM15" s="131"/>
      <c r="NN15" s="131"/>
      <c r="NO15" s="131"/>
      <c r="NP15" s="131"/>
      <c r="NQ15" s="131"/>
      <c r="NR15" s="131"/>
      <c r="NS15" s="131"/>
      <c r="NT15" s="131"/>
      <c r="NU15" s="131"/>
      <c r="NV15" s="131"/>
      <c r="NW15" s="24">
        <f t="shared" si="7"/>
        <v>0</v>
      </c>
      <c r="NX15" s="56" t="s">
        <v>36</v>
      </c>
      <c r="NY15" s="127">
        <v>29353.5</v>
      </c>
      <c r="NZ15" s="78">
        <f t="shared" si="2"/>
        <v>19645.59</v>
      </c>
      <c r="OA15" s="78">
        <v>19686.22</v>
      </c>
      <c r="OB15" s="127">
        <f t="shared" si="0"/>
        <v>9707.91</v>
      </c>
      <c r="OC15" s="153">
        <f>9645.59+10000</f>
        <v>19645.59</v>
      </c>
      <c r="OD15" s="108">
        <f t="shared" si="1"/>
        <v>1.4910683716833397</v>
      </c>
      <c r="OE15" s="160" t="s">
        <v>467</v>
      </c>
    </row>
    <row r="16" spans="1:395" s="5" customFormat="1" ht="12.75" hidden="1" customHeight="1" x14ac:dyDescent="0.25">
      <c r="A16" s="62">
        <v>44474</v>
      </c>
      <c r="B16" s="106" t="s">
        <v>301</v>
      </c>
      <c r="C16" s="129"/>
      <c r="D16" s="129"/>
      <c r="E16" s="130"/>
      <c r="F16" s="130"/>
      <c r="G16" s="130"/>
      <c r="H16" s="130"/>
      <c r="I16" s="130"/>
      <c r="J16" s="130"/>
      <c r="K16" s="130"/>
      <c r="L16" s="130"/>
      <c r="M16" s="131"/>
      <c r="N16" s="131"/>
      <c r="O16" s="131"/>
      <c r="P16" s="131"/>
      <c r="Q16" s="131"/>
      <c r="R16" s="131"/>
      <c r="S16" s="131"/>
      <c r="T16" s="131"/>
      <c r="U16" s="131"/>
      <c r="V16" s="131"/>
      <c r="W16" s="131"/>
      <c r="X16" s="131"/>
      <c r="Y16" s="131"/>
      <c r="Z16" s="131"/>
      <c r="AA16" s="131"/>
      <c r="AB16" s="131"/>
      <c r="AC16" s="131"/>
      <c r="AD16" s="131"/>
      <c r="AE16" s="131"/>
      <c r="AF16" s="131"/>
      <c r="AG16" s="131"/>
      <c r="AH16" s="131"/>
      <c r="AI16" s="131"/>
      <c r="AJ16" s="131"/>
      <c r="AK16" s="131"/>
      <c r="AL16" s="131"/>
      <c r="AM16" s="131"/>
      <c r="AN16" s="131"/>
      <c r="AO16" s="131"/>
      <c r="AP16" s="131"/>
      <c r="AQ16" s="131"/>
      <c r="AR16" s="131"/>
      <c r="AS16" s="131"/>
      <c r="AT16" s="131"/>
      <c r="AU16" s="131"/>
      <c r="AV16" s="131"/>
      <c r="AW16" s="131"/>
      <c r="AX16" s="131"/>
      <c r="AY16" s="131"/>
      <c r="AZ16" s="131"/>
      <c r="BA16" s="131"/>
      <c r="BB16" s="131"/>
      <c r="BC16" s="131"/>
      <c r="BD16" s="131"/>
      <c r="BE16" s="131"/>
      <c r="BF16" s="131"/>
      <c r="BG16" s="131"/>
      <c r="BH16" s="131"/>
      <c r="BI16" s="131"/>
      <c r="BJ16" s="131"/>
      <c r="BK16" s="131"/>
      <c r="BL16" s="131"/>
      <c r="BM16" s="131"/>
      <c r="BN16" s="131"/>
      <c r="BO16" s="131"/>
      <c r="BP16" s="131"/>
      <c r="BQ16" s="131"/>
      <c r="BR16" s="131"/>
      <c r="BS16" s="131"/>
      <c r="BT16" s="131"/>
      <c r="BU16" s="131"/>
      <c r="BV16" s="131"/>
      <c r="BW16" s="131"/>
      <c r="BX16" s="131"/>
      <c r="BY16" s="131"/>
      <c r="BZ16" s="131"/>
      <c r="CA16" s="131"/>
      <c r="CB16" s="131"/>
      <c r="CC16" s="131"/>
      <c r="CD16" s="131"/>
      <c r="CE16" s="131"/>
      <c r="CF16" s="131"/>
      <c r="CG16" s="131"/>
      <c r="CH16" s="131"/>
      <c r="CI16" s="131"/>
      <c r="CJ16" s="131"/>
      <c r="CK16" s="131"/>
      <c r="CL16" s="131"/>
      <c r="CM16" s="131"/>
      <c r="CN16" s="131"/>
      <c r="CO16" s="131"/>
      <c r="CP16" s="131"/>
      <c r="CQ16" s="131"/>
      <c r="CR16" s="131"/>
      <c r="CS16" s="131"/>
      <c r="CT16" s="131"/>
      <c r="CU16" s="131"/>
      <c r="CV16" s="131"/>
      <c r="CW16" s="131"/>
      <c r="CX16" s="131"/>
      <c r="CY16" s="131"/>
      <c r="CZ16" s="131"/>
      <c r="DA16" s="131"/>
      <c r="DB16" s="131"/>
      <c r="DC16" s="131"/>
      <c r="DD16" s="131"/>
      <c r="DE16" s="131"/>
      <c r="DF16" s="131"/>
      <c r="DG16" s="131"/>
      <c r="DH16" s="131"/>
      <c r="DI16" s="131"/>
      <c r="DJ16" s="131"/>
      <c r="DK16" s="131"/>
      <c r="DL16" s="131"/>
      <c r="DM16" s="131"/>
      <c r="DN16" s="131"/>
      <c r="DO16" s="131"/>
      <c r="DP16" s="131"/>
      <c r="DQ16" s="131"/>
      <c r="DR16" s="131"/>
      <c r="DS16" s="131"/>
      <c r="DT16" s="131"/>
      <c r="DU16" s="131"/>
      <c r="DV16" s="131"/>
      <c r="DW16" s="131"/>
      <c r="DX16" s="131"/>
      <c r="DY16" s="131"/>
      <c r="DZ16" s="131"/>
      <c r="EA16" s="131"/>
      <c r="EB16" s="131"/>
      <c r="EC16" s="131"/>
      <c r="ED16" s="131"/>
      <c r="EE16" s="131"/>
      <c r="EF16" s="131"/>
      <c r="EG16" s="131"/>
      <c r="EH16" s="131"/>
      <c r="EI16" s="131"/>
      <c r="EJ16" s="131"/>
      <c r="EK16" s="131"/>
      <c r="EL16" s="131"/>
      <c r="EM16" s="131"/>
      <c r="EN16" s="131"/>
      <c r="EO16" s="131"/>
      <c r="EP16" s="131"/>
      <c r="EQ16" s="131"/>
      <c r="ER16" s="131"/>
      <c r="ES16" s="131"/>
      <c r="ET16" s="131"/>
      <c r="EU16" s="131"/>
      <c r="EV16" s="131"/>
      <c r="EW16" s="131"/>
      <c r="EX16" s="131"/>
      <c r="EY16" s="131"/>
      <c r="EZ16" s="131"/>
      <c r="FA16" s="131"/>
      <c r="FB16" s="131"/>
      <c r="FC16" s="131"/>
      <c r="FD16" s="131"/>
      <c r="FE16" s="131"/>
      <c r="FF16" s="131"/>
      <c r="FG16" s="131"/>
      <c r="FH16" s="131"/>
      <c r="FI16" s="131"/>
      <c r="FJ16" s="131"/>
      <c r="FK16" s="131"/>
      <c r="FL16" s="131"/>
      <c r="FM16" s="131"/>
      <c r="FN16" s="131"/>
      <c r="FO16" s="131"/>
      <c r="FP16" s="131"/>
      <c r="FQ16" s="131"/>
      <c r="FR16" s="131"/>
      <c r="FS16" s="131"/>
      <c r="FT16" s="131"/>
      <c r="FU16" s="131"/>
      <c r="FV16" s="131"/>
      <c r="FW16" s="131"/>
      <c r="FX16" s="131"/>
      <c r="FY16" s="131"/>
      <c r="FZ16" s="131"/>
      <c r="GA16" s="131"/>
      <c r="GB16" s="131"/>
      <c r="GC16" s="131"/>
      <c r="GD16" s="131"/>
      <c r="GE16" s="131"/>
      <c r="GF16" s="131"/>
      <c r="GG16" s="131"/>
      <c r="GH16" s="131"/>
      <c r="GI16" s="131"/>
      <c r="GJ16" s="131"/>
      <c r="GK16" s="131"/>
      <c r="GL16" s="131"/>
      <c r="GM16" s="131"/>
      <c r="GN16" s="131"/>
      <c r="GO16" s="131"/>
      <c r="GP16" s="131"/>
      <c r="GQ16" s="131"/>
      <c r="GR16" s="131"/>
      <c r="GS16" s="131"/>
      <c r="GT16" s="131"/>
      <c r="GU16" s="131"/>
      <c r="GV16" s="131"/>
      <c r="GW16" s="131"/>
      <c r="GX16" s="131"/>
      <c r="GY16" s="131"/>
      <c r="GZ16" s="131"/>
      <c r="HA16" s="131"/>
      <c r="HB16" s="131"/>
      <c r="HC16" s="131"/>
      <c r="HD16" s="131"/>
      <c r="HE16" s="131"/>
      <c r="HF16" s="131"/>
      <c r="HG16" s="131"/>
      <c r="HH16" s="131"/>
      <c r="HI16" s="131"/>
      <c r="HJ16" s="131"/>
      <c r="HK16" s="131"/>
      <c r="HL16" s="131"/>
      <c r="HM16" s="131"/>
      <c r="HN16" s="131"/>
      <c r="HO16" s="131"/>
      <c r="HP16" s="131"/>
      <c r="HQ16" s="131"/>
      <c r="HR16" s="131"/>
      <c r="HS16" s="131"/>
      <c r="HT16" s="131"/>
      <c r="HU16" s="131"/>
      <c r="HV16" s="131"/>
      <c r="HW16" s="131"/>
      <c r="HX16" s="131"/>
      <c r="HY16" s="131"/>
      <c r="HZ16" s="131"/>
      <c r="IA16" s="131"/>
      <c r="IB16" s="131"/>
      <c r="IC16" s="131"/>
      <c r="ID16" s="131"/>
      <c r="IE16" s="131"/>
      <c r="IF16" s="131"/>
      <c r="IG16" s="131"/>
      <c r="IH16" s="131"/>
      <c r="II16" s="131"/>
      <c r="IJ16" s="131"/>
      <c r="IK16" s="131"/>
      <c r="IL16" s="131"/>
      <c r="IM16" s="131"/>
      <c r="IN16" s="131"/>
      <c r="IO16" s="131"/>
      <c r="IP16" s="131"/>
      <c r="IQ16" s="131"/>
      <c r="IR16" s="131"/>
      <c r="IS16" s="131"/>
      <c r="IT16" s="131"/>
      <c r="IU16" s="131"/>
      <c r="IV16" s="131"/>
      <c r="IW16" s="131"/>
      <c r="IX16" s="131"/>
      <c r="IY16" s="131"/>
      <c r="IZ16" s="131"/>
      <c r="JA16" s="131"/>
      <c r="JB16" s="131"/>
      <c r="JC16" s="131"/>
      <c r="JD16" s="131"/>
      <c r="JE16" s="131"/>
      <c r="JF16" s="131"/>
      <c r="JG16" s="131"/>
      <c r="JH16" s="131"/>
      <c r="JI16" s="131"/>
      <c r="JJ16" s="131"/>
      <c r="JK16" s="131"/>
      <c r="JL16" s="131"/>
      <c r="JM16" s="131"/>
      <c r="JN16" s="131"/>
      <c r="JO16" s="131"/>
      <c r="JP16" s="131"/>
      <c r="JQ16" s="131"/>
      <c r="JR16" s="131"/>
      <c r="JS16" s="131"/>
      <c r="JT16" s="131"/>
      <c r="JU16" s="131"/>
      <c r="JV16" s="131"/>
      <c r="JW16" s="131"/>
      <c r="JX16" s="131"/>
      <c r="JY16" s="131"/>
      <c r="JZ16" s="131"/>
      <c r="KA16" s="131"/>
      <c r="KB16" s="131"/>
      <c r="KC16" s="131"/>
      <c r="KD16" s="131"/>
      <c r="KE16" s="131"/>
      <c r="KF16" s="131"/>
      <c r="KG16" s="131"/>
      <c r="KH16" s="131"/>
      <c r="KI16" s="131"/>
      <c r="KJ16" s="131"/>
      <c r="KK16" s="131"/>
      <c r="KL16" s="131"/>
      <c r="KM16" s="131"/>
      <c r="KN16" s="131"/>
      <c r="KO16" s="131"/>
      <c r="KP16" s="131"/>
      <c r="KQ16" s="131"/>
      <c r="KR16" s="131"/>
      <c r="KS16" s="131"/>
      <c r="KT16" s="131"/>
      <c r="KU16" s="131"/>
      <c r="KV16" s="131"/>
      <c r="KW16" s="131"/>
      <c r="KX16" s="131"/>
      <c r="KY16" s="131"/>
      <c r="KZ16" s="131"/>
      <c r="LA16" s="131"/>
      <c r="LB16" s="131"/>
      <c r="LC16" s="131"/>
      <c r="LD16" s="131"/>
      <c r="LE16" s="131"/>
      <c r="LF16" s="131"/>
      <c r="LG16" s="131"/>
      <c r="LH16" s="131"/>
      <c r="LI16" s="131"/>
      <c r="LJ16" s="131"/>
      <c r="LK16" s="131"/>
      <c r="LL16" s="131"/>
      <c r="LM16" s="131"/>
      <c r="LN16" s="131"/>
      <c r="LO16" s="131"/>
      <c r="LP16" s="131"/>
      <c r="LQ16" s="131"/>
      <c r="LR16" s="131"/>
      <c r="LS16" s="131"/>
      <c r="LT16" s="131"/>
      <c r="LU16" s="131"/>
      <c r="LV16" s="131"/>
      <c r="LW16" s="131"/>
      <c r="LX16" s="131"/>
      <c r="LY16" s="131"/>
      <c r="LZ16" s="131"/>
      <c r="MA16" s="131"/>
      <c r="MB16" s="131"/>
      <c r="MC16" s="131"/>
      <c r="MD16" s="131"/>
      <c r="ME16" s="131"/>
      <c r="MF16" s="131"/>
      <c r="MG16" s="131"/>
      <c r="MH16" s="131"/>
      <c r="MI16" s="131"/>
      <c r="MJ16" s="131"/>
      <c r="MK16" s="131"/>
      <c r="ML16" s="131"/>
      <c r="MM16" s="131"/>
      <c r="MN16" s="131"/>
      <c r="MO16" s="131"/>
      <c r="MP16" s="131"/>
      <c r="MQ16" s="131"/>
      <c r="MR16" s="131"/>
      <c r="MS16" s="131"/>
      <c r="MT16" s="131"/>
      <c r="MU16" s="131"/>
      <c r="MV16" s="131"/>
      <c r="MW16" s="131"/>
      <c r="MX16" s="131"/>
      <c r="MY16" s="131"/>
      <c r="MZ16" s="131"/>
      <c r="NA16" s="131"/>
      <c r="NB16" s="131"/>
      <c r="NC16" s="131"/>
      <c r="ND16" s="131"/>
      <c r="NE16" s="131"/>
      <c r="NF16" s="131"/>
      <c r="NG16" s="131"/>
      <c r="NH16" s="131"/>
      <c r="NI16" s="131"/>
      <c r="NJ16" s="131"/>
      <c r="NK16" s="131"/>
      <c r="NL16" s="131"/>
      <c r="NM16" s="131"/>
      <c r="NN16" s="131"/>
      <c r="NO16" s="131"/>
      <c r="NP16" s="131"/>
      <c r="NQ16" s="131"/>
      <c r="NR16" s="131"/>
      <c r="NS16" s="131"/>
      <c r="NT16" s="131"/>
      <c r="NU16" s="131"/>
      <c r="NV16" s="131"/>
      <c r="NW16" s="24">
        <f t="shared" si="7"/>
        <v>0</v>
      </c>
      <c r="NX16" s="56" t="s">
        <v>36</v>
      </c>
      <c r="NY16" s="127">
        <v>1679.92</v>
      </c>
      <c r="NZ16" s="78">
        <f t="shared" si="2"/>
        <v>1679.92</v>
      </c>
      <c r="OA16" s="78">
        <v>3390.5</v>
      </c>
      <c r="OB16" s="127">
        <f t="shared" si="0"/>
        <v>0</v>
      </c>
      <c r="OC16" s="153">
        <v>1679.92</v>
      </c>
      <c r="OD16" s="108">
        <f t="shared" si="1"/>
        <v>0.49547854298775995</v>
      </c>
      <c r="OE16" s="160" t="s">
        <v>493</v>
      </c>
    </row>
    <row r="17" spans="1:395" s="5" customFormat="1" ht="12.75" hidden="1" customHeight="1" x14ac:dyDescent="0.25">
      <c r="A17" s="62">
        <v>44481</v>
      </c>
      <c r="B17" s="106" t="s">
        <v>301</v>
      </c>
      <c r="C17" s="129"/>
      <c r="D17" s="129"/>
      <c r="E17" s="130"/>
      <c r="F17" s="130"/>
      <c r="G17" s="130"/>
      <c r="H17" s="130"/>
      <c r="I17" s="130"/>
      <c r="J17" s="130"/>
      <c r="K17" s="130"/>
      <c r="L17" s="130"/>
      <c r="M17" s="131"/>
      <c r="N17" s="131"/>
      <c r="O17" s="131"/>
      <c r="P17" s="131"/>
      <c r="Q17" s="131"/>
      <c r="R17" s="131"/>
      <c r="S17" s="131"/>
      <c r="T17" s="131"/>
      <c r="U17" s="131"/>
      <c r="V17" s="131"/>
      <c r="W17" s="131"/>
      <c r="X17" s="131"/>
      <c r="Y17" s="131"/>
      <c r="Z17" s="131"/>
      <c r="AA17" s="131"/>
      <c r="AB17" s="131"/>
      <c r="AC17" s="131"/>
      <c r="AD17" s="131"/>
      <c r="AE17" s="131"/>
      <c r="AF17" s="131"/>
      <c r="AG17" s="131"/>
      <c r="AH17" s="131"/>
      <c r="AI17" s="131"/>
      <c r="AJ17" s="131"/>
      <c r="AK17" s="131"/>
      <c r="AL17" s="131"/>
      <c r="AM17" s="131"/>
      <c r="AN17" s="131"/>
      <c r="AO17" s="131"/>
      <c r="AP17" s="131"/>
      <c r="AQ17" s="131"/>
      <c r="AR17" s="131"/>
      <c r="AS17" s="131"/>
      <c r="AT17" s="131"/>
      <c r="AU17" s="131"/>
      <c r="AV17" s="131"/>
      <c r="AW17" s="131"/>
      <c r="AX17" s="131"/>
      <c r="AY17" s="131"/>
      <c r="AZ17" s="131"/>
      <c r="BA17" s="131"/>
      <c r="BB17" s="131"/>
      <c r="BC17" s="131"/>
      <c r="BD17" s="131"/>
      <c r="BE17" s="131"/>
      <c r="BF17" s="131"/>
      <c r="BG17" s="131"/>
      <c r="BH17" s="131"/>
      <c r="BI17" s="131"/>
      <c r="BJ17" s="131"/>
      <c r="BK17" s="131"/>
      <c r="BL17" s="131"/>
      <c r="BM17" s="131"/>
      <c r="BN17" s="131"/>
      <c r="BO17" s="131"/>
      <c r="BP17" s="131"/>
      <c r="BQ17" s="131"/>
      <c r="BR17" s="131"/>
      <c r="BS17" s="131"/>
      <c r="BT17" s="131"/>
      <c r="BU17" s="131"/>
      <c r="BV17" s="131"/>
      <c r="BW17" s="131"/>
      <c r="BX17" s="131"/>
      <c r="BY17" s="131"/>
      <c r="BZ17" s="131"/>
      <c r="CA17" s="131"/>
      <c r="CB17" s="131"/>
      <c r="CC17" s="131"/>
      <c r="CD17" s="131"/>
      <c r="CE17" s="131"/>
      <c r="CF17" s="131"/>
      <c r="CG17" s="131"/>
      <c r="CH17" s="131"/>
      <c r="CI17" s="131"/>
      <c r="CJ17" s="131"/>
      <c r="CK17" s="131"/>
      <c r="CL17" s="131"/>
      <c r="CM17" s="131"/>
      <c r="CN17" s="131"/>
      <c r="CO17" s="131"/>
      <c r="CP17" s="131"/>
      <c r="CQ17" s="131"/>
      <c r="CR17" s="131"/>
      <c r="CS17" s="131"/>
      <c r="CT17" s="131"/>
      <c r="CU17" s="131"/>
      <c r="CV17" s="131"/>
      <c r="CW17" s="131"/>
      <c r="CX17" s="131"/>
      <c r="CY17" s="131"/>
      <c r="CZ17" s="131"/>
      <c r="DA17" s="131"/>
      <c r="DB17" s="131"/>
      <c r="DC17" s="131"/>
      <c r="DD17" s="131"/>
      <c r="DE17" s="131"/>
      <c r="DF17" s="131"/>
      <c r="DG17" s="131"/>
      <c r="DH17" s="131"/>
      <c r="DI17" s="131"/>
      <c r="DJ17" s="131"/>
      <c r="DK17" s="131"/>
      <c r="DL17" s="131"/>
      <c r="DM17" s="131"/>
      <c r="DN17" s="131"/>
      <c r="DO17" s="131"/>
      <c r="DP17" s="131"/>
      <c r="DQ17" s="131"/>
      <c r="DR17" s="131"/>
      <c r="DS17" s="131"/>
      <c r="DT17" s="131"/>
      <c r="DU17" s="131"/>
      <c r="DV17" s="131"/>
      <c r="DW17" s="131"/>
      <c r="DX17" s="131"/>
      <c r="DY17" s="131"/>
      <c r="DZ17" s="131"/>
      <c r="EA17" s="131"/>
      <c r="EB17" s="131"/>
      <c r="EC17" s="131"/>
      <c r="ED17" s="131"/>
      <c r="EE17" s="131"/>
      <c r="EF17" s="131"/>
      <c r="EG17" s="131"/>
      <c r="EH17" s="131"/>
      <c r="EI17" s="131"/>
      <c r="EJ17" s="131"/>
      <c r="EK17" s="131"/>
      <c r="EL17" s="131"/>
      <c r="EM17" s="131"/>
      <c r="EN17" s="131"/>
      <c r="EO17" s="131"/>
      <c r="EP17" s="131"/>
      <c r="EQ17" s="131"/>
      <c r="ER17" s="131"/>
      <c r="ES17" s="131"/>
      <c r="ET17" s="131"/>
      <c r="EU17" s="131"/>
      <c r="EV17" s="131"/>
      <c r="EW17" s="131"/>
      <c r="EX17" s="131"/>
      <c r="EY17" s="131"/>
      <c r="EZ17" s="131"/>
      <c r="FA17" s="131"/>
      <c r="FB17" s="131"/>
      <c r="FC17" s="131"/>
      <c r="FD17" s="131"/>
      <c r="FE17" s="131"/>
      <c r="FF17" s="131"/>
      <c r="FG17" s="131"/>
      <c r="FH17" s="131"/>
      <c r="FI17" s="131"/>
      <c r="FJ17" s="131"/>
      <c r="FK17" s="131"/>
      <c r="FL17" s="131"/>
      <c r="FM17" s="131"/>
      <c r="FN17" s="131"/>
      <c r="FO17" s="131"/>
      <c r="FP17" s="131"/>
      <c r="FQ17" s="131"/>
      <c r="FR17" s="131"/>
      <c r="FS17" s="131"/>
      <c r="FT17" s="131"/>
      <c r="FU17" s="131"/>
      <c r="FV17" s="131"/>
      <c r="FW17" s="131"/>
      <c r="FX17" s="131"/>
      <c r="FY17" s="131"/>
      <c r="FZ17" s="131"/>
      <c r="GA17" s="131"/>
      <c r="GB17" s="131"/>
      <c r="GC17" s="131"/>
      <c r="GD17" s="131"/>
      <c r="GE17" s="131"/>
      <c r="GF17" s="131"/>
      <c r="GG17" s="131"/>
      <c r="GH17" s="131"/>
      <c r="GI17" s="131"/>
      <c r="GJ17" s="131"/>
      <c r="GK17" s="131"/>
      <c r="GL17" s="131"/>
      <c r="GM17" s="131"/>
      <c r="GN17" s="131"/>
      <c r="GO17" s="131"/>
      <c r="GP17" s="131"/>
      <c r="GQ17" s="131"/>
      <c r="GR17" s="131"/>
      <c r="GS17" s="131"/>
      <c r="GT17" s="131"/>
      <c r="GU17" s="131"/>
      <c r="GV17" s="131"/>
      <c r="GW17" s="131"/>
      <c r="GX17" s="131"/>
      <c r="GY17" s="131"/>
      <c r="GZ17" s="131"/>
      <c r="HA17" s="131"/>
      <c r="HB17" s="131"/>
      <c r="HC17" s="131"/>
      <c r="HD17" s="131"/>
      <c r="HE17" s="131"/>
      <c r="HF17" s="131"/>
      <c r="HG17" s="131"/>
      <c r="HH17" s="131"/>
      <c r="HI17" s="131"/>
      <c r="HJ17" s="131"/>
      <c r="HK17" s="131"/>
      <c r="HL17" s="131"/>
      <c r="HM17" s="131"/>
      <c r="HN17" s="131"/>
      <c r="HO17" s="131"/>
      <c r="HP17" s="131"/>
      <c r="HQ17" s="131"/>
      <c r="HR17" s="131"/>
      <c r="HS17" s="131"/>
      <c r="HT17" s="131"/>
      <c r="HU17" s="131"/>
      <c r="HV17" s="131"/>
      <c r="HW17" s="131"/>
      <c r="HX17" s="131"/>
      <c r="HY17" s="131"/>
      <c r="HZ17" s="131"/>
      <c r="IA17" s="131"/>
      <c r="IB17" s="131"/>
      <c r="IC17" s="131"/>
      <c r="ID17" s="131"/>
      <c r="IE17" s="131"/>
      <c r="IF17" s="131"/>
      <c r="IG17" s="131"/>
      <c r="IH17" s="131"/>
      <c r="II17" s="131"/>
      <c r="IJ17" s="131"/>
      <c r="IK17" s="131"/>
      <c r="IL17" s="131"/>
      <c r="IM17" s="131"/>
      <c r="IN17" s="131"/>
      <c r="IO17" s="131"/>
      <c r="IP17" s="131"/>
      <c r="IQ17" s="131"/>
      <c r="IR17" s="131"/>
      <c r="IS17" s="131"/>
      <c r="IT17" s="131"/>
      <c r="IU17" s="131"/>
      <c r="IV17" s="131"/>
      <c r="IW17" s="131"/>
      <c r="IX17" s="131"/>
      <c r="IY17" s="131"/>
      <c r="IZ17" s="131"/>
      <c r="JA17" s="131"/>
      <c r="JB17" s="131"/>
      <c r="JC17" s="131"/>
      <c r="JD17" s="131"/>
      <c r="JE17" s="131"/>
      <c r="JF17" s="131"/>
      <c r="JG17" s="131"/>
      <c r="JH17" s="131"/>
      <c r="JI17" s="131"/>
      <c r="JJ17" s="131"/>
      <c r="JK17" s="131"/>
      <c r="JL17" s="131"/>
      <c r="JM17" s="131"/>
      <c r="JN17" s="131"/>
      <c r="JO17" s="131"/>
      <c r="JP17" s="131"/>
      <c r="JQ17" s="131"/>
      <c r="JR17" s="131"/>
      <c r="JS17" s="131"/>
      <c r="JT17" s="131"/>
      <c r="JU17" s="131"/>
      <c r="JV17" s="131"/>
      <c r="JW17" s="131"/>
      <c r="JX17" s="131"/>
      <c r="JY17" s="131"/>
      <c r="JZ17" s="131"/>
      <c r="KA17" s="131"/>
      <c r="KB17" s="131"/>
      <c r="KC17" s="131"/>
      <c r="KD17" s="131"/>
      <c r="KE17" s="131"/>
      <c r="KF17" s="131"/>
      <c r="KG17" s="131"/>
      <c r="KH17" s="131"/>
      <c r="KI17" s="131"/>
      <c r="KJ17" s="131"/>
      <c r="KK17" s="131"/>
      <c r="KL17" s="131"/>
      <c r="KM17" s="131"/>
      <c r="KN17" s="131"/>
      <c r="KO17" s="131"/>
      <c r="KP17" s="131"/>
      <c r="KQ17" s="131"/>
      <c r="KR17" s="131"/>
      <c r="KS17" s="131"/>
      <c r="KT17" s="131"/>
      <c r="KU17" s="131"/>
      <c r="KV17" s="131"/>
      <c r="KW17" s="131"/>
      <c r="KX17" s="131"/>
      <c r="KY17" s="131"/>
      <c r="KZ17" s="131"/>
      <c r="LA17" s="131"/>
      <c r="LB17" s="131"/>
      <c r="LC17" s="131"/>
      <c r="LD17" s="131"/>
      <c r="LE17" s="131"/>
      <c r="LF17" s="131"/>
      <c r="LG17" s="131"/>
      <c r="LH17" s="131"/>
      <c r="LI17" s="131"/>
      <c r="LJ17" s="131"/>
      <c r="LK17" s="131"/>
      <c r="LL17" s="131"/>
      <c r="LM17" s="131"/>
      <c r="LN17" s="131"/>
      <c r="LO17" s="131"/>
      <c r="LP17" s="131"/>
      <c r="LQ17" s="131"/>
      <c r="LR17" s="131"/>
      <c r="LS17" s="131"/>
      <c r="LT17" s="131"/>
      <c r="LU17" s="131"/>
      <c r="LV17" s="131"/>
      <c r="LW17" s="131"/>
      <c r="LX17" s="131"/>
      <c r="LY17" s="131"/>
      <c r="LZ17" s="131"/>
      <c r="MA17" s="131"/>
      <c r="MB17" s="131"/>
      <c r="MC17" s="131"/>
      <c r="MD17" s="131"/>
      <c r="ME17" s="131"/>
      <c r="MF17" s="131"/>
      <c r="MG17" s="131"/>
      <c r="MH17" s="131"/>
      <c r="MI17" s="131"/>
      <c r="MJ17" s="131"/>
      <c r="MK17" s="131"/>
      <c r="ML17" s="131"/>
      <c r="MM17" s="131"/>
      <c r="MN17" s="131"/>
      <c r="MO17" s="131"/>
      <c r="MP17" s="131"/>
      <c r="MQ17" s="131"/>
      <c r="MR17" s="131"/>
      <c r="MS17" s="131"/>
      <c r="MT17" s="131"/>
      <c r="MU17" s="131"/>
      <c r="MV17" s="131"/>
      <c r="MW17" s="131"/>
      <c r="MX17" s="131"/>
      <c r="MY17" s="131"/>
      <c r="MZ17" s="131"/>
      <c r="NA17" s="131"/>
      <c r="NB17" s="131"/>
      <c r="NC17" s="131"/>
      <c r="ND17" s="131"/>
      <c r="NE17" s="131"/>
      <c r="NF17" s="131"/>
      <c r="NG17" s="131"/>
      <c r="NH17" s="131"/>
      <c r="NI17" s="131"/>
      <c r="NJ17" s="131"/>
      <c r="NK17" s="131"/>
      <c r="NL17" s="131"/>
      <c r="NM17" s="131"/>
      <c r="NN17" s="131"/>
      <c r="NO17" s="131"/>
      <c r="NP17" s="131"/>
      <c r="NQ17" s="131"/>
      <c r="NR17" s="131"/>
      <c r="NS17" s="131"/>
      <c r="NT17" s="131"/>
      <c r="NU17" s="131"/>
      <c r="NV17" s="131"/>
      <c r="NW17" s="24">
        <f t="shared" si="7"/>
        <v>0</v>
      </c>
      <c r="NX17" s="56" t="s">
        <v>36</v>
      </c>
      <c r="NY17" s="127">
        <v>1199.8800000000001</v>
      </c>
      <c r="NZ17" s="78">
        <f t="shared" si="2"/>
        <v>1199.8800000000001</v>
      </c>
      <c r="OA17" s="78">
        <v>791.67</v>
      </c>
      <c r="OB17" s="127">
        <f t="shared" si="0"/>
        <v>0</v>
      </c>
      <c r="OC17" s="153">
        <v>1199.8800000000001</v>
      </c>
      <c r="OD17" s="108">
        <f t="shared" si="1"/>
        <v>1.5156315131304712</v>
      </c>
      <c r="OE17" s="160" t="s">
        <v>500</v>
      </c>
    </row>
    <row r="18" spans="1:395" s="5" customFormat="1" ht="12.75" hidden="1" customHeight="1" x14ac:dyDescent="0.25">
      <c r="A18" s="62">
        <v>44481</v>
      </c>
      <c r="B18" s="106" t="s">
        <v>301</v>
      </c>
      <c r="C18" s="129"/>
      <c r="D18" s="129"/>
      <c r="E18" s="130"/>
      <c r="F18" s="130"/>
      <c r="G18" s="130"/>
      <c r="H18" s="130"/>
      <c r="I18" s="130"/>
      <c r="J18" s="130"/>
      <c r="K18" s="130"/>
      <c r="L18" s="130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  <c r="AZ18" s="131"/>
      <c r="BA18" s="131"/>
      <c r="BB18" s="131"/>
      <c r="BC18" s="131"/>
      <c r="BD18" s="131"/>
      <c r="BE18" s="131"/>
      <c r="BF18" s="131"/>
      <c r="BG18" s="131"/>
      <c r="BH18" s="131"/>
      <c r="BI18" s="131"/>
      <c r="BJ18" s="131"/>
      <c r="BK18" s="131"/>
      <c r="BL18" s="131"/>
      <c r="BM18" s="131"/>
      <c r="BN18" s="131"/>
      <c r="BO18" s="131"/>
      <c r="BP18" s="131"/>
      <c r="BQ18" s="131"/>
      <c r="BR18" s="131"/>
      <c r="BS18" s="131"/>
      <c r="BT18" s="131"/>
      <c r="BU18" s="131"/>
      <c r="BV18" s="131"/>
      <c r="BW18" s="131"/>
      <c r="BX18" s="131"/>
      <c r="BY18" s="131"/>
      <c r="BZ18" s="131"/>
      <c r="CA18" s="131"/>
      <c r="CB18" s="131"/>
      <c r="CC18" s="131"/>
      <c r="CD18" s="131"/>
      <c r="CE18" s="131"/>
      <c r="CF18" s="131"/>
      <c r="CG18" s="131"/>
      <c r="CH18" s="131"/>
      <c r="CI18" s="131"/>
      <c r="CJ18" s="131"/>
      <c r="CK18" s="131"/>
      <c r="CL18" s="131"/>
      <c r="CM18" s="131"/>
      <c r="CN18" s="131"/>
      <c r="CO18" s="131"/>
      <c r="CP18" s="131"/>
      <c r="CQ18" s="131"/>
      <c r="CR18" s="131"/>
      <c r="CS18" s="131"/>
      <c r="CT18" s="131"/>
      <c r="CU18" s="131"/>
      <c r="CV18" s="131"/>
      <c r="CW18" s="131"/>
      <c r="CX18" s="131"/>
      <c r="CY18" s="131"/>
      <c r="CZ18" s="131"/>
      <c r="DA18" s="131"/>
      <c r="DB18" s="131"/>
      <c r="DC18" s="131"/>
      <c r="DD18" s="131"/>
      <c r="DE18" s="131"/>
      <c r="DF18" s="131"/>
      <c r="DG18" s="131"/>
      <c r="DH18" s="131"/>
      <c r="DI18" s="131"/>
      <c r="DJ18" s="131"/>
      <c r="DK18" s="131"/>
      <c r="DL18" s="131"/>
      <c r="DM18" s="131"/>
      <c r="DN18" s="131"/>
      <c r="DO18" s="131"/>
      <c r="DP18" s="131"/>
      <c r="DQ18" s="131"/>
      <c r="DR18" s="131"/>
      <c r="DS18" s="131"/>
      <c r="DT18" s="131"/>
      <c r="DU18" s="131"/>
      <c r="DV18" s="131"/>
      <c r="DW18" s="131"/>
      <c r="DX18" s="131"/>
      <c r="DY18" s="131"/>
      <c r="DZ18" s="131"/>
      <c r="EA18" s="131"/>
      <c r="EB18" s="131"/>
      <c r="EC18" s="131"/>
      <c r="ED18" s="131"/>
      <c r="EE18" s="131"/>
      <c r="EF18" s="131"/>
      <c r="EG18" s="131"/>
      <c r="EH18" s="131"/>
      <c r="EI18" s="131"/>
      <c r="EJ18" s="131"/>
      <c r="EK18" s="131"/>
      <c r="EL18" s="131"/>
      <c r="EM18" s="131"/>
      <c r="EN18" s="131"/>
      <c r="EO18" s="131"/>
      <c r="EP18" s="131"/>
      <c r="EQ18" s="131"/>
      <c r="ER18" s="131"/>
      <c r="ES18" s="131"/>
      <c r="ET18" s="131"/>
      <c r="EU18" s="131"/>
      <c r="EV18" s="131"/>
      <c r="EW18" s="131"/>
      <c r="EX18" s="131"/>
      <c r="EY18" s="131"/>
      <c r="EZ18" s="131"/>
      <c r="FA18" s="131"/>
      <c r="FB18" s="131"/>
      <c r="FC18" s="131"/>
      <c r="FD18" s="131"/>
      <c r="FE18" s="131"/>
      <c r="FF18" s="131"/>
      <c r="FG18" s="131"/>
      <c r="FH18" s="131"/>
      <c r="FI18" s="131"/>
      <c r="FJ18" s="131"/>
      <c r="FK18" s="131"/>
      <c r="FL18" s="131"/>
      <c r="FM18" s="131"/>
      <c r="FN18" s="131"/>
      <c r="FO18" s="131"/>
      <c r="FP18" s="131"/>
      <c r="FQ18" s="131"/>
      <c r="FR18" s="131"/>
      <c r="FS18" s="131"/>
      <c r="FT18" s="131"/>
      <c r="FU18" s="131"/>
      <c r="FV18" s="131"/>
      <c r="FW18" s="131"/>
      <c r="FX18" s="131"/>
      <c r="FY18" s="131"/>
      <c r="FZ18" s="131"/>
      <c r="GA18" s="131"/>
      <c r="GB18" s="131"/>
      <c r="GC18" s="131"/>
      <c r="GD18" s="131"/>
      <c r="GE18" s="131"/>
      <c r="GF18" s="131"/>
      <c r="GG18" s="131"/>
      <c r="GH18" s="131"/>
      <c r="GI18" s="131"/>
      <c r="GJ18" s="131"/>
      <c r="GK18" s="131"/>
      <c r="GL18" s="131"/>
      <c r="GM18" s="131"/>
      <c r="GN18" s="131"/>
      <c r="GO18" s="131"/>
      <c r="GP18" s="131"/>
      <c r="GQ18" s="131"/>
      <c r="GR18" s="131"/>
      <c r="GS18" s="131"/>
      <c r="GT18" s="131"/>
      <c r="GU18" s="131"/>
      <c r="GV18" s="131"/>
      <c r="GW18" s="131"/>
      <c r="GX18" s="131"/>
      <c r="GY18" s="131"/>
      <c r="GZ18" s="131"/>
      <c r="HA18" s="131"/>
      <c r="HB18" s="131"/>
      <c r="HC18" s="131"/>
      <c r="HD18" s="131"/>
      <c r="HE18" s="131"/>
      <c r="HF18" s="131"/>
      <c r="HG18" s="131"/>
      <c r="HH18" s="131"/>
      <c r="HI18" s="131"/>
      <c r="HJ18" s="131"/>
      <c r="HK18" s="131"/>
      <c r="HL18" s="131"/>
      <c r="HM18" s="131"/>
      <c r="HN18" s="131"/>
      <c r="HO18" s="131"/>
      <c r="HP18" s="131"/>
      <c r="HQ18" s="131"/>
      <c r="HR18" s="131"/>
      <c r="HS18" s="131"/>
      <c r="HT18" s="131"/>
      <c r="HU18" s="131"/>
      <c r="HV18" s="131"/>
      <c r="HW18" s="131"/>
      <c r="HX18" s="131"/>
      <c r="HY18" s="131"/>
      <c r="HZ18" s="131"/>
      <c r="IA18" s="131"/>
      <c r="IB18" s="131"/>
      <c r="IC18" s="131"/>
      <c r="ID18" s="131"/>
      <c r="IE18" s="131"/>
      <c r="IF18" s="131"/>
      <c r="IG18" s="131"/>
      <c r="IH18" s="131"/>
      <c r="II18" s="131"/>
      <c r="IJ18" s="131"/>
      <c r="IK18" s="131"/>
      <c r="IL18" s="131"/>
      <c r="IM18" s="131"/>
      <c r="IN18" s="131"/>
      <c r="IO18" s="131"/>
      <c r="IP18" s="131"/>
      <c r="IQ18" s="131"/>
      <c r="IR18" s="131"/>
      <c r="IS18" s="131"/>
      <c r="IT18" s="131"/>
      <c r="IU18" s="131"/>
      <c r="IV18" s="131"/>
      <c r="IW18" s="131"/>
      <c r="IX18" s="131"/>
      <c r="IY18" s="131"/>
      <c r="IZ18" s="131"/>
      <c r="JA18" s="131"/>
      <c r="JB18" s="131"/>
      <c r="JC18" s="131"/>
      <c r="JD18" s="131"/>
      <c r="JE18" s="131"/>
      <c r="JF18" s="131"/>
      <c r="JG18" s="131"/>
      <c r="JH18" s="131"/>
      <c r="JI18" s="131"/>
      <c r="JJ18" s="131"/>
      <c r="JK18" s="131"/>
      <c r="JL18" s="131"/>
      <c r="JM18" s="131"/>
      <c r="JN18" s="131"/>
      <c r="JO18" s="131"/>
      <c r="JP18" s="131"/>
      <c r="JQ18" s="131"/>
      <c r="JR18" s="131"/>
      <c r="JS18" s="131"/>
      <c r="JT18" s="131"/>
      <c r="JU18" s="131"/>
      <c r="JV18" s="131"/>
      <c r="JW18" s="131"/>
      <c r="JX18" s="131"/>
      <c r="JY18" s="131"/>
      <c r="JZ18" s="131"/>
      <c r="KA18" s="131"/>
      <c r="KB18" s="131"/>
      <c r="KC18" s="131"/>
      <c r="KD18" s="131"/>
      <c r="KE18" s="131"/>
      <c r="KF18" s="131"/>
      <c r="KG18" s="131"/>
      <c r="KH18" s="131"/>
      <c r="KI18" s="131"/>
      <c r="KJ18" s="131"/>
      <c r="KK18" s="131"/>
      <c r="KL18" s="131"/>
      <c r="KM18" s="131"/>
      <c r="KN18" s="131"/>
      <c r="KO18" s="131"/>
      <c r="KP18" s="131"/>
      <c r="KQ18" s="131"/>
      <c r="KR18" s="131"/>
      <c r="KS18" s="131"/>
      <c r="KT18" s="131"/>
      <c r="KU18" s="131"/>
      <c r="KV18" s="131"/>
      <c r="KW18" s="131"/>
      <c r="KX18" s="131"/>
      <c r="KY18" s="131"/>
      <c r="KZ18" s="131"/>
      <c r="LA18" s="131"/>
      <c r="LB18" s="131"/>
      <c r="LC18" s="131"/>
      <c r="LD18" s="131"/>
      <c r="LE18" s="131"/>
      <c r="LF18" s="131"/>
      <c r="LG18" s="131"/>
      <c r="LH18" s="131"/>
      <c r="LI18" s="131"/>
      <c r="LJ18" s="131"/>
      <c r="LK18" s="131"/>
      <c r="LL18" s="131"/>
      <c r="LM18" s="131"/>
      <c r="LN18" s="131"/>
      <c r="LO18" s="131"/>
      <c r="LP18" s="131"/>
      <c r="LQ18" s="131"/>
      <c r="LR18" s="131"/>
      <c r="LS18" s="131"/>
      <c r="LT18" s="131"/>
      <c r="LU18" s="131"/>
      <c r="LV18" s="131"/>
      <c r="LW18" s="131"/>
      <c r="LX18" s="131"/>
      <c r="LY18" s="131"/>
      <c r="LZ18" s="131"/>
      <c r="MA18" s="131"/>
      <c r="MB18" s="131"/>
      <c r="MC18" s="131"/>
      <c r="MD18" s="131"/>
      <c r="ME18" s="131"/>
      <c r="MF18" s="131"/>
      <c r="MG18" s="131"/>
      <c r="MH18" s="131"/>
      <c r="MI18" s="131"/>
      <c r="MJ18" s="131"/>
      <c r="MK18" s="131"/>
      <c r="ML18" s="131"/>
      <c r="MM18" s="131"/>
      <c r="MN18" s="131"/>
      <c r="MO18" s="131"/>
      <c r="MP18" s="131"/>
      <c r="MQ18" s="131"/>
      <c r="MR18" s="131"/>
      <c r="MS18" s="131"/>
      <c r="MT18" s="131"/>
      <c r="MU18" s="131"/>
      <c r="MV18" s="131"/>
      <c r="MW18" s="131"/>
      <c r="MX18" s="131"/>
      <c r="MY18" s="131"/>
      <c r="MZ18" s="131"/>
      <c r="NA18" s="131"/>
      <c r="NB18" s="131"/>
      <c r="NC18" s="131"/>
      <c r="ND18" s="131"/>
      <c r="NE18" s="131"/>
      <c r="NF18" s="131"/>
      <c r="NG18" s="131"/>
      <c r="NH18" s="131"/>
      <c r="NI18" s="131"/>
      <c r="NJ18" s="131"/>
      <c r="NK18" s="131"/>
      <c r="NL18" s="131"/>
      <c r="NM18" s="131"/>
      <c r="NN18" s="131"/>
      <c r="NO18" s="131"/>
      <c r="NP18" s="131"/>
      <c r="NQ18" s="131"/>
      <c r="NR18" s="131"/>
      <c r="NS18" s="131"/>
      <c r="NT18" s="131"/>
      <c r="NU18" s="131"/>
      <c r="NV18" s="131"/>
      <c r="NW18" s="24">
        <f t="shared" si="7"/>
        <v>0</v>
      </c>
      <c r="NX18" s="56" t="s">
        <v>36</v>
      </c>
      <c r="NY18" s="127">
        <v>636</v>
      </c>
      <c r="NZ18" s="78">
        <f t="shared" si="2"/>
        <v>636</v>
      </c>
      <c r="OA18" s="78">
        <v>422</v>
      </c>
      <c r="OB18" s="127">
        <f t="shared" si="0"/>
        <v>0</v>
      </c>
      <c r="OC18" s="153">
        <v>636</v>
      </c>
      <c r="OD18" s="108">
        <f t="shared" si="1"/>
        <v>1.5071090047393365</v>
      </c>
      <c r="OE18" s="160" t="s">
        <v>500</v>
      </c>
    </row>
    <row r="19" spans="1:395" s="5" customFormat="1" ht="12.75" customHeight="1" x14ac:dyDescent="0.25">
      <c r="A19" s="62">
        <v>44482</v>
      </c>
      <c r="B19" s="106" t="s">
        <v>406</v>
      </c>
      <c r="C19" s="129"/>
      <c r="D19" s="129"/>
      <c r="E19" s="130"/>
      <c r="F19" s="130"/>
      <c r="G19" s="130"/>
      <c r="H19" s="130"/>
      <c r="I19" s="130"/>
      <c r="J19" s="130"/>
      <c r="K19" s="130"/>
      <c r="L19" s="130"/>
      <c r="M19" s="131"/>
      <c r="N19" s="131"/>
      <c r="O19" s="131"/>
      <c r="P19" s="131"/>
      <c r="Q19" s="131"/>
      <c r="R19" s="131"/>
      <c r="S19" s="131"/>
      <c r="T19" s="131"/>
      <c r="U19" s="131"/>
      <c r="V19" s="131"/>
      <c r="W19" s="131"/>
      <c r="X19" s="131"/>
      <c r="Y19" s="131"/>
      <c r="Z19" s="131"/>
      <c r="AA19" s="131"/>
      <c r="AB19" s="131"/>
      <c r="AC19" s="131"/>
      <c r="AD19" s="131"/>
      <c r="AE19" s="131"/>
      <c r="AF19" s="131"/>
      <c r="AG19" s="131"/>
      <c r="AH19" s="131"/>
      <c r="AI19" s="131"/>
      <c r="AJ19" s="131"/>
      <c r="AK19" s="131"/>
      <c r="AL19" s="131"/>
      <c r="AM19" s="131"/>
      <c r="AN19" s="131"/>
      <c r="AO19" s="131"/>
      <c r="AP19" s="131"/>
      <c r="AQ19" s="131"/>
      <c r="AR19" s="131"/>
      <c r="AS19" s="131"/>
      <c r="AT19" s="131"/>
      <c r="AU19" s="131"/>
      <c r="AV19" s="131"/>
      <c r="AW19" s="131"/>
      <c r="AX19" s="131"/>
      <c r="AY19" s="131"/>
      <c r="AZ19" s="131"/>
      <c r="BA19" s="131"/>
      <c r="BB19" s="131"/>
      <c r="BC19" s="131"/>
      <c r="BD19" s="131"/>
      <c r="BE19" s="131"/>
      <c r="BF19" s="131"/>
      <c r="BG19" s="131"/>
      <c r="BH19" s="131"/>
      <c r="BI19" s="131"/>
      <c r="BJ19" s="131"/>
      <c r="BK19" s="131"/>
      <c r="BL19" s="131"/>
      <c r="BM19" s="131"/>
      <c r="BN19" s="131"/>
      <c r="BO19" s="131"/>
      <c r="BP19" s="131"/>
      <c r="BQ19" s="131"/>
      <c r="BR19" s="131"/>
      <c r="BS19" s="131"/>
      <c r="BT19" s="131"/>
      <c r="BU19" s="131"/>
      <c r="BV19" s="131"/>
      <c r="BW19" s="131"/>
      <c r="BX19" s="131"/>
      <c r="BY19" s="131"/>
      <c r="BZ19" s="131"/>
      <c r="CA19" s="131"/>
      <c r="CB19" s="131"/>
      <c r="CC19" s="131"/>
      <c r="CD19" s="131"/>
      <c r="CE19" s="131"/>
      <c r="CF19" s="131"/>
      <c r="CG19" s="131"/>
      <c r="CH19" s="131"/>
      <c r="CI19" s="131"/>
      <c r="CJ19" s="131"/>
      <c r="CK19" s="131"/>
      <c r="CL19" s="131"/>
      <c r="CM19" s="131"/>
      <c r="CN19" s="131"/>
      <c r="CO19" s="131"/>
      <c r="CP19" s="131"/>
      <c r="CQ19" s="131"/>
      <c r="CR19" s="131"/>
      <c r="CS19" s="131"/>
      <c r="CT19" s="131"/>
      <c r="CU19" s="131"/>
      <c r="CV19" s="131"/>
      <c r="CW19" s="131"/>
      <c r="CX19" s="131"/>
      <c r="CY19" s="131"/>
      <c r="CZ19" s="131"/>
      <c r="DA19" s="131"/>
      <c r="DB19" s="131"/>
      <c r="DC19" s="131"/>
      <c r="DD19" s="131"/>
      <c r="DE19" s="131"/>
      <c r="DF19" s="131"/>
      <c r="DG19" s="131"/>
      <c r="DH19" s="131"/>
      <c r="DI19" s="131"/>
      <c r="DJ19" s="131"/>
      <c r="DK19" s="131"/>
      <c r="DL19" s="131"/>
      <c r="DM19" s="131"/>
      <c r="DN19" s="131"/>
      <c r="DO19" s="131"/>
      <c r="DP19" s="131"/>
      <c r="DQ19" s="131"/>
      <c r="DR19" s="131"/>
      <c r="DS19" s="131"/>
      <c r="DT19" s="131"/>
      <c r="DU19" s="131"/>
      <c r="DV19" s="131"/>
      <c r="DW19" s="131"/>
      <c r="DX19" s="131"/>
      <c r="DY19" s="131"/>
      <c r="DZ19" s="131"/>
      <c r="EA19" s="131"/>
      <c r="EB19" s="131"/>
      <c r="EC19" s="131"/>
      <c r="ED19" s="131"/>
      <c r="EE19" s="131"/>
      <c r="EF19" s="131"/>
      <c r="EG19" s="131"/>
      <c r="EH19" s="131"/>
      <c r="EI19" s="131"/>
      <c r="EJ19" s="131"/>
      <c r="EK19" s="131"/>
      <c r="EL19" s="131"/>
      <c r="EM19" s="131"/>
      <c r="EN19" s="131"/>
      <c r="EO19" s="131"/>
      <c r="EP19" s="131"/>
      <c r="EQ19" s="131"/>
      <c r="ER19" s="131"/>
      <c r="ES19" s="131"/>
      <c r="ET19" s="131"/>
      <c r="EU19" s="131"/>
      <c r="EV19" s="131"/>
      <c r="EW19" s="131"/>
      <c r="EX19" s="131"/>
      <c r="EY19" s="131"/>
      <c r="EZ19" s="131"/>
      <c r="FA19" s="131"/>
      <c r="FB19" s="131"/>
      <c r="FC19" s="131"/>
      <c r="FD19" s="131"/>
      <c r="FE19" s="131"/>
      <c r="FF19" s="131"/>
      <c r="FG19" s="131"/>
      <c r="FH19" s="131"/>
      <c r="FI19" s="131"/>
      <c r="FJ19" s="131"/>
      <c r="FK19" s="131"/>
      <c r="FL19" s="131"/>
      <c r="FM19" s="131"/>
      <c r="FN19" s="131"/>
      <c r="FO19" s="131"/>
      <c r="FP19" s="131"/>
      <c r="FQ19" s="131"/>
      <c r="FR19" s="131"/>
      <c r="FS19" s="131"/>
      <c r="FT19" s="131"/>
      <c r="FU19" s="131"/>
      <c r="FV19" s="131"/>
      <c r="FW19" s="131"/>
      <c r="FX19" s="131"/>
      <c r="FY19" s="131"/>
      <c r="FZ19" s="131"/>
      <c r="GA19" s="131"/>
      <c r="GB19" s="131"/>
      <c r="GC19" s="131"/>
      <c r="GD19" s="131"/>
      <c r="GE19" s="131"/>
      <c r="GF19" s="131"/>
      <c r="GG19" s="131"/>
      <c r="GH19" s="131"/>
      <c r="GI19" s="131"/>
      <c r="GJ19" s="131"/>
      <c r="GK19" s="131"/>
      <c r="GL19" s="131"/>
      <c r="GM19" s="131"/>
      <c r="GN19" s="131"/>
      <c r="GO19" s="131"/>
      <c r="GP19" s="131"/>
      <c r="GQ19" s="131"/>
      <c r="GR19" s="131"/>
      <c r="GS19" s="131"/>
      <c r="GT19" s="131"/>
      <c r="GU19" s="131"/>
      <c r="GV19" s="131"/>
      <c r="GW19" s="131"/>
      <c r="GX19" s="131"/>
      <c r="GY19" s="131"/>
      <c r="GZ19" s="131"/>
      <c r="HA19" s="131"/>
      <c r="HB19" s="131"/>
      <c r="HC19" s="131"/>
      <c r="HD19" s="131"/>
      <c r="HE19" s="131"/>
      <c r="HF19" s="131"/>
      <c r="HG19" s="131"/>
      <c r="HH19" s="131"/>
      <c r="HI19" s="131"/>
      <c r="HJ19" s="131"/>
      <c r="HK19" s="131"/>
      <c r="HL19" s="131"/>
      <c r="HM19" s="131"/>
      <c r="HN19" s="131"/>
      <c r="HO19" s="131"/>
      <c r="HP19" s="131"/>
      <c r="HQ19" s="131"/>
      <c r="HR19" s="131"/>
      <c r="HS19" s="131"/>
      <c r="HT19" s="131"/>
      <c r="HU19" s="131"/>
      <c r="HV19" s="131"/>
      <c r="HW19" s="131"/>
      <c r="HX19" s="131"/>
      <c r="HY19" s="131"/>
      <c r="HZ19" s="131"/>
      <c r="IA19" s="131"/>
      <c r="IB19" s="131"/>
      <c r="IC19" s="131"/>
      <c r="ID19" s="131"/>
      <c r="IE19" s="131"/>
      <c r="IF19" s="131"/>
      <c r="IG19" s="131"/>
      <c r="IH19" s="131"/>
      <c r="II19" s="131"/>
      <c r="IJ19" s="131"/>
      <c r="IK19" s="131"/>
      <c r="IL19" s="131"/>
      <c r="IM19" s="131"/>
      <c r="IN19" s="131"/>
      <c r="IO19" s="131"/>
      <c r="IP19" s="131"/>
      <c r="IQ19" s="131"/>
      <c r="IR19" s="131"/>
      <c r="IS19" s="131"/>
      <c r="IT19" s="131"/>
      <c r="IU19" s="131"/>
      <c r="IV19" s="131"/>
      <c r="IW19" s="131"/>
      <c r="IX19" s="131"/>
      <c r="IY19" s="131"/>
      <c r="IZ19" s="131"/>
      <c r="JA19" s="131"/>
      <c r="JB19" s="131"/>
      <c r="JC19" s="131"/>
      <c r="JD19" s="131"/>
      <c r="JE19" s="131"/>
      <c r="JF19" s="131"/>
      <c r="JG19" s="131"/>
      <c r="JH19" s="131"/>
      <c r="JI19" s="131"/>
      <c r="JJ19" s="131"/>
      <c r="JK19" s="131"/>
      <c r="JL19" s="131"/>
      <c r="JM19" s="131"/>
      <c r="JN19" s="131"/>
      <c r="JO19" s="131"/>
      <c r="JP19" s="131"/>
      <c r="JQ19" s="131"/>
      <c r="JR19" s="131"/>
      <c r="JS19" s="131"/>
      <c r="JT19" s="131"/>
      <c r="JU19" s="131"/>
      <c r="JV19" s="131"/>
      <c r="JW19" s="131"/>
      <c r="JX19" s="131"/>
      <c r="JY19" s="131"/>
      <c r="JZ19" s="131"/>
      <c r="KA19" s="131"/>
      <c r="KB19" s="131"/>
      <c r="KC19" s="131"/>
      <c r="KD19" s="131"/>
      <c r="KE19" s="131"/>
      <c r="KF19" s="131"/>
      <c r="KG19" s="131"/>
      <c r="KH19" s="131"/>
      <c r="KI19" s="131"/>
      <c r="KJ19" s="131"/>
      <c r="KK19" s="131"/>
      <c r="KL19" s="131"/>
      <c r="KM19" s="131"/>
      <c r="KN19" s="131"/>
      <c r="KO19" s="131"/>
      <c r="KP19" s="131"/>
      <c r="KQ19" s="131"/>
      <c r="KR19" s="131"/>
      <c r="KS19" s="131"/>
      <c r="KT19" s="131"/>
      <c r="KU19" s="131"/>
      <c r="KV19" s="131"/>
      <c r="KW19" s="131"/>
      <c r="KX19" s="131"/>
      <c r="KY19" s="131"/>
      <c r="KZ19" s="131"/>
      <c r="LA19" s="131"/>
      <c r="LB19" s="131"/>
      <c r="LC19" s="131"/>
      <c r="LD19" s="131"/>
      <c r="LE19" s="131"/>
      <c r="LF19" s="131"/>
      <c r="LG19" s="131"/>
      <c r="LH19" s="131"/>
      <c r="LI19" s="131"/>
      <c r="LJ19" s="131"/>
      <c r="LK19" s="131"/>
      <c r="LL19" s="131"/>
      <c r="LM19" s="131"/>
      <c r="LN19" s="131"/>
      <c r="LO19" s="131"/>
      <c r="LP19" s="131"/>
      <c r="LQ19" s="131"/>
      <c r="LR19" s="131"/>
      <c r="LS19" s="131"/>
      <c r="LT19" s="131"/>
      <c r="LU19" s="131"/>
      <c r="LV19" s="131"/>
      <c r="LW19" s="131"/>
      <c r="LX19" s="131"/>
      <c r="LY19" s="131"/>
      <c r="LZ19" s="131"/>
      <c r="MA19" s="131"/>
      <c r="MB19" s="131"/>
      <c r="MC19" s="131"/>
      <c r="MD19" s="131"/>
      <c r="ME19" s="131"/>
      <c r="MF19" s="131"/>
      <c r="MG19" s="131"/>
      <c r="MH19" s="131"/>
      <c r="MI19" s="131"/>
      <c r="MJ19" s="131"/>
      <c r="MK19" s="131"/>
      <c r="ML19" s="131"/>
      <c r="MM19" s="131"/>
      <c r="MN19" s="131"/>
      <c r="MO19" s="131"/>
      <c r="MP19" s="131"/>
      <c r="MQ19" s="131"/>
      <c r="MR19" s="131"/>
      <c r="MS19" s="131"/>
      <c r="MT19" s="131"/>
      <c r="MU19" s="131"/>
      <c r="MV19" s="131"/>
      <c r="MW19" s="131"/>
      <c r="MX19" s="131"/>
      <c r="MY19" s="131"/>
      <c r="MZ19" s="131"/>
      <c r="NA19" s="131"/>
      <c r="NB19" s="131"/>
      <c r="NC19" s="131"/>
      <c r="ND19" s="131"/>
      <c r="NE19" s="131"/>
      <c r="NF19" s="131"/>
      <c r="NG19" s="131"/>
      <c r="NH19" s="131"/>
      <c r="NI19" s="131"/>
      <c r="NJ19" s="131"/>
      <c r="NK19" s="131"/>
      <c r="NL19" s="131"/>
      <c r="NM19" s="131"/>
      <c r="NN19" s="131"/>
      <c r="NO19" s="131"/>
      <c r="NP19" s="131"/>
      <c r="NQ19" s="131"/>
      <c r="NR19" s="131"/>
      <c r="NS19" s="131"/>
      <c r="NT19" s="131"/>
      <c r="NU19" s="131"/>
      <c r="NV19" s="131"/>
      <c r="NW19" s="24">
        <f t="shared" si="7"/>
        <v>0</v>
      </c>
      <c r="NX19" s="56" t="s">
        <v>36</v>
      </c>
      <c r="NY19" s="127">
        <v>2602.1799999999998</v>
      </c>
      <c r="NZ19" s="78">
        <f t="shared" si="2"/>
        <v>0</v>
      </c>
      <c r="OA19" s="78">
        <v>1580.66</v>
      </c>
      <c r="OB19" s="127">
        <f t="shared" si="0"/>
        <v>2602.1799999999998</v>
      </c>
      <c r="OC19" s="153"/>
      <c r="OD19" s="108">
        <f t="shared" si="1"/>
        <v>1.6462616881555805</v>
      </c>
      <c r="OE19" s="160" t="s">
        <v>501</v>
      </c>
    </row>
    <row r="20" spans="1:395" s="5" customFormat="1" ht="12.75" customHeight="1" x14ac:dyDescent="0.25">
      <c r="A20" s="62">
        <v>44484</v>
      </c>
      <c r="B20" s="116" t="s">
        <v>81</v>
      </c>
      <c r="C20" s="129"/>
      <c r="D20" s="129"/>
      <c r="E20" s="130"/>
      <c r="F20" s="130"/>
      <c r="G20" s="130"/>
      <c r="H20" s="130"/>
      <c r="I20" s="130"/>
      <c r="J20" s="130"/>
      <c r="K20" s="130"/>
      <c r="L20" s="130"/>
      <c r="M20" s="131"/>
      <c r="N20" s="131"/>
      <c r="O20" s="131"/>
      <c r="P20" s="131"/>
      <c r="Q20" s="131"/>
      <c r="R20" s="131"/>
      <c r="S20" s="131"/>
      <c r="T20" s="131"/>
      <c r="U20" s="131"/>
      <c r="V20" s="131"/>
      <c r="W20" s="131"/>
      <c r="X20" s="131"/>
      <c r="Y20" s="131"/>
      <c r="Z20" s="131"/>
      <c r="AA20" s="131"/>
      <c r="AB20" s="131"/>
      <c r="AC20" s="131"/>
      <c r="AD20" s="131"/>
      <c r="AE20" s="131"/>
      <c r="AF20" s="131"/>
      <c r="AG20" s="131"/>
      <c r="AH20" s="131"/>
      <c r="AI20" s="131"/>
      <c r="AJ20" s="131"/>
      <c r="AK20" s="131"/>
      <c r="AL20" s="131"/>
      <c r="AM20" s="131"/>
      <c r="AN20" s="131"/>
      <c r="AO20" s="131"/>
      <c r="AP20" s="131"/>
      <c r="AQ20" s="131"/>
      <c r="AR20" s="131"/>
      <c r="AS20" s="131"/>
      <c r="AT20" s="131"/>
      <c r="AU20" s="131"/>
      <c r="AV20" s="131"/>
      <c r="AW20" s="131"/>
      <c r="AX20" s="131"/>
      <c r="AY20" s="131"/>
      <c r="AZ20" s="131"/>
      <c r="BA20" s="131"/>
      <c r="BB20" s="131"/>
      <c r="BC20" s="131"/>
      <c r="BD20" s="131"/>
      <c r="BE20" s="131"/>
      <c r="BF20" s="131"/>
      <c r="BG20" s="131"/>
      <c r="BH20" s="131"/>
      <c r="BI20" s="131"/>
      <c r="BJ20" s="131"/>
      <c r="BK20" s="131"/>
      <c r="BL20" s="131"/>
      <c r="BM20" s="131"/>
      <c r="BN20" s="131"/>
      <c r="BO20" s="131"/>
      <c r="BP20" s="131"/>
      <c r="BQ20" s="131"/>
      <c r="BR20" s="131"/>
      <c r="BS20" s="131"/>
      <c r="BT20" s="131"/>
      <c r="BU20" s="131"/>
      <c r="BV20" s="131"/>
      <c r="BW20" s="131"/>
      <c r="BX20" s="131"/>
      <c r="BY20" s="131"/>
      <c r="BZ20" s="131"/>
      <c r="CA20" s="131"/>
      <c r="CB20" s="131"/>
      <c r="CC20" s="131"/>
      <c r="CD20" s="131"/>
      <c r="CE20" s="131"/>
      <c r="CF20" s="131"/>
      <c r="CG20" s="131"/>
      <c r="CH20" s="131"/>
      <c r="CI20" s="131"/>
      <c r="CJ20" s="131"/>
      <c r="CK20" s="131"/>
      <c r="CL20" s="131"/>
      <c r="CM20" s="131"/>
      <c r="CN20" s="131"/>
      <c r="CO20" s="131"/>
      <c r="CP20" s="131"/>
      <c r="CQ20" s="131"/>
      <c r="CR20" s="131"/>
      <c r="CS20" s="131"/>
      <c r="CT20" s="131"/>
      <c r="CU20" s="131"/>
      <c r="CV20" s="131"/>
      <c r="CW20" s="131"/>
      <c r="CX20" s="131"/>
      <c r="CY20" s="131"/>
      <c r="CZ20" s="131"/>
      <c r="DA20" s="131"/>
      <c r="DB20" s="131"/>
      <c r="DC20" s="131"/>
      <c r="DD20" s="131"/>
      <c r="DE20" s="131"/>
      <c r="DF20" s="131"/>
      <c r="DG20" s="131"/>
      <c r="DH20" s="131"/>
      <c r="DI20" s="131"/>
      <c r="DJ20" s="131"/>
      <c r="DK20" s="131"/>
      <c r="DL20" s="131"/>
      <c r="DM20" s="131"/>
      <c r="DN20" s="131"/>
      <c r="DO20" s="131"/>
      <c r="DP20" s="131"/>
      <c r="DQ20" s="131"/>
      <c r="DR20" s="131"/>
      <c r="DS20" s="131"/>
      <c r="DT20" s="131"/>
      <c r="DU20" s="131"/>
      <c r="DV20" s="131"/>
      <c r="DW20" s="131"/>
      <c r="DX20" s="131"/>
      <c r="DY20" s="131"/>
      <c r="DZ20" s="131"/>
      <c r="EA20" s="131"/>
      <c r="EB20" s="131"/>
      <c r="EC20" s="131"/>
      <c r="ED20" s="131"/>
      <c r="EE20" s="131"/>
      <c r="EF20" s="131"/>
      <c r="EG20" s="131"/>
      <c r="EH20" s="131"/>
      <c r="EI20" s="131"/>
      <c r="EJ20" s="131"/>
      <c r="EK20" s="131"/>
      <c r="EL20" s="131"/>
      <c r="EM20" s="131"/>
      <c r="EN20" s="131"/>
      <c r="EO20" s="131"/>
      <c r="EP20" s="131"/>
      <c r="EQ20" s="131"/>
      <c r="ER20" s="131"/>
      <c r="ES20" s="131"/>
      <c r="ET20" s="131"/>
      <c r="EU20" s="131"/>
      <c r="EV20" s="131"/>
      <c r="EW20" s="131"/>
      <c r="EX20" s="131"/>
      <c r="EY20" s="131"/>
      <c r="EZ20" s="131"/>
      <c r="FA20" s="131"/>
      <c r="FB20" s="131"/>
      <c r="FC20" s="131"/>
      <c r="FD20" s="131"/>
      <c r="FE20" s="131"/>
      <c r="FF20" s="131"/>
      <c r="FG20" s="131"/>
      <c r="FH20" s="131"/>
      <c r="FI20" s="131"/>
      <c r="FJ20" s="131"/>
      <c r="FK20" s="131"/>
      <c r="FL20" s="131"/>
      <c r="FM20" s="131"/>
      <c r="FN20" s="131"/>
      <c r="FO20" s="131"/>
      <c r="FP20" s="131"/>
      <c r="FQ20" s="131"/>
      <c r="FR20" s="131"/>
      <c r="FS20" s="131"/>
      <c r="FT20" s="131"/>
      <c r="FU20" s="131"/>
      <c r="FV20" s="131"/>
      <c r="FW20" s="131"/>
      <c r="FX20" s="131"/>
      <c r="FY20" s="131"/>
      <c r="FZ20" s="131"/>
      <c r="GA20" s="131"/>
      <c r="GB20" s="131"/>
      <c r="GC20" s="131"/>
      <c r="GD20" s="131"/>
      <c r="GE20" s="131"/>
      <c r="GF20" s="131"/>
      <c r="GG20" s="131"/>
      <c r="GH20" s="131"/>
      <c r="GI20" s="131"/>
      <c r="GJ20" s="131"/>
      <c r="GK20" s="131"/>
      <c r="GL20" s="131"/>
      <c r="GM20" s="131"/>
      <c r="GN20" s="131"/>
      <c r="GO20" s="131"/>
      <c r="GP20" s="131"/>
      <c r="GQ20" s="131"/>
      <c r="GR20" s="131"/>
      <c r="GS20" s="131"/>
      <c r="GT20" s="131"/>
      <c r="GU20" s="131"/>
      <c r="GV20" s="131"/>
      <c r="GW20" s="131"/>
      <c r="GX20" s="131"/>
      <c r="GY20" s="131"/>
      <c r="GZ20" s="131"/>
      <c r="HA20" s="131"/>
      <c r="HB20" s="131"/>
      <c r="HC20" s="131"/>
      <c r="HD20" s="131"/>
      <c r="HE20" s="131"/>
      <c r="HF20" s="131"/>
      <c r="HG20" s="131"/>
      <c r="HH20" s="131"/>
      <c r="HI20" s="131"/>
      <c r="HJ20" s="131"/>
      <c r="HK20" s="131"/>
      <c r="HL20" s="131"/>
      <c r="HM20" s="131"/>
      <c r="HN20" s="131"/>
      <c r="HO20" s="131"/>
      <c r="HP20" s="131"/>
      <c r="HQ20" s="131"/>
      <c r="HR20" s="131"/>
      <c r="HS20" s="131"/>
      <c r="HT20" s="131"/>
      <c r="HU20" s="131"/>
      <c r="HV20" s="131"/>
      <c r="HW20" s="131"/>
      <c r="HX20" s="131"/>
      <c r="HY20" s="131"/>
      <c r="HZ20" s="131"/>
      <c r="IA20" s="131"/>
      <c r="IB20" s="131"/>
      <c r="IC20" s="131"/>
      <c r="ID20" s="131"/>
      <c r="IE20" s="131"/>
      <c r="IF20" s="131"/>
      <c r="IG20" s="131"/>
      <c r="IH20" s="131"/>
      <c r="II20" s="131"/>
      <c r="IJ20" s="131"/>
      <c r="IK20" s="131"/>
      <c r="IL20" s="131"/>
      <c r="IM20" s="131"/>
      <c r="IN20" s="131"/>
      <c r="IO20" s="131"/>
      <c r="IP20" s="131"/>
      <c r="IQ20" s="131"/>
      <c r="IR20" s="131"/>
      <c r="IS20" s="131"/>
      <c r="IT20" s="131"/>
      <c r="IU20" s="131"/>
      <c r="IV20" s="131"/>
      <c r="IW20" s="131"/>
      <c r="IX20" s="131"/>
      <c r="IY20" s="131"/>
      <c r="IZ20" s="131"/>
      <c r="JA20" s="131"/>
      <c r="JB20" s="131"/>
      <c r="JC20" s="131"/>
      <c r="JD20" s="131"/>
      <c r="JE20" s="131"/>
      <c r="JF20" s="131"/>
      <c r="JG20" s="131"/>
      <c r="JH20" s="131"/>
      <c r="JI20" s="131"/>
      <c r="JJ20" s="131"/>
      <c r="JK20" s="131"/>
      <c r="JL20" s="131"/>
      <c r="JM20" s="131"/>
      <c r="JN20" s="131"/>
      <c r="JO20" s="131"/>
      <c r="JP20" s="131"/>
      <c r="JQ20" s="131"/>
      <c r="JR20" s="131"/>
      <c r="JS20" s="131"/>
      <c r="JT20" s="131"/>
      <c r="JU20" s="131"/>
      <c r="JV20" s="131"/>
      <c r="JW20" s="131"/>
      <c r="JX20" s="131"/>
      <c r="JY20" s="131"/>
      <c r="JZ20" s="131"/>
      <c r="KA20" s="131"/>
      <c r="KB20" s="131"/>
      <c r="KC20" s="131"/>
      <c r="KD20" s="131"/>
      <c r="KE20" s="131"/>
      <c r="KF20" s="131"/>
      <c r="KG20" s="131"/>
      <c r="KH20" s="131"/>
      <c r="KI20" s="131"/>
      <c r="KJ20" s="131"/>
      <c r="KK20" s="131"/>
      <c r="KL20" s="131"/>
      <c r="KM20" s="131"/>
      <c r="KN20" s="131"/>
      <c r="KO20" s="131"/>
      <c r="KP20" s="131"/>
      <c r="KQ20" s="131"/>
      <c r="KR20" s="131"/>
      <c r="KS20" s="131"/>
      <c r="KT20" s="131"/>
      <c r="KU20" s="131"/>
      <c r="KV20" s="131"/>
      <c r="KW20" s="131"/>
      <c r="KX20" s="131"/>
      <c r="KY20" s="131"/>
      <c r="KZ20" s="131"/>
      <c r="LA20" s="131"/>
      <c r="LB20" s="131"/>
      <c r="LC20" s="131"/>
      <c r="LD20" s="131"/>
      <c r="LE20" s="131"/>
      <c r="LF20" s="131"/>
      <c r="LG20" s="131"/>
      <c r="LH20" s="131"/>
      <c r="LI20" s="131"/>
      <c r="LJ20" s="131"/>
      <c r="LK20" s="131"/>
      <c r="LL20" s="131"/>
      <c r="LM20" s="131"/>
      <c r="LN20" s="131"/>
      <c r="LO20" s="131"/>
      <c r="LP20" s="131"/>
      <c r="LQ20" s="131"/>
      <c r="LR20" s="131"/>
      <c r="LS20" s="131"/>
      <c r="LT20" s="131"/>
      <c r="LU20" s="131"/>
      <c r="LV20" s="131"/>
      <c r="LW20" s="131"/>
      <c r="LX20" s="131"/>
      <c r="LY20" s="131"/>
      <c r="LZ20" s="131"/>
      <c r="MA20" s="131"/>
      <c r="MB20" s="131"/>
      <c r="MC20" s="131"/>
      <c r="MD20" s="131"/>
      <c r="ME20" s="131"/>
      <c r="MF20" s="131"/>
      <c r="MG20" s="131"/>
      <c r="MH20" s="131"/>
      <c r="MI20" s="131"/>
      <c r="MJ20" s="131"/>
      <c r="MK20" s="131"/>
      <c r="ML20" s="131"/>
      <c r="MM20" s="131"/>
      <c r="MN20" s="131"/>
      <c r="MO20" s="131"/>
      <c r="MP20" s="131"/>
      <c r="MQ20" s="131"/>
      <c r="MR20" s="131"/>
      <c r="MS20" s="131"/>
      <c r="MT20" s="131"/>
      <c r="MU20" s="131"/>
      <c r="MV20" s="131"/>
      <c r="MW20" s="131"/>
      <c r="MX20" s="131"/>
      <c r="MY20" s="131"/>
      <c r="MZ20" s="131"/>
      <c r="NA20" s="131"/>
      <c r="NB20" s="131"/>
      <c r="NC20" s="131"/>
      <c r="ND20" s="131"/>
      <c r="NE20" s="131"/>
      <c r="NF20" s="131"/>
      <c r="NG20" s="131"/>
      <c r="NH20" s="131"/>
      <c r="NI20" s="131"/>
      <c r="NJ20" s="131"/>
      <c r="NK20" s="131"/>
      <c r="NL20" s="131"/>
      <c r="NM20" s="131"/>
      <c r="NN20" s="131"/>
      <c r="NO20" s="131"/>
      <c r="NP20" s="131"/>
      <c r="NQ20" s="131"/>
      <c r="NR20" s="131"/>
      <c r="NS20" s="131"/>
      <c r="NT20" s="131"/>
      <c r="NU20" s="131"/>
      <c r="NV20" s="131"/>
      <c r="NW20" s="24">
        <f t="shared" ref="NW20:NW32" si="8">SUBTOTAL(9,C20:NV20)</f>
        <v>0</v>
      </c>
      <c r="NX20" s="56" t="s">
        <v>36</v>
      </c>
      <c r="NY20" s="127">
        <v>2068.56</v>
      </c>
      <c r="NZ20" s="78">
        <f t="shared" si="2"/>
        <v>0</v>
      </c>
      <c r="OA20" s="78">
        <v>1226.3999999999999</v>
      </c>
      <c r="OB20" s="127">
        <f t="shared" si="0"/>
        <v>2068.56</v>
      </c>
      <c r="OC20" s="153"/>
      <c r="OD20" s="108">
        <f t="shared" si="1"/>
        <v>1.6866927592954992</v>
      </c>
      <c r="OE20" s="160" t="s">
        <v>502</v>
      </c>
    </row>
    <row r="21" spans="1:395" s="5" customFormat="1" ht="12.75" customHeight="1" x14ac:dyDescent="0.25">
      <c r="A21" s="62">
        <v>44491</v>
      </c>
      <c r="B21" s="116" t="s">
        <v>81</v>
      </c>
      <c r="C21" s="129"/>
      <c r="D21" s="129"/>
      <c r="E21" s="130"/>
      <c r="F21" s="130"/>
      <c r="G21" s="130"/>
      <c r="H21" s="130"/>
      <c r="I21" s="130"/>
      <c r="J21" s="130"/>
      <c r="K21" s="130"/>
      <c r="L21" s="130"/>
      <c r="M21" s="131"/>
      <c r="N21" s="131"/>
      <c r="O21" s="131"/>
      <c r="P21" s="131"/>
      <c r="Q21" s="131"/>
      <c r="R21" s="131"/>
      <c r="S21" s="131"/>
      <c r="T21" s="131"/>
      <c r="U21" s="131"/>
      <c r="V21" s="131"/>
      <c r="W21" s="131"/>
      <c r="X21" s="131"/>
      <c r="Y21" s="131"/>
      <c r="Z21" s="131"/>
      <c r="AA21" s="131"/>
      <c r="AB21" s="131"/>
      <c r="AC21" s="131"/>
      <c r="AD21" s="131"/>
      <c r="AE21" s="131"/>
      <c r="AF21" s="131"/>
      <c r="AG21" s="131"/>
      <c r="AH21" s="131"/>
      <c r="AI21" s="131"/>
      <c r="AJ21" s="131"/>
      <c r="AK21" s="131"/>
      <c r="AL21" s="131"/>
      <c r="AM21" s="131"/>
      <c r="AN21" s="131"/>
      <c r="AO21" s="131"/>
      <c r="AP21" s="131"/>
      <c r="AQ21" s="131"/>
      <c r="AR21" s="131"/>
      <c r="AS21" s="131"/>
      <c r="AT21" s="131"/>
      <c r="AU21" s="131"/>
      <c r="AV21" s="131"/>
      <c r="AW21" s="131"/>
      <c r="AX21" s="131"/>
      <c r="AY21" s="131"/>
      <c r="AZ21" s="131"/>
      <c r="BA21" s="131"/>
      <c r="BB21" s="131"/>
      <c r="BC21" s="131"/>
      <c r="BD21" s="131"/>
      <c r="BE21" s="131"/>
      <c r="BF21" s="131"/>
      <c r="BG21" s="131"/>
      <c r="BH21" s="131"/>
      <c r="BI21" s="131"/>
      <c r="BJ21" s="131"/>
      <c r="BK21" s="131"/>
      <c r="BL21" s="131"/>
      <c r="BM21" s="131"/>
      <c r="BN21" s="131"/>
      <c r="BO21" s="131"/>
      <c r="BP21" s="131"/>
      <c r="BQ21" s="131"/>
      <c r="BR21" s="131"/>
      <c r="BS21" s="131"/>
      <c r="BT21" s="131"/>
      <c r="BU21" s="131"/>
      <c r="BV21" s="131"/>
      <c r="BW21" s="131"/>
      <c r="BX21" s="131"/>
      <c r="BY21" s="131"/>
      <c r="BZ21" s="131"/>
      <c r="CA21" s="131"/>
      <c r="CB21" s="131"/>
      <c r="CC21" s="131"/>
      <c r="CD21" s="131"/>
      <c r="CE21" s="131"/>
      <c r="CF21" s="131"/>
      <c r="CG21" s="131"/>
      <c r="CH21" s="131"/>
      <c r="CI21" s="131"/>
      <c r="CJ21" s="131"/>
      <c r="CK21" s="131"/>
      <c r="CL21" s="131"/>
      <c r="CM21" s="131"/>
      <c r="CN21" s="131"/>
      <c r="CO21" s="131"/>
      <c r="CP21" s="131"/>
      <c r="CQ21" s="131"/>
      <c r="CR21" s="131"/>
      <c r="CS21" s="131"/>
      <c r="CT21" s="131"/>
      <c r="CU21" s="131"/>
      <c r="CV21" s="131"/>
      <c r="CW21" s="131"/>
      <c r="CX21" s="131"/>
      <c r="CY21" s="131"/>
      <c r="CZ21" s="131"/>
      <c r="DA21" s="131"/>
      <c r="DB21" s="131"/>
      <c r="DC21" s="131"/>
      <c r="DD21" s="131"/>
      <c r="DE21" s="131"/>
      <c r="DF21" s="131"/>
      <c r="DG21" s="131"/>
      <c r="DH21" s="131"/>
      <c r="DI21" s="131"/>
      <c r="DJ21" s="131"/>
      <c r="DK21" s="131"/>
      <c r="DL21" s="131"/>
      <c r="DM21" s="131"/>
      <c r="DN21" s="131"/>
      <c r="DO21" s="131"/>
      <c r="DP21" s="131"/>
      <c r="DQ21" s="131"/>
      <c r="DR21" s="131"/>
      <c r="DS21" s="131"/>
      <c r="DT21" s="131"/>
      <c r="DU21" s="131"/>
      <c r="DV21" s="131"/>
      <c r="DW21" s="131"/>
      <c r="DX21" s="131"/>
      <c r="DY21" s="131"/>
      <c r="DZ21" s="131"/>
      <c r="EA21" s="131"/>
      <c r="EB21" s="131"/>
      <c r="EC21" s="131"/>
      <c r="ED21" s="131"/>
      <c r="EE21" s="131"/>
      <c r="EF21" s="131"/>
      <c r="EG21" s="131"/>
      <c r="EH21" s="131"/>
      <c r="EI21" s="131"/>
      <c r="EJ21" s="131"/>
      <c r="EK21" s="131"/>
      <c r="EL21" s="131"/>
      <c r="EM21" s="131"/>
      <c r="EN21" s="131"/>
      <c r="EO21" s="131"/>
      <c r="EP21" s="131"/>
      <c r="EQ21" s="131"/>
      <c r="ER21" s="131"/>
      <c r="ES21" s="131"/>
      <c r="ET21" s="131"/>
      <c r="EU21" s="131"/>
      <c r="EV21" s="131"/>
      <c r="EW21" s="131"/>
      <c r="EX21" s="131"/>
      <c r="EY21" s="131"/>
      <c r="EZ21" s="131"/>
      <c r="FA21" s="131"/>
      <c r="FB21" s="131"/>
      <c r="FC21" s="131"/>
      <c r="FD21" s="131"/>
      <c r="FE21" s="131"/>
      <c r="FF21" s="131"/>
      <c r="FG21" s="131"/>
      <c r="FH21" s="131"/>
      <c r="FI21" s="131"/>
      <c r="FJ21" s="131"/>
      <c r="FK21" s="131"/>
      <c r="FL21" s="131"/>
      <c r="FM21" s="131"/>
      <c r="FN21" s="131"/>
      <c r="FO21" s="131"/>
      <c r="FP21" s="131"/>
      <c r="FQ21" s="131"/>
      <c r="FR21" s="131"/>
      <c r="FS21" s="131"/>
      <c r="FT21" s="131"/>
      <c r="FU21" s="131"/>
      <c r="FV21" s="131"/>
      <c r="FW21" s="131"/>
      <c r="FX21" s="131"/>
      <c r="FY21" s="131"/>
      <c r="FZ21" s="131"/>
      <c r="GA21" s="131"/>
      <c r="GB21" s="131"/>
      <c r="GC21" s="131"/>
      <c r="GD21" s="131"/>
      <c r="GE21" s="131"/>
      <c r="GF21" s="131"/>
      <c r="GG21" s="131"/>
      <c r="GH21" s="131"/>
      <c r="GI21" s="131"/>
      <c r="GJ21" s="131"/>
      <c r="GK21" s="131"/>
      <c r="GL21" s="131"/>
      <c r="GM21" s="131"/>
      <c r="GN21" s="131"/>
      <c r="GO21" s="131"/>
      <c r="GP21" s="131"/>
      <c r="GQ21" s="131"/>
      <c r="GR21" s="131"/>
      <c r="GS21" s="131"/>
      <c r="GT21" s="131"/>
      <c r="GU21" s="131"/>
      <c r="GV21" s="131"/>
      <c r="GW21" s="131"/>
      <c r="GX21" s="131"/>
      <c r="GY21" s="131"/>
      <c r="GZ21" s="131"/>
      <c r="HA21" s="131"/>
      <c r="HB21" s="131"/>
      <c r="HC21" s="131"/>
      <c r="HD21" s="131"/>
      <c r="HE21" s="131"/>
      <c r="HF21" s="131"/>
      <c r="HG21" s="131"/>
      <c r="HH21" s="131"/>
      <c r="HI21" s="131"/>
      <c r="HJ21" s="131"/>
      <c r="HK21" s="131"/>
      <c r="HL21" s="131"/>
      <c r="HM21" s="131"/>
      <c r="HN21" s="131"/>
      <c r="HO21" s="131"/>
      <c r="HP21" s="131"/>
      <c r="HQ21" s="131"/>
      <c r="HR21" s="131"/>
      <c r="HS21" s="131"/>
      <c r="HT21" s="131"/>
      <c r="HU21" s="131"/>
      <c r="HV21" s="131"/>
      <c r="HW21" s="131"/>
      <c r="HX21" s="131"/>
      <c r="HY21" s="131"/>
      <c r="HZ21" s="131"/>
      <c r="IA21" s="131"/>
      <c r="IB21" s="131"/>
      <c r="IC21" s="131"/>
      <c r="ID21" s="131"/>
      <c r="IE21" s="131"/>
      <c r="IF21" s="131"/>
      <c r="IG21" s="131"/>
      <c r="IH21" s="131"/>
      <c r="II21" s="131"/>
      <c r="IJ21" s="131"/>
      <c r="IK21" s="131"/>
      <c r="IL21" s="131"/>
      <c r="IM21" s="131"/>
      <c r="IN21" s="131"/>
      <c r="IO21" s="131"/>
      <c r="IP21" s="131"/>
      <c r="IQ21" s="131"/>
      <c r="IR21" s="131"/>
      <c r="IS21" s="131"/>
      <c r="IT21" s="131"/>
      <c r="IU21" s="131"/>
      <c r="IV21" s="131"/>
      <c r="IW21" s="131"/>
      <c r="IX21" s="131"/>
      <c r="IY21" s="131"/>
      <c r="IZ21" s="131"/>
      <c r="JA21" s="131"/>
      <c r="JB21" s="131"/>
      <c r="JC21" s="131"/>
      <c r="JD21" s="131"/>
      <c r="JE21" s="131"/>
      <c r="JF21" s="131"/>
      <c r="JG21" s="131"/>
      <c r="JH21" s="131"/>
      <c r="JI21" s="131"/>
      <c r="JJ21" s="131"/>
      <c r="JK21" s="131"/>
      <c r="JL21" s="131"/>
      <c r="JM21" s="131"/>
      <c r="JN21" s="131"/>
      <c r="JO21" s="131"/>
      <c r="JP21" s="131"/>
      <c r="JQ21" s="131"/>
      <c r="JR21" s="131"/>
      <c r="JS21" s="131"/>
      <c r="JT21" s="131"/>
      <c r="JU21" s="131"/>
      <c r="JV21" s="131"/>
      <c r="JW21" s="131"/>
      <c r="JX21" s="131"/>
      <c r="JY21" s="131"/>
      <c r="JZ21" s="131"/>
      <c r="KA21" s="131"/>
      <c r="KB21" s="131"/>
      <c r="KC21" s="131"/>
      <c r="KD21" s="131"/>
      <c r="KE21" s="131"/>
      <c r="KF21" s="131"/>
      <c r="KG21" s="131"/>
      <c r="KH21" s="131"/>
      <c r="KI21" s="131"/>
      <c r="KJ21" s="131"/>
      <c r="KK21" s="131"/>
      <c r="KL21" s="131"/>
      <c r="KM21" s="131"/>
      <c r="KN21" s="131"/>
      <c r="KO21" s="131"/>
      <c r="KP21" s="131"/>
      <c r="KQ21" s="131"/>
      <c r="KR21" s="131"/>
      <c r="KS21" s="131"/>
      <c r="KT21" s="131"/>
      <c r="KU21" s="131"/>
      <c r="KV21" s="131"/>
      <c r="KW21" s="131"/>
      <c r="KX21" s="131"/>
      <c r="KY21" s="131"/>
      <c r="KZ21" s="131"/>
      <c r="LA21" s="131"/>
      <c r="LB21" s="131"/>
      <c r="LC21" s="131"/>
      <c r="LD21" s="131"/>
      <c r="LE21" s="131"/>
      <c r="LF21" s="131"/>
      <c r="LG21" s="131"/>
      <c r="LH21" s="131"/>
      <c r="LI21" s="131"/>
      <c r="LJ21" s="131"/>
      <c r="LK21" s="131"/>
      <c r="LL21" s="131"/>
      <c r="LM21" s="131"/>
      <c r="LN21" s="131"/>
      <c r="LO21" s="131"/>
      <c r="LP21" s="131"/>
      <c r="LQ21" s="131"/>
      <c r="LR21" s="131"/>
      <c r="LS21" s="131"/>
      <c r="LT21" s="131"/>
      <c r="LU21" s="131"/>
      <c r="LV21" s="131"/>
      <c r="LW21" s="131"/>
      <c r="LX21" s="131"/>
      <c r="LY21" s="131"/>
      <c r="LZ21" s="131"/>
      <c r="MA21" s="131"/>
      <c r="MB21" s="131"/>
      <c r="MC21" s="131"/>
      <c r="MD21" s="131"/>
      <c r="ME21" s="131"/>
      <c r="MF21" s="131"/>
      <c r="MG21" s="131"/>
      <c r="MH21" s="131"/>
      <c r="MI21" s="131"/>
      <c r="MJ21" s="131"/>
      <c r="MK21" s="131"/>
      <c r="ML21" s="131"/>
      <c r="MM21" s="131"/>
      <c r="MN21" s="131"/>
      <c r="MO21" s="131"/>
      <c r="MP21" s="131"/>
      <c r="MQ21" s="131"/>
      <c r="MR21" s="131"/>
      <c r="MS21" s="131"/>
      <c r="MT21" s="131"/>
      <c r="MU21" s="131"/>
      <c r="MV21" s="131"/>
      <c r="MW21" s="131"/>
      <c r="MX21" s="131"/>
      <c r="MY21" s="131"/>
      <c r="MZ21" s="131"/>
      <c r="NA21" s="131"/>
      <c r="NB21" s="131"/>
      <c r="NC21" s="131"/>
      <c r="ND21" s="131"/>
      <c r="NE21" s="131"/>
      <c r="NF21" s="131"/>
      <c r="NG21" s="131"/>
      <c r="NH21" s="131"/>
      <c r="NI21" s="131"/>
      <c r="NJ21" s="131"/>
      <c r="NK21" s="131"/>
      <c r="NL21" s="131"/>
      <c r="NM21" s="131"/>
      <c r="NN21" s="131"/>
      <c r="NO21" s="131"/>
      <c r="NP21" s="131"/>
      <c r="NQ21" s="131"/>
      <c r="NR21" s="131"/>
      <c r="NS21" s="131"/>
      <c r="NT21" s="131"/>
      <c r="NU21" s="131"/>
      <c r="NV21" s="131"/>
      <c r="NW21" s="24">
        <f t="shared" si="8"/>
        <v>0</v>
      </c>
      <c r="NX21" s="56" t="s">
        <v>253</v>
      </c>
      <c r="NY21" s="127">
        <v>7893.6</v>
      </c>
      <c r="NZ21" s="78">
        <f t="shared" si="2"/>
        <v>0</v>
      </c>
      <c r="OA21" s="78">
        <v>6146</v>
      </c>
      <c r="OB21" s="127">
        <f t="shared" si="0"/>
        <v>7893.6</v>
      </c>
      <c r="OC21" s="153"/>
      <c r="OD21" s="108">
        <f t="shared" si="1"/>
        <v>1.2843475431174749</v>
      </c>
      <c r="OE21" s="160" t="s">
        <v>482</v>
      </c>
    </row>
    <row r="22" spans="1:395" s="5" customFormat="1" ht="12.75" customHeight="1" x14ac:dyDescent="0.25">
      <c r="A22" s="62">
        <v>44491</v>
      </c>
      <c r="B22" s="116" t="s">
        <v>57</v>
      </c>
      <c r="C22" s="129"/>
      <c r="D22" s="129"/>
      <c r="E22" s="130"/>
      <c r="F22" s="130"/>
      <c r="G22" s="130"/>
      <c r="H22" s="130"/>
      <c r="I22" s="130"/>
      <c r="J22" s="130"/>
      <c r="K22" s="130"/>
      <c r="L22" s="130"/>
      <c r="M22" s="131"/>
      <c r="N22" s="131"/>
      <c r="O22" s="131"/>
      <c r="P22" s="131"/>
      <c r="Q22" s="131"/>
      <c r="R22" s="131"/>
      <c r="S22" s="131"/>
      <c r="T22" s="131"/>
      <c r="U22" s="131"/>
      <c r="V22" s="131"/>
      <c r="W22" s="131"/>
      <c r="X22" s="131"/>
      <c r="Y22" s="131"/>
      <c r="Z22" s="131"/>
      <c r="AA22" s="131"/>
      <c r="AB22" s="131"/>
      <c r="AC22" s="131"/>
      <c r="AD22" s="131"/>
      <c r="AE22" s="131"/>
      <c r="AF22" s="131"/>
      <c r="AG22" s="131"/>
      <c r="AH22" s="131"/>
      <c r="AI22" s="131"/>
      <c r="AJ22" s="131"/>
      <c r="AK22" s="131"/>
      <c r="AL22" s="131"/>
      <c r="AM22" s="131"/>
      <c r="AN22" s="131"/>
      <c r="AO22" s="131"/>
      <c r="AP22" s="131"/>
      <c r="AQ22" s="131"/>
      <c r="AR22" s="131"/>
      <c r="AS22" s="131"/>
      <c r="AT22" s="131"/>
      <c r="AU22" s="131"/>
      <c r="AV22" s="131"/>
      <c r="AW22" s="131"/>
      <c r="AX22" s="131"/>
      <c r="AY22" s="131"/>
      <c r="AZ22" s="131"/>
      <c r="BA22" s="131"/>
      <c r="BB22" s="131"/>
      <c r="BC22" s="131"/>
      <c r="BD22" s="131"/>
      <c r="BE22" s="131"/>
      <c r="BF22" s="131"/>
      <c r="BG22" s="131"/>
      <c r="BH22" s="131"/>
      <c r="BI22" s="131"/>
      <c r="BJ22" s="131"/>
      <c r="BK22" s="131"/>
      <c r="BL22" s="131"/>
      <c r="BM22" s="131"/>
      <c r="BN22" s="131"/>
      <c r="BO22" s="131"/>
      <c r="BP22" s="131"/>
      <c r="BQ22" s="131"/>
      <c r="BR22" s="131"/>
      <c r="BS22" s="131"/>
      <c r="BT22" s="131"/>
      <c r="BU22" s="131"/>
      <c r="BV22" s="131"/>
      <c r="BW22" s="131"/>
      <c r="BX22" s="131"/>
      <c r="BY22" s="131"/>
      <c r="BZ22" s="131"/>
      <c r="CA22" s="131"/>
      <c r="CB22" s="131"/>
      <c r="CC22" s="131"/>
      <c r="CD22" s="131"/>
      <c r="CE22" s="131"/>
      <c r="CF22" s="131"/>
      <c r="CG22" s="131"/>
      <c r="CH22" s="131"/>
      <c r="CI22" s="131"/>
      <c r="CJ22" s="131"/>
      <c r="CK22" s="131"/>
      <c r="CL22" s="131"/>
      <c r="CM22" s="131"/>
      <c r="CN22" s="131"/>
      <c r="CO22" s="131"/>
      <c r="CP22" s="131"/>
      <c r="CQ22" s="131"/>
      <c r="CR22" s="131"/>
      <c r="CS22" s="131"/>
      <c r="CT22" s="131"/>
      <c r="CU22" s="131"/>
      <c r="CV22" s="131"/>
      <c r="CW22" s="131"/>
      <c r="CX22" s="131"/>
      <c r="CY22" s="131"/>
      <c r="CZ22" s="131"/>
      <c r="DA22" s="131"/>
      <c r="DB22" s="131"/>
      <c r="DC22" s="131"/>
      <c r="DD22" s="131"/>
      <c r="DE22" s="131"/>
      <c r="DF22" s="131"/>
      <c r="DG22" s="131"/>
      <c r="DH22" s="131"/>
      <c r="DI22" s="131"/>
      <c r="DJ22" s="131"/>
      <c r="DK22" s="131"/>
      <c r="DL22" s="131"/>
      <c r="DM22" s="131"/>
      <c r="DN22" s="131"/>
      <c r="DO22" s="131"/>
      <c r="DP22" s="131"/>
      <c r="DQ22" s="131"/>
      <c r="DR22" s="131"/>
      <c r="DS22" s="131"/>
      <c r="DT22" s="131"/>
      <c r="DU22" s="131"/>
      <c r="DV22" s="131"/>
      <c r="DW22" s="131"/>
      <c r="DX22" s="131"/>
      <c r="DY22" s="131"/>
      <c r="DZ22" s="131"/>
      <c r="EA22" s="131"/>
      <c r="EB22" s="131"/>
      <c r="EC22" s="131"/>
      <c r="ED22" s="131"/>
      <c r="EE22" s="131"/>
      <c r="EF22" s="131"/>
      <c r="EG22" s="131"/>
      <c r="EH22" s="131"/>
      <c r="EI22" s="131"/>
      <c r="EJ22" s="131"/>
      <c r="EK22" s="131"/>
      <c r="EL22" s="131"/>
      <c r="EM22" s="131"/>
      <c r="EN22" s="131"/>
      <c r="EO22" s="131"/>
      <c r="EP22" s="131"/>
      <c r="EQ22" s="131"/>
      <c r="ER22" s="131"/>
      <c r="ES22" s="131"/>
      <c r="ET22" s="131"/>
      <c r="EU22" s="131"/>
      <c r="EV22" s="131"/>
      <c r="EW22" s="131"/>
      <c r="EX22" s="131"/>
      <c r="EY22" s="131"/>
      <c r="EZ22" s="131"/>
      <c r="FA22" s="131"/>
      <c r="FB22" s="131"/>
      <c r="FC22" s="131"/>
      <c r="FD22" s="131"/>
      <c r="FE22" s="131"/>
      <c r="FF22" s="131"/>
      <c r="FG22" s="131"/>
      <c r="FH22" s="131"/>
      <c r="FI22" s="131"/>
      <c r="FJ22" s="131"/>
      <c r="FK22" s="131"/>
      <c r="FL22" s="131"/>
      <c r="FM22" s="131"/>
      <c r="FN22" s="131"/>
      <c r="FO22" s="131"/>
      <c r="FP22" s="131"/>
      <c r="FQ22" s="131"/>
      <c r="FR22" s="131"/>
      <c r="FS22" s="131"/>
      <c r="FT22" s="131"/>
      <c r="FU22" s="131"/>
      <c r="FV22" s="131"/>
      <c r="FW22" s="131"/>
      <c r="FX22" s="131"/>
      <c r="FY22" s="131"/>
      <c r="FZ22" s="131"/>
      <c r="GA22" s="131"/>
      <c r="GB22" s="131"/>
      <c r="GC22" s="131"/>
      <c r="GD22" s="131"/>
      <c r="GE22" s="131"/>
      <c r="GF22" s="131"/>
      <c r="GG22" s="131"/>
      <c r="GH22" s="131"/>
      <c r="GI22" s="131"/>
      <c r="GJ22" s="131"/>
      <c r="GK22" s="131"/>
      <c r="GL22" s="131"/>
      <c r="GM22" s="131"/>
      <c r="GN22" s="131"/>
      <c r="GO22" s="131"/>
      <c r="GP22" s="131"/>
      <c r="GQ22" s="131"/>
      <c r="GR22" s="131"/>
      <c r="GS22" s="131"/>
      <c r="GT22" s="131"/>
      <c r="GU22" s="131"/>
      <c r="GV22" s="131"/>
      <c r="GW22" s="131"/>
      <c r="GX22" s="131"/>
      <c r="GY22" s="131"/>
      <c r="GZ22" s="131"/>
      <c r="HA22" s="131"/>
      <c r="HB22" s="131"/>
      <c r="HC22" s="131"/>
      <c r="HD22" s="131"/>
      <c r="HE22" s="131"/>
      <c r="HF22" s="131"/>
      <c r="HG22" s="131"/>
      <c r="HH22" s="131"/>
      <c r="HI22" s="131"/>
      <c r="HJ22" s="131"/>
      <c r="HK22" s="131"/>
      <c r="HL22" s="131"/>
      <c r="HM22" s="131"/>
      <c r="HN22" s="131"/>
      <c r="HO22" s="131"/>
      <c r="HP22" s="131"/>
      <c r="HQ22" s="131"/>
      <c r="HR22" s="131"/>
      <c r="HS22" s="131"/>
      <c r="HT22" s="131"/>
      <c r="HU22" s="131"/>
      <c r="HV22" s="131"/>
      <c r="HW22" s="131"/>
      <c r="HX22" s="131"/>
      <c r="HY22" s="131"/>
      <c r="HZ22" s="131"/>
      <c r="IA22" s="131"/>
      <c r="IB22" s="131"/>
      <c r="IC22" s="131"/>
      <c r="ID22" s="131"/>
      <c r="IE22" s="131"/>
      <c r="IF22" s="131"/>
      <c r="IG22" s="131"/>
      <c r="IH22" s="131"/>
      <c r="II22" s="131"/>
      <c r="IJ22" s="131"/>
      <c r="IK22" s="131"/>
      <c r="IL22" s="131"/>
      <c r="IM22" s="131"/>
      <c r="IN22" s="131"/>
      <c r="IO22" s="131"/>
      <c r="IP22" s="131"/>
      <c r="IQ22" s="131"/>
      <c r="IR22" s="131"/>
      <c r="IS22" s="131"/>
      <c r="IT22" s="131"/>
      <c r="IU22" s="131"/>
      <c r="IV22" s="131"/>
      <c r="IW22" s="131"/>
      <c r="IX22" s="131"/>
      <c r="IY22" s="131"/>
      <c r="IZ22" s="131"/>
      <c r="JA22" s="131"/>
      <c r="JB22" s="131"/>
      <c r="JC22" s="131"/>
      <c r="JD22" s="131"/>
      <c r="JE22" s="131"/>
      <c r="JF22" s="131"/>
      <c r="JG22" s="131"/>
      <c r="JH22" s="131"/>
      <c r="JI22" s="131"/>
      <c r="JJ22" s="131"/>
      <c r="JK22" s="131"/>
      <c r="JL22" s="131"/>
      <c r="JM22" s="131"/>
      <c r="JN22" s="131"/>
      <c r="JO22" s="131"/>
      <c r="JP22" s="131"/>
      <c r="JQ22" s="131"/>
      <c r="JR22" s="131"/>
      <c r="JS22" s="131"/>
      <c r="JT22" s="131"/>
      <c r="JU22" s="131"/>
      <c r="JV22" s="131"/>
      <c r="JW22" s="131"/>
      <c r="JX22" s="131"/>
      <c r="JY22" s="131"/>
      <c r="JZ22" s="131"/>
      <c r="KA22" s="131"/>
      <c r="KB22" s="131"/>
      <c r="KC22" s="131"/>
      <c r="KD22" s="131"/>
      <c r="KE22" s="131"/>
      <c r="KF22" s="131"/>
      <c r="KG22" s="131"/>
      <c r="KH22" s="131"/>
      <c r="KI22" s="131"/>
      <c r="KJ22" s="131"/>
      <c r="KK22" s="131"/>
      <c r="KL22" s="131"/>
      <c r="KM22" s="131"/>
      <c r="KN22" s="131"/>
      <c r="KO22" s="131"/>
      <c r="KP22" s="131"/>
      <c r="KQ22" s="131"/>
      <c r="KR22" s="131"/>
      <c r="KS22" s="131"/>
      <c r="KT22" s="131"/>
      <c r="KU22" s="131"/>
      <c r="KV22" s="131"/>
      <c r="KW22" s="131"/>
      <c r="KX22" s="131"/>
      <c r="KY22" s="131"/>
      <c r="KZ22" s="131"/>
      <c r="LA22" s="131"/>
      <c r="LB22" s="131"/>
      <c r="LC22" s="131"/>
      <c r="LD22" s="131"/>
      <c r="LE22" s="131"/>
      <c r="LF22" s="131"/>
      <c r="LG22" s="131"/>
      <c r="LH22" s="131"/>
      <c r="LI22" s="131"/>
      <c r="LJ22" s="131"/>
      <c r="LK22" s="131"/>
      <c r="LL22" s="131"/>
      <c r="LM22" s="131"/>
      <c r="LN22" s="131"/>
      <c r="LO22" s="131"/>
      <c r="LP22" s="131"/>
      <c r="LQ22" s="131"/>
      <c r="LR22" s="131"/>
      <c r="LS22" s="131"/>
      <c r="LT22" s="131"/>
      <c r="LU22" s="131"/>
      <c r="LV22" s="131"/>
      <c r="LW22" s="131"/>
      <c r="LX22" s="131"/>
      <c r="LY22" s="131"/>
      <c r="LZ22" s="131"/>
      <c r="MA22" s="131"/>
      <c r="MB22" s="131"/>
      <c r="MC22" s="131"/>
      <c r="MD22" s="131"/>
      <c r="ME22" s="131"/>
      <c r="MF22" s="131"/>
      <c r="MG22" s="131"/>
      <c r="MH22" s="131"/>
      <c r="MI22" s="131"/>
      <c r="MJ22" s="131"/>
      <c r="MK22" s="131"/>
      <c r="ML22" s="131"/>
      <c r="MM22" s="131"/>
      <c r="MN22" s="131"/>
      <c r="MO22" s="131"/>
      <c r="MP22" s="131"/>
      <c r="MQ22" s="131"/>
      <c r="MR22" s="131"/>
      <c r="MS22" s="131"/>
      <c r="MT22" s="131"/>
      <c r="MU22" s="131"/>
      <c r="MV22" s="131"/>
      <c r="MW22" s="131"/>
      <c r="MX22" s="131"/>
      <c r="MY22" s="131"/>
      <c r="MZ22" s="131"/>
      <c r="NA22" s="131"/>
      <c r="NB22" s="131"/>
      <c r="NC22" s="131"/>
      <c r="ND22" s="131"/>
      <c r="NE22" s="131"/>
      <c r="NF22" s="131"/>
      <c r="NG22" s="131"/>
      <c r="NH22" s="131"/>
      <c r="NI22" s="131"/>
      <c r="NJ22" s="131"/>
      <c r="NK22" s="131"/>
      <c r="NL22" s="131"/>
      <c r="NM22" s="131"/>
      <c r="NN22" s="131"/>
      <c r="NO22" s="131"/>
      <c r="NP22" s="131"/>
      <c r="NQ22" s="131"/>
      <c r="NR22" s="131"/>
      <c r="NS22" s="131"/>
      <c r="NT22" s="131"/>
      <c r="NU22" s="131"/>
      <c r="NV22" s="131"/>
      <c r="NW22" s="24">
        <f t="shared" si="8"/>
        <v>0</v>
      </c>
      <c r="NX22" s="56" t="s">
        <v>36</v>
      </c>
      <c r="NY22" s="127">
        <v>4322.3999999999996</v>
      </c>
      <c r="NZ22" s="78">
        <f t="shared" si="2"/>
        <v>0</v>
      </c>
      <c r="OA22" s="78">
        <v>3346</v>
      </c>
      <c r="OB22" s="127">
        <f t="shared" si="0"/>
        <v>4322.3999999999996</v>
      </c>
      <c r="OC22" s="153"/>
      <c r="OD22" s="108">
        <f t="shared" si="1"/>
        <v>1.2918111177525402</v>
      </c>
      <c r="OE22" s="160" t="s">
        <v>546</v>
      </c>
    </row>
    <row r="23" spans="1:395" s="5" customFormat="1" ht="12.75" hidden="1" customHeight="1" x14ac:dyDescent="0.25">
      <c r="A23" s="62">
        <v>44491</v>
      </c>
      <c r="B23" s="116" t="s">
        <v>57</v>
      </c>
      <c r="C23" s="129"/>
      <c r="D23" s="129"/>
      <c r="E23" s="130"/>
      <c r="F23" s="130"/>
      <c r="G23" s="130"/>
      <c r="H23" s="130"/>
      <c r="I23" s="130"/>
      <c r="J23" s="130"/>
      <c r="K23" s="130"/>
      <c r="L23" s="130"/>
      <c r="M23" s="131"/>
      <c r="N23" s="131"/>
      <c r="O23" s="131"/>
      <c r="P23" s="131"/>
      <c r="Q23" s="131"/>
      <c r="R23" s="131"/>
      <c r="S23" s="131"/>
      <c r="T23" s="131"/>
      <c r="U23" s="131"/>
      <c r="V23" s="131"/>
      <c r="W23" s="131"/>
      <c r="X23" s="131"/>
      <c r="Y23" s="131"/>
      <c r="Z23" s="131"/>
      <c r="AA23" s="131"/>
      <c r="AB23" s="131"/>
      <c r="AC23" s="131"/>
      <c r="AD23" s="131"/>
      <c r="AE23" s="131"/>
      <c r="AF23" s="131"/>
      <c r="AG23" s="131"/>
      <c r="AH23" s="131"/>
      <c r="AI23" s="131"/>
      <c r="AJ23" s="131"/>
      <c r="AK23" s="131"/>
      <c r="AL23" s="131"/>
      <c r="AM23" s="131"/>
      <c r="AN23" s="131"/>
      <c r="AO23" s="131"/>
      <c r="AP23" s="131"/>
      <c r="AQ23" s="131"/>
      <c r="AR23" s="131"/>
      <c r="AS23" s="131"/>
      <c r="AT23" s="131"/>
      <c r="AU23" s="131"/>
      <c r="AV23" s="131"/>
      <c r="AW23" s="131"/>
      <c r="AX23" s="131"/>
      <c r="AY23" s="131"/>
      <c r="AZ23" s="131"/>
      <c r="BA23" s="131"/>
      <c r="BB23" s="131"/>
      <c r="BC23" s="131"/>
      <c r="BD23" s="131"/>
      <c r="BE23" s="131"/>
      <c r="BF23" s="131"/>
      <c r="BG23" s="131"/>
      <c r="BH23" s="131"/>
      <c r="BI23" s="131"/>
      <c r="BJ23" s="131"/>
      <c r="BK23" s="131"/>
      <c r="BL23" s="131"/>
      <c r="BM23" s="131"/>
      <c r="BN23" s="131"/>
      <c r="BO23" s="131"/>
      <c r="BP23" s="131"/>
      <c r="BQ23" s="131"/>
      <c r="BR23" s="131"/>
      <c r="BS23" s="131"/>
      <c r="BT23" s="131"/>
      <c r="BU23" s="131"/>
      <c r="BV23" s="131"/>
      <c r="BW23" s="131"/>
      <c r="BX23" s="131"/>
      <c r="BY23" s="131"/>
      <c r="BZ23" s="131"/>
      <c r="CA23" s="131"/>
      <c r="CB23" s="131"/>
      <c r="CC23" s="131"/>
      <c r="CD23" s="131"/>
      <c r="CE23" s="131"/>
      <c r="CF23" s="131"/>
      <c r="CG23" s="131"/>
      <c r="CH23" s="131"/>
      <c r="CI23" s="131"/>
      <c r="CJ23" s="131"/>
      <c r="CK23" s="131"/>
      <c r="CL23" s="131"/>
      <c r="CM23" s="131"/>
      <c r="CN23" s="131"/>
      <c r="CO23" s="131"/>
      <c r="CP23" s="131"/>
      <c r="CQ23" s="131"/>
      <c r="CR23" s="131"/>
      <c r="CS23" s="131"/>
      <c r="CT23" s="131"/>
      <c r="CU23" s="131"/>
      <c r="CV23" s="131"/>
      <c r="CW23" s="131"/>
      <c r="CX23" s="131"/>
      <c r="CY23" s="131"/>
      <c r="CZ23" s="131"/>
      <c r="DA23" s="131"/>
      <c r="DB23" s="131"/>
      <c r="DC23" s="131"/>
      <c r="DD23" s="131"/>
      <c r="DE23" s="131"/>
      <c r="DF23" s="131"/>
      <c r="DG23" s="131"/>
      <c r="DH23" s="131"/>
      <c r="DI23" s="131"/>
      <c r="DJ23" s="131"/>
      <c r="DK23" s="131"/>
      <c r="DL23" s="131"/>
      <c r="DM23" s="131"/>
      <c r="DN23" s="131"/>
      <c r="DO23" s="131"/>
      <c r="DP23" s="131"/>
      <c r="DQ23" s="131"/>
      <c r="DR23" s="131"/>
      <c r="DS23" s="131"/>
      <c r="DT23" s="131"/>
      <c r="DU23" s="131"/>
      <c r="DV23" s="131"/>
      <c r="DW23" s="131"/>
      <c r="DX23" s="131"/>
      <c r="DY23" s="131"/>
      <c r="DZ23" s="131"/>
      <c r="EA23" s="131"/>
      <c r="EB23" s="131"/>
      <c r="EC23" s="131"/>
      <c r="ED23" s="131"/>
      <c r="EE23" s="131"/>
      <c r="EF23" s="131"/>
      <c r="EG23" s="131"/>
      <c r="EH23" s="131"/>
      <c r="EI23" s="131"/>
      <c r="EJ23" s="131"/>
      <c r="EK23" s="131"/>
      <c r="EL23" s="131"/>
      <c r="EM23" s="131"/>
      <c r="EN23" s="131"/>
      <c r="EO23" s="131"/>
      <c r="EP23" s="131"/>
      <c r="EQ23" s="131"/>
      <c r="ER23" s="131"/>
      <c r="ES23" s="131"/>
      <c r="ET23" s="131"/>
      <c r="EU23" s="131"/>
      <c r="EV23" s="131"/>
      <c r="EW23" s="131"/>
      <c r="EX23" s="131"/>
      <c r="EY23" s="131"/>
      <c r="EZ23" s="131"/>
      <c r="FA23" s="131"/>
      <c r="FB23" s="131"/>
      <c r="FC23" s="131"/>
      <c r="FD23" s="131"/>
      <c r="FE23" s="131"/>
      <c r="FF23" s="131"/>
      <c r="FG23" s="131"/>
      <c r="FH23" s="131"/>
      <c r="FI23" s="131"/>
      <c r="FJ23" s="131"/>
      <c r="FK23" s="131"/>
      <c r="FL23" s="131"/>
      <c r="FM23" s="131"/>
      <c r="FN23" s="131"/>
      <c r="FO23" s="131"/>
      <c r="FP23" s="131"/>
      <c r="FQ23" s="131"/>
      <c r="FR23" s="131"/>
      <c r="FS23" s="131"/>
      <c r="FT23" s="131"/>
      <c r="FU23" s="131"/>
      <c r="FV23" s="131"/>
      <c r="FW23" s="131"/>
      <c r="FX23" s="131"/>
      <c r="FY23" s="131"/>
      <c r="FZ23" s="131"/>
      <c r="GA23" s="131"/>
      <c r="GB23" s="131"/>
      <c r="GC23" s="131"/>
      <c r="GD23" s="131"/>
      <c r="GE23" s="131"/>
      <c r="GF23" s="131"/>
      <c r="GG23" s="131"/>
      <c r="GH23" s="131"/>
      <c r="GI23" s="131"/>
      <c r="GJ23" s="131"/>
      <c r="GK23" s="131"/>
      <c r="GL23" s="131"/>
      <c r="GM23" s="131"/>
      <c r="GN23" s="131"/>
      <c r="GO23" s="131"/>
      <c r="GP23" s="131"/>
      <c r="GQ23" s="131"/>
      <c r="GR23" s="131"/>
      <c r="GS23" s="131"/>
      <c r="GT23" s="131"/>
      <c r="GU23" s="131"/>
      <c r="GV23" s="131"/>
      <c r="GW23" s="131"/>
      <c r="GX23" s="131"/>
      <c r="GY23" s="131"/>
      <c r="GZ23" s="131"/>
      <c r="HA23" s="131"/>
      <c r="HB23" s="131"/>
      <c r="HC23" s="131"/>
      <c r="HD23" s="131"/>
      <c r="HE23" s="131"/>
      <c r="HF23" s="131"/>
      <c r="HG23" s="131"/>
      <c r="HH23" s="131"/>
      <c r="HI23" s="131"/>
      <c r="HJ23" s="131"/>
      <c r="HK23" s="131"/>
      <c r="HL23" s="131"/>
      <c r="HM23" s="131"/>
      <c r="HN23" s="131"/>
      <c r="HO23" s="131"/>
      <c r="HP23" s="131"/>
      <c r="HQ23" s="131"/>
      <c r="HR23" s="131"/>
      <c r="HS23" s="131"/>
      <c r="HT23" s="131"/>
      <c r="HU23" s="131"/>
      <c r="HV23" s="131"/>
      <c r="HW23" s="131"/>
      <c r="HX23" s="131"/>
      <c r="HY23" s="131"/>
      <c r="HZ23" s="131"/>
      <c r="IA23" s="131"/>
      <c r="IB23" s="131"/>
      <c r="IC23" s="131"/>
      <c r="ID23" s="131"/>
      <c r="IE23" s="131"/>
      <c r="IF23" s="131"/>
      <c r="IG23" s="131"/>
      <c r="IH23" s="131"/>
      <c r="II23" s="131"/>
      <c r="IJ23" s="131"/>
      <c r="IK23" s="131"/>
      <c r="IL23" s="131"/>
      <c r="IM23" s="131"/>
      <c r="IN23" s="131"/>
      <c r="IO23" s="131"/>
      <c r="IP23" s="131"/>
      <c r="IQ23" s="131"/>
      <c r="IR23" s="131"/>
      <c r="IS23" s="131"/>
      <c r="IT23" s="131"/>
      <c r="IU23" s="131"/>
      <c r="IV23" s="131"/>
      <c r="IW23" s="131"/>
      <c r="IX23" s="131"/>
      <c r="IY23" s="131"/>
      <c r="IZ23" s="131"/>
      <c r="JA23" s="131"/>
      <c r="JB23" s="131"/>
      <c r="JC23" s="131"/>
      <c r="JD23" s="131"/>
      <c r="JE23" s="131"/>
      <c r="JF23" s="131"/>
      <c r="JG23" s="131"/>
      <c r="JH23" s="131"/>
      <c r="JI23" s="131"/>
      <c r="JJ23" s="131"/>
      <c r="JK23" s="131"/>
      <c r="JL23" s="131"/>
      <c r="JM23" s="131"/>
      <c r="JN23" s="131"/>
      <c r="JO23" s="131"/>
      <c r="JP23" s="131"/>
      <c r="JQ23" s="131"/>
      <c r="JR23" s="131"/>
      <c r="JS23" s="131"/>
      <c r="JT23" s="131"/>
      <c r="JU23" s="131"/>
      <c r="JV23" s="131"/>
      <c r="JW23" s="131"/>
      <c r="JX23" s="131"/>
      <c r="JY23" s="131"/>
      <c r="JZ23" s="131"/>
      <c r="KA23" s="131"/>
      <c r="KB23" s="131"/>
      <c r="KC23" s="131"/>
      <c r="KD23" s="131"/>
      <c r="KE23" s="131"/>
      <c r="KF23" s="131"/>
      <c r="KG23" s="131"/>
      <c r="KH23" s="131"/>
      <c r="KI23" s="131"/>
      <c r="KJ23" s="131"/>
      <c r="KK23" s="131"/>
      <c r="KL23" s="131"/>
      <c r="KM23" s="131"/>
      <c r="KN23" s="131"/>
      <c r="KO23" s="131"/>
      <c r="KP23" s="131"/>
      <c r="KQ23" s="131"/>
      <c r="KR23" s="131"/>
      <c r="KS23" s="131"/>
      <c r="KT23" s="131"/>
      <c r="KU23" s="131"/>
      <c r="KV23" s="131"/>
      <c r="KW23" s="131"/>
      <c r="KX23" s="131"/>
      <c r="KY23" s="131"/>
      <c r="KZ23" s="131"/>
      <c r="LA23" s="131"/>
      <c r="LB23" s="131"/>
      <c r="LC23" s="131"/>
      <c r="LD23" s="131"/>
      <c r="LE23" s="131"/>
      <c r="LF23" s="131"/>
      <c r="LG23" s="131"/>
      <c r="LH23" s="131"/>
      <c r="LI23" s="131"/>
      <c r="LJ23" s="131"/>
      <c r="LK23" s="131"/>
      <c r="LL23" s="131"/>
      <c r="LM23" s="131"/>
      <c r="LN23" s="131"/>
      <c r="LO23" s="131"/>
      <c r="LP23" s="131"/>
      <c r="LQ23" s="131"/>
      <c r="LR23" s="131"/>
      <c r="LS23" s="131"/>
      <c r="LT23" s="131"/>
      <c r="LU23" s="131"/>
      <c r="LV23" s="131"/>
      <c r="LW23" s="131"/>
      <c r="LX23" s="131"/>
      <c r="LY23" s="131"/>
      <c r="LZ23" s="131"/>
      <c r="MA23" s="131"/>
      <c r="MB23" s="131"/>
      <c r="MC23" s="131"/>
      <c r="MD23" s="131"/>
      <c r="ME23" s="131"/>
      <c r="MF23" s="131"/>
      <c r="MG23" s="131"/>
      <c r="MH23" s="131"/>
      <c r="MI23" s="131"/>
      <c r="MJ23" s="131"/>
      <c r="MK23" s="131"/>
      <c r="ML23" s="131"/>
      <c r="MM23" s="131"/>
      <c r="MN23" s="131"/>
      <c r="MO23" s="131"/>
      <c r="MP23" s="131"/>
      <c r="MQ23" s="131"/>
      <c r="MR23" s="131"/>
      <c r="MS23" s="131"/>
      <c r="MT23" s="131"/>
      <c r="MU23" s="131"/>
      <c r="MV23" s="131"/>
      <c r="MW23" s="131"/>
      <c r="MX23" s="131"/>
      <c r="MY23" s="131"/>
      <c r="MZ23" s="131"/>
      <c r="NA23" s="131"/>
      <c r="NB23" s="131"/>
      <c r="NC23" s="131"/>
      <c r="ND23" s="131"/>
      <c r="NE23" s="131"/>
      <c r="NF23" s="131"/>
      <c r="NG23" s="131"/>
      <c r="NH23" s="131"/>
      <c r="NI23" s="131"/>
      <c r="NJ23" s="131"/>
      <c r="NK23" s="131"/>
      <c r="NL23" s="131"/>
      <c r="NM23" s="131"/>
      <c r="NN23" s="131"/>
      <c r="NO23" s="131"/>
      <c r="NP23" s="131"/>
      <c r="NQ23" s="131"/>
      <c r="NR23" s="131"/>
      <c r="NS23" s="131"/>
      <c r="NT23" s="131"/>
      <c r="NU23" s="131"/>
      <c r="NV23" s="131"/>
      <c r="NW23" s="24">
        <f t="shared" si="8"/>
        <v>0</v>
      </c>
      <c r="NX23" s="56" t="s">
        <v>36</v>
      </c>
      <c r="NY23" s="127">
        <v>2697.84</v>
      </c>
      <c r="NZ23" s="78">
        <f t="shared" si="2"/>
        <v>2697.84</v>
      </c>
      <c r="OA23" s="78">
        <v>1891</v>
      </c>
      <c r="OB23" s="127">
        <f t="shared" si="0"/>
        <v>0</v>
      </c>
      <c r="OC23" s="153">
        <f>476.6+2220.96+0.28</f>
        <v>2697.84</v>
      </c>
      <c r="OD23" s="108">
        <f t="shared" si="1"/>
        <v>1.4266737176097304</v>
      </c>
      <c r="OE23" s="160" t="s">
        <v>506</v>
      </c>
    </row>
    <row r="24" spans="1:395" s="5" customFormat="1" ht="12.75" customHeight="1" x14ac:dyDescent="0.25">
      <c r="A24" s="62">
        <v>44496</v>
      </c>
      <c r="B24" s="106" t="s">
        <v>406</v>
      </c>
      <c r="C24" s="129"/>
      <c r="D24" s="129"/>
      <c r="E24" s="130"/>
      <c r="F24" s="130"/>
      <c r="G24" s="130"/>
      <c r="H24" s="130"/>
      <c r="I24" s="130"/>
      <c r="J24" s="130"/>
      <c r="K24" s="130"/>
      <c r="L24" s="130"/>
      <c r="M24" s="131"/>
      <c r="N24" s="131"/>
      <c r="O24" s="131"/>
      <c r="P24" s="131"/>
      <c r="Q24" s="131"/>
      <c r="R24" s="131"/>
      <c r="S24" s="131"/>
      <c r="T24" s="131"/>
      <c r="U24" s="131"/>
      <c r="V24" s="131"/>
      <c r="W24" s="131"/>
      <c r="X24" s="131"/>
      <c r="Y24" s="131"/>
      <c r="Z24" s="131"/>
      <c r="AA24" s="131"/>
      <c r="AB24" s="131"/>
      <c r="AC24" s="131"/>
      <c r="AD24" s="131"/>
      <c r="AE24" s="131"/>
      <c r="AF24" s="131"/>
      <c r="AG24" s="131"/>
      <c r="AH24" s="131"/>
      <c r="AI24" s="131"/>
      <c r="AJ24" s="131"/>
      <c r="AK24" s="131"/>
      <c r="AL24" s="131"/>
      <c r="AM24" s="131"/>
      <c r="AN24" s="131"/>
      <c r="AO24" s="131"/>
      <c r="AP24" s="131"/>
      <c r="AQ24" s="131"/>
      <c r="AR24" s="131"/>
      <c r="AS24" s="131"/>
      <c r="AT24" s="131"/>
      <c r="AU24" s="131"/>
      <c r="AV24" s="131"/>
      <c r="AW24" s="131"/>
      <c r="AX24" s="131"/>
      <c r="AY24" s="131"/>
      <c r="AZ24" s="131"/>
      <c r="BA24" s="131"/>
      <c r="BB24" s="131"/>
      <c r="BC24" s="131"/>
      <c r="BD24" s="131"/>
      <c r="BE24" s="131"/>
      <c r="BF24" s="131"/>
      <c r="BG24" s="131"/>
      <c r="BH24" s="131"/>
      <c r="BI24" s="131"/>
      <c r="BJ24" s="131"/>
      <c r="BK24" s="131"/>
      <c r="BL24" s="131"/>
      <c r="BM24" s="131"/>
      <c r="BN24" s="131"/>
      <c r="BO24" s="131"/>
      <c r="BP24" s="131"/>
      <c r="BQ24" s="131"/>
      <c r="BR24" s="131"/>
      <c r="BS24" s="131"/>
      <c r="BT24" s="131"/>
      <c r="BU24" s="131"/>
      <c r="BV24" s="131"/>
      <c r="BW24" s="131"/>
      <c r="BX24" s="131"/>
      <c r="BY24" s="131"/>
      <c r="BZ24" s="131"/>
      <c r="CA24" s="131"/>
      <c r="CB24" s="131"/>
      <c r="CC24" s="131"/>
      <c r="CD24" s="131"/>
      <c r="CE24" s="131"/>
      <c r="CF24" s="131"/>
      <c r="CG24" s="131"/>
      <c r="CH24" s="131"/>
      <c r="CI24" s="131"/>
      <c r="CJ24" s="131"/>
      <c r="CK24" s="131"/>
      <c r="CL24" s="131"/>
      <c r="CM24" s="131"/>
      <c r="CN24" s="131"/>
      <c r="CO24" s="131"/>
      <c r="CP24" s="131"/>
      <c r="CQ24" s="131"/>
      <c r="CR24" s="131"/>
      <c r="CS24" s="131"/>
      <c r="CT24" s="131"/>
      <c r="CU24" s="131"/>
      <c r="CV24" s="131"/>
      <c r="CW24" s="131"/>
      <c r="CX24" s="131"/>
      <c r="CY24" s="131"/>
      <c r="CZ24" s="131"/>
      <c r="DA24" s="131"/>
      <c r="DB24" s="131"/>
      <c r="DC24" s="131"/>
      <c r="DD24" s="131"/>
      <c r="DE24" s="131"/>
      <c r="DF24" s="131"/>
      <c r="DG24" s="131"/>
      <c r="DH24" s="131"/>
      <c r="DI24" s="131"/>
      <c r="DJ24" s="131"/>
      <c r="DK24" s="131"/>
      <c r="DL24" s="131"/>
      <c r="DM24" s="131"/>
      <c r="DN24" s="131"/>
      <c r="DO24" s="131"/>
      <c r="DP24" s="131"/>
      <c r="DQ24" s="131"/>
      <c r="DR24" s="131"/>
      <c r="DS24" s="131"/>
      <c r="DT24" s="131"/>
      <c r="DU24" s="131"/>
      <c r="DV24" s="131"/>
      <c r="DW24" s="131"/>
      <c r="DX24" s="131"/>
      <c r="DY24" s="131"/>
      <c r="DZ24" s="131"/>
      <c r="EA24" s="131"/>
      <c r="EB24" s="131"/>
      <c r="EC24" s="131"/>
      <c r="ED24" s="131"/>
      <c r="EE24" s="131"/>
      <c r="EF24" s="131"/>
      <c r="EG24" s="131"/>
      <c r="EH24" s="131"/>
      <c r="EI24" s="131"/>
      <c r="EJ24" s="131"/>
      <c r="EK24" s="131"/>
      <c r="EL24" s="131"/>
      <c r="EM24" s="131"/>
      <c r="EN24" s="131"/>
      <c r="EO24" s="131"/>
      <c r="EP24" s="131"/>
      <c r="EQ24" s="131"/>
      <c r="ER24" s="131"/>
      <c r="ES24" s="131"/>
      <c r="ET24" s="131"/>
      <c r="EU24" s="131"/>
      <c r="EV24" s="131"/>
      <c r="EW24" s="131"/>
      <c r="EX24" s="131"/>
      <c r="EY24" s="131"/>
      <c r="EZ24" s="131"/>
      <c r="FA24" s="131"/>
      <c r="FB24" s="131"/>
      <c r="FC24" s="131"/>
      <c r="FD24" s="131"/>
      <c r="FE24" s="131"/>
      <c r="FF24" s="131"/>
      <c r="FG24" s="131"/>
      <c r="FH24" s="131"/>
      <c r="FI24" s="131"/>
      <c r="FJ24" s="131"/>
      <c r="FK24" s="131"/>
      <c r="FL24" s="131"/>
      <c r="FM24" s="131"/>
      <c r="FN24" s="131"/>
      <c r="FO24" s="131"/>
      <c r="FP24" s="131"/>
      <c r="FQ24" s="131"/>
      <c r="FR24" s="131"/>
      <c r="FS24" s="131"/>
      <c r="FT24" s="131"/>
      <c r="FU24" s="131"/>
      <c r="FV24" s="131"/>
      <c r="FW24" s="131"/>
      <c r="FX24" s="131"/>
      <c r="FY24" s="131"/>
      <c r="FZ24" s="131"/>
      <c r="GA24" s="131"/>
      <c r="GB24" s="131"/>
      <c r="GC24" s="131"/>
      <c r="GD24" s="131"/>
      <c r="GE24" s="131"/>
      <c r="GF24" s="131"/>
      <c r="GG24" s="131"/>
      <c r="GH24" s="131"/>
      <c r="GI24" s="131"/>
      <c r="GJ24" s="131"/>
      <c r="GK24" s="131"/>
      <c r="GL24" s="131"/>
      <c r="GM24" s="131"/>
      <c r="GN24" s="131"/>
      <c r="GO24" s="131"/>
      <c r="GP24" s="131"/>
      <c r="GQ24" s="131"/>
      <c r="GR24" s="131"/>
      <c r="GS24" s="131"/>
      <c r="GT24" s="131"/>
      <c r="GU24" s="131"/>
      <c r="GV24" s="131"/>
      <c r="GW24" s="131"/>
      <c r="GX24" s="131"/>
      <c r="GY24" s="131"/>
      <c r="GZ24" s="131"/>
      <c r="HA24" s="131"/>
      <c r="HB24" s="131"/>
      <c r="HC24" s="131"/>
      <c r="HD24" s="131"/>
      <c r="HE24" s="131"/>
      <c r="HF24" s="131"/>
      <c r="HG24" s="131"/>
      <c r="HH24" s="131"/>
      <c r="HI24" s="131"/>
      <c r="HJ24" s="131"/>
      <c r="HK24" s="131"/>
      <c r="HL24" s="131"/>
      <c r="HM24" s="131"/>
      <c r="HN24" s="131"/>
      <c r="HO24" s="131"/>
      <c r="HP24" s="131"/>
      <c r="HQ24" s="131"/>
      <c r="HR24" s="131"/>
      <c r="HS24" s="131"/>
      <c r="HT24" s="131"/>
      <c r="HU24" s="131"/>
      <c r="HV24" s="131"/>
      <c r="HW24" s="131"/>
      <c r="HX24" s="131"/>
      <c r="HY24" s="131"/>
      <c r="HZ24" s="131"/>
      <c r="IA24" s="131"/>
      <c r="IB24" s="131"/>
      <c r="IC24" s="131"/>
      <c r="ID24" s="131"/>
      <c r="IE24" s="131"/>
      <c r="IF24" s="131"/>
      <c r="IG24" s="131"/>
      <c r="IH24" s="131"/>
      <c r="II24" s="131"/>
      <c r="IJ24" s="131"/>
      <c r="IK24" s="131"/>
      <c r="IL24" s="131"/>
      <c r="IM24" s="131"/>
      <c r="IN24" s="131"/>
      <c r="IO24" s="131"/>
      <c r="IP24" s="131"/>
      <c r="IQ24" s="131"/>
      <c r="IR24" s="131"/>
      <c r="IS24" s="131"/>
      <c r="IT24" s="131"/>
      <c r="IU24" s="131"/>
      <c r="IV24" s="131"/>
      <c r="IW24" s="131"/>
      <c r="IX24" s="131"/>
      <c r="IY24" s="131"/>
      <c r="IZ24" s="131"/>
      <c r="JA24" s="131"/>
      <c r="JB24" s="131"/>
      <c r="JC24" s="131"/>
      <c r="JD24" s="131"/>
      <c r="JE24" s="131"/>
      <c r="JF24" s="131"/>
      <c r="JG24" s="131"/>
      <c r="JH24" s="131"/>
      <c r="JI24" s="131"/>
      <c r="JJ24" s="131"/>
      <c r="JK24" s="131"/>
      <c r="JL24" s="131"/>
      <c r="JM24" s="131"/>
      <c r="JN24" s="131"/>
      <c r="JO24" s="131"/>
      <c r="JP24" s="131"/>
      <c r="JQ24" s="131"/>
      <c r="JR24" s="131"/>
      <c r="JS24" s="131"/>
      <c r="JT24" s="131"/>
      <c r="JU24" s="131"/>
      <c r="JV24" s="131"/>
      <c r="JW24" s="131"/>
      <c r="JX24" s="131"/>
      <c r="JY24" s="131"/>
      <c r="JZ24" s="131"/>
      <c r="KA24" s="131"/>
      <c r="KB24" s="131"/>
      <c r="KC24" s="131"/>
      <c r="KD24" s="131"/>
      <c r="KE24" s="131"/>
      <c r="KF24" s="131"/>
      <c r="KG24" s="131"/>
      <c r="KH24" s="131"/>
      <c r="KI24" s="131"/>
      <c r="KJ24" s="131"/>
      <c r="KK24" s="131"/>
      <c r="KL24" s="131"/>
      <c r="KM24" s="131"/>
      <c r="KN24" s="131"/>
      <c r="KO24" s="131"/>
      <c r="KP24" s="131"/>
      <c r="KQ24" s="131"/>
      <c r="KR24" s="131"/>
      <c r="KS24" s="131"/>
      <c r="KT24" s="131"/>
      <c r="KU24" s="131"/>
      <c r="KV24" s="131"/>
      <c r="KW24" s="131"/>
      <c r="KX24" s="131"/>
      <c r="KY24" s="131"/>
      <c r="KZ24" s="131"/>
      <c r="LA24" s="131"/>
      <c r="LB24" s="131"/>
      <c r="LC24" s="131"/>
      <c r="LD24" s="131"/>
      <c r="LE24" s="131"/>
      <c r="LF24" s="131"/>
      <c r="LG24" s="131"/>
      <c r="LH24" s="131"/>
      <c r="LI24" s="131"/>
      <c r="LJ24" s="131"/>
      <c r="LK24" s="131"/>
      <c r="LL24" s="131"/>
      <c r="LM24" s="131"/>
      <c r="LN24" s="131"/>
      <c r="LO24" s="131"/>
      <c r="LP24" s="131"/>
      <c r="LQ24" s="131"/>
      <c r="LR24" s="131"/>
      <c r="LS24" s="131"/>
      <c r="LT24" s="131"/>
      <c r="LU24" s="131"/>
      <c r="LV24" s="131"/>
      <c r="LW24" s="131"/>
      <c r="LX24" s="131"/>
      <c r="LY24" s="131"/>
      <c r="LZ24" s="131"/>
      <c r="MA24" s="131"/>
      <c r="MB24" s="131"/>
      <c r="MC24" s="131"/>
      <c r="MD24" s="131"/>
      <c r="ME24" s="131"/>
      <c r="MF24" s="131"/>
      <c r="MG24" s="131"/>
      <c r="MH24" s="131"/>
      <c r="MI24" s="131"/>
      <c r="MJ24" s="131"/>
      <c r="MK24" s="131"/>
      <c r="ML24" s="131"/>
      <c r="MM24" s="131"/>
      <c r="MN24" s="131"/>
      <c r="MO24" s="131"/>
      <c r="MP24" s="131"/>
      <c r="MQ24" s="131"/>
      <c r="MR24" s="131"/>
      <c r="MS24" s="131"/>
      <c r="MT24" s="131"/>
      <c r="MU24" s="131"/>
      <c r="MV24" s="131"/>
      <c r="MW24" s="131"/>
      <c r="MX24" s="131"/>
      <c r="MY24" s="131"/>
      <c r="MZ24" s="131"/>
      <c r="NA24" s="131"/>
      <c r="NB24" s="131"/>
      <c r="NC24" s="131"/>
      <c r="ND24" s="131"/>
      <c r="NE24" s="131"/>
      <c r="NF24" s="131"/>
      <c r="NG24" s="131"/>
      <c r="NH24" s="131"/>
      <c r="NI24" s="131"/>
      <c r="NJ24" s="131"/>
      <c r="NK24" s="131"/>
      <c r="NL24" s="131"/>
      <c r="NM24" s="131"/>
      <c r="NN24" s="131"/>
      <c r="NO24" s="131"/>
      <c r="NP24" s="131"/>
      <c r="NQ24" s="131"/>
      <c r="NR24" s="131"/>
      <c r="NS24" s="131"/>
      <c r="NT24" s="131"/>
      <c r="NU24" s="131"/>
      <c r="NV24" s="131"/>
      <c r="NW24" s="24">
        <f t="shared" si="8"/>
        <v>0</v>
      </c>
      <c r="NX24" s="56" t="s">
        <v>36</v>
      </c>
      <c r="NY24" s="127">
        <v>303.38</v>
      </c>
      <c r="NZ24" s="78">
        <f t="shared" si="2"/>
        <v>0</v>
      </c>
      <c r="OA24" s="78">
        <v>197.56299999999999</v>
      </c>
      <c r="OB24" s="127">
        <f t="shared" si="0"/>
        <v>303.38</v>
      </c>
      <c r="OC24" s="153"/>
      <c r="OD24" s="108">
        <f t="shared" si="1"/>
        <v>1.5356114252162603</v>
      </c>
      <c r="OE24" s="160" t="s">
        <v>507</v>
      </c>
    </row>
    <row r="25" spans="1:395" s="5" customFormat="1" ht="12.75" customHeight="1" x14ac:dyDescent="0.25">
      <c r="A25" s="62">
        <v>44497</v>
      </c>
      <c r="B25" s="116" t="s">
        <v>81</v>
      </c>
      <c r="C25" s="129"/>
      <c r="D25" s="129"/>
      <c r="E25" s="130"/>
      <c r="F25" s="130"/>
      <c r="G25" s="130"/>
      <c r="H25" s="130"/>
      <c r="I25" s="130"/>
      <c r="J25" s="130"/>
      <c r="K25" s="130"/>
      <c r="L25" s="130"/>
      <c r="M25" s="131"/>
      <c r="N25" s="131"/>
      <c r="O25" s="131"/>
      <c r="P25" s="131"/>
      <c r="Q25" s="131"/>
      <c r="R25" s="131"/>
      <c r="S25" s="131"/>
      <c r="T25" s="131"/>
      <c r="U25" s="131"/>
      <c r="V25" s="131"/>
      <c r="W25" s="131"/>
      <c r="X25" s="131"/>
      <c r="Y25" s="131"/>
      <c r="Z25" s="131"/>
      <c r="AA25" s="131"/>
      <c r="AB25" s="131"/>
      <c r="AC25" s="131"/>
      <c r="AD25" s="131"/>
      <c r="AE25" s="131"/>
      <c r="AF25" s="131"/>
      <c r="AG25" s="131"/>
      <c r="AH25" s="131"/>
      <c r="AI25" s="131"/>
      <c r="AJ25" s="131"/>
      <c r="AK25" s="131"/>
      <c r="AL25" s="131"/>
      <c r="AM25" s="131"/>
      <c r="AN25" s="131"/>
      <c r="AO25" s="131"/>
      <c r="AP25" s="131"/>
      <c r="AQ25" s="131"/>
      <c r="AR25" s="131"/>
      <c r="AS25" s="131"/>
      <c r="AT25" s="131"/>
      <c r="AU25" s="131"/>
      <c r="AV25" s="131"/>
      <c r="AW25" s="131"/>
      <c r="AX25" s="131"/>
      <c r="AY25" s="131"/>
      <c r="AZ25" s="131"/>
      <c r="BA25" s="131"/>
      <c r="BB25" s="131"/>
      <c r="BC25" s="131"/>
      <c r="BD25" s="131"/>
      <c r="BE25" s="131"/>
      <c r="BF25" s="131"/>
      <c r="BG25" s="131"/>
      <c r="BH25" s="131"/>
      <c r="BI25" s="131"/>
      <c r="BJ25" s="131"/>
      <c r="BK25" s="131"/>
      <c r="BL25" s="131"/>
      <c r="BM25" s="131"/>
      <c r="BN25" s="131"/>
      <c r="BO25" s="131"/>
      <c r="BP25" s="131"/>
      <c r="BQ25" s="131"/>
      <c r="BR25" s="131"/>
      <c r="BS25" s="131"/>
      <c r="BT25" s="131"/>
      <c r="BU25" s="131"/>
      <c r="BV25" s="131"/>
      <c r="BW25" s="131"/>
      <c r="BX25" s="131"/>
      <c r="BY25" s="131"/>
      <c r="BZ25" s="131"/>
      <c r="CA25" s="131"/>
      <c r="CB25" s="131"/>
      <c r="CC25" s="131"/>
      <c r="CD25" s="131"/>
      <c r="CE25" s="131"/>
      <c r="CF25" s="131"/>
      <c r="CG25" s="131"/>
      <c r="CH25" s="131"/>
      <c r="CI25" s="131"/>
      <c r="CJ25" s="131"/>
      <c r="CK25" s="131"/>
      <c r="CL25" s="131"/>
      <c r="CM25" s="131"/>
      <c r="CN25" s="131"/>
      <c r="CO25" s="131"/>
      <c r="CP25" s="131"/>
      <c r="CQ25" s="131"/>
      <c r="CR25" s="131"/>
      <c r="CS25" s="131"/>
      <c r="CT25" s="131"/>
      <c r="CU25" s="131"/>
      <c r="CV25" s="131"/>
      <c r="CW25" s="131"/>
      <c r="CX25" s="131"/>
      <c r="CY25" s="131"/>
      <c r="CZ25" s="131"/>
      <c r="DA25" s="131"/>
      <c r="DB25" s="131"/>
      <c r="DC25" s="131"/>
      <c r="DD25" s="131"/>
      <c r="DE25" s="131"/>
      <c r="DF25" s="131"/>
      <c r="DG25" s="131"/>
      <c r="DH25" s="131"/>
      <c r="DI25" s="131"/>
      <c r="DJ25" s="131"/>
      <c r="DK25" s="131"/>
      <c r="DL25" s="131"/>
      <c r="DM25" s="131"/>
      <c r="DN25" s="131"/>
      <c r="DO25" s="131"/>
      <c r="DP25" s="131"/>
      <c r="DQ25" s="131"/>
      <c r="DR25" s="131"/>
      <c r="DS25" s="131"/>
      <c r="DT25" s="131"/>
      <c r="DU25" s="131"/>
      <c r="DV25" s="131"/>
      <c r="DW25" s="131"/>
      <c r="DX25" s="131"/>
      <c r="DY25" s="131"/>
      <c r="DZ25" s="131"/>
      <c r="EA25" s="131"/>
      <c r="EB25" s="131"/>
      <c r="EC25" s="131"/>
      <c r="ED25" s="131"/>
      <c r="EE25" s="131"/>
      <c r="EF25" s="131"/>
      <c r="EG25" s="131"/>
      <c r="EH25" s="131"/>
      <c r="EI25" s="131"/>
      <c r="EJ25" s="131"/>
      <c r="EK25" s="131"/>
      <c r="EL25" s="131"/>
      <c r="EM25" s="131"/>
      <c r="EN25" s="131"/>
      <c r="EO25" s="131"/>
      <c r="EP25" s="131"/>
      <c r="EQ25" s="131"/>
      <c r="ER25" s="131"/>
      <c r="ES25" s="131"/>
      <c r="ET25" s="131"/>
      <c r="EU25" s="131"/>
      <c r="EV25" s="131"/>
      <c r="EW25" s="131"/>
      <c r="EX25" s="131"/>
      <c r="EY25" s="131"/>
      <c r="EZ25" s="131"/>
      <c r="FA25" s="131"/>
      <c r="FB25" s="131"/>
      <c r="FC25" s="131"/>
      <c r="FD25" s="131"/>
      <c r="FE25" s="131"/>
      <c r="FF25" s="131"/>
      <c r="FG25" s="131"/>
      <c r="FH25" s="131"/>
      <c r="FI25" s="131"/>
      <c r="FJ25" s="131"/>
      <c r="FK25" s="131"/>
      <c r="FL25" s="131"/>
      <c r="FM25" s="131"/>
      <c r="FN25" s="131"/>
      <c r="FO25" s="131"/>
      <c r="FP25" s="131"/>
      <c r="FQ25" s="131"/>
      <c r="FR25" s="131"/>
      <c r="FS25" s="131"/>
      <c r="FT25" s="131"/>
      <c r="FU25" s="131"/>
      <c r="FV25" s="131"/>
      <c r="FW25" s="131"/>
      <c r="FX25" s="131"/>
      <c r="FY25" s="131"/>
      <c r="FZ25" s="131"/>
      <c r="GA25" s="131"/>
      <c r="GB25" s="131"/>
      <c r="GC25" s="131"/>
      <c r="GD25" s="131"/>
      <c r="GE25" s="131"/>
      <c r="GF25" s="131"/>
      <c r="GG25" s="131"/>
      <c r="GH25" s="131"/>
      <c r="GI25" s="131"/>
      <c r="GJ25" s="131"/>
      <c r="GK25" s="131"/>
      <c r="GL25" s="131"/>
      <c r="GM25" s="131"/>
      <c r="GN25" s="131"/>
      <c r="GO25" s="131"/>
      <c r="GP25" s="131"/>
      <c r="GQ25" s="131"/>
      <c r="GR25" s="131"/>
      <c r="GS25" s="131"/>
      <c r="GT25" s="131"/>
      <c r="GU25" s="131"/>
      <c r="GV25" s="131"/>
      <c r="GW25" s="131"/>
      <c r="GX25" s="131"/>
      <c r="GY25" s="131"/>
      <c r="GZ25" s="131"/>
      <c r="HA25" s="131"/>
      <c r="HB25" s="131"/>
      <c r="HC25" s="131"/>
      <c r="HD25" s="131"/>
      <c r="HE25" s="131"/>
      <c r="HF25" s="131"/>
      <c r="HG25" s="131"/>
      <c r="HH25" s="131"/>
      <c r="HI25" s="131"/>
      <c r="HJ25" s="131"/>
      <c r="HK25" s="131"/>
      <c r="HL25" s="131"/>
      <c r="HM25" s="131"/>
      <c r="HN25" s="131"/>
      <c r="HO25" s="131"/>
      <c r="HP25" s="131"/>
      <c r="HQ25" s="131"/>
      <c r="HR25" s="131"/>
      <c r="HS25" s="131"/>
      <c r="HT25" s="131"/>
      <c r="HU25" s="131"/>
      <c r="HV25" s="131"/>
      <c r="HW25" s="131"/>
      <c r="HX25" s="131"/>
      <c r="HY25" s="131"/>
      <c r="HZ25" s="131"/>
      <c r="IA25" s="131"/>
      <c r="IB25" s="131"/>
      <c r="IC25" s="131"/>
      <c r="ID25" s="131"/>
      <c r="IE25" s="131"/>
      <c r="IF25" s="131"/>
      <c r="IG25" s="131"/>
      <c r="IH25" s="131"/>
      <c r="II25" s="131"/>
      <c r="IJ25" s="131"/>
      <c r="IK25" s="131"/>
      <c r="IL25" s="131"/>
      <c r="IM25" s="131"/>
      <c r="IN25" s="131"/>
      <c r="IO25" s="131"/>
      <c r="IP25" s="131"/>
      <c r="IQ25" s="131"/>
      <c r="IR25" s="131"/>
      <c r="IS25" s="131"/>
      <c r="IT25" s="131"/>
      <c r="IU25" s="131"/>
      <c r="IV25" s="131"/>
      <c r="IW25" s="131"/>
      <c r="IX25" s="131"/>
      <c r="IY25" s="131"/>
      <c r="IZ25" s="131"/>
      <c r="JA25" s="131"/>
      <c r="JB25" s="131"/>
      <c r="JC25" s="131"/>
      <c r="JD25" s="131"/>
      <c r="JE25" s="131"/>
      <c r="JF25" s="131"/>
      <c r="JG25" s="131"/>
      <c r="JH25" s="131"/>
      <c r="JI25" s="131"/>
      <c r="JJ25" s="131"/>
      <c r="JK25" s="131"/>
      <c r="JL25" s="131"/>
      <c r="JM25" s="131"/>
      <c r="JN25" s="131"/>
      <c r="JO25" s="131"/>
      <c r="JP25" s="131"/>
      <c r="JQ25" s="131"/>
      <c r="JR25" s="131"/>
      <c r="JS25" s="131"/>
      <c r="JT25" s="131"/>
      <c r="JU25" s="131"/>
      <c r="JV25" s="131"/>
      <c r="JW25" s="131"/>
      <c r="JX25" s="131"/>
      <c r="JY25" s="131"/>
      <c r="JZ25" s="131"/>
      <c r="KA25" s="131"/>
      <c r="KB25" s="131"/>
      <c r="KC25" s="131"/>
      <c r="KD25" s="131"/>
      <c r="KE25" s="131"/>
      <c r="KF25" s="131"/>
      <c r="KG25" s="131"/>
      <c r="KH25" s="131"/>
      <c r="KI25" s="131"/>
      <c r="KJ25" s="131"/>
      <c r="KK25" s="131"/>
      <c r="KL25" s="131"/>
      <c r="KM25" s="131"/>
      <c r="KN25" s="131"/>
      <c r="KO25" s="131"/>
      <c r="KP25" s="131"/>
      <c r="KQ25" s="131"/>
      <c r="KR25" s="131"/>
      <c r="KS25" s="131"/>
      <c r="KT25" s="131"/>
      <c r="KU25" s="131"/>
      <c r="KV25" s="131"/>
      <c r="KW25" s="131"/>
      <c r="KX25" s="131"/>
      <c r="KY25" s="131"/>
      <c r="KZ25" s="131"/>
      <c r="LA25" s="131"/>
      <c r="LB25" s="131"/>
      <c r="LC25" s="131"/>
      <c r="LD25" s="131"/>
      <c r="LE25" s="131"/>
      <c r="LF25" s="131"/>
      <c r="LG25" s="131"/>
      <c r="LH25" s="131"/>
      <c r="LI25" s="131"/>
      <c r="LJ25" s="131"/>
      <c r="LK25" s="131"/>
      <c r="LL25" s="131"/>
      <c r="LM25" s="131"/>
      <c r="LN25" s="131"/>
      <c r="LO25" s="131"/>
      <c r="LP25" s="131"/>
      <c r="LQ25" s="131"/>
      <c r="LR25" s="131"/>
      <c r="LS25" s="131"/>
      <c r="LT25" s="131"/>
      <c r="LU25" s="131"/>
      <c r="LV25" s="131"/>
      <c r="LW25" s="131"/>
      <c r="LX25" s="131"/>
      <c r="LY25" s="131"/>
      <c r="LZ25" s="131"/>
      <c r="MA25" s="131"/>
      <c r="MB25" s="131"/>
      <c r="MC25" s="131"/>
      <c r="MD25" s="131"/>
      <c r="ME25" s="131"/>
      <c r="MF25" s="131"/>
      <c r="MG25" s="131"/>
      <c r="MH25" s="131"/>
      <c r="MI25" s="131"/>
      <c r="MJ25" s="131"/>
      <c r="MK25" s="131"/>
      <c r="ML25" s="131"/>
      <c r="MM25" s="131"/>
      <c r="MN25" s="131"/>
      <c r="MO25" s="131"/>
      <c r="MP25" s="131"/>
      <c r="MQ25" s="131"/>
      <c r="MR25" s="131"/>
      <c r="MS25" s="131"/>
      <c r="MT25" s="131"/>
      <c r="MU25" s="131"/>
      <c r="MV25" s="131"/>
      <c r="MW25" s="131"/>
      <c r="MX25" s="131"/>
      <c r="MY25" s="131"/>
      <c r="MZ25" s="131"/>
      <c r="NA25" s="131"/>
      <c r="NB25" s="131"/>
      <c r="NC25" s="131"/>
      <c r="ND25" s="131"/>
      <c r="NE25" s="131"/>
      <c r="NF25" s="131"/>
      <c r="NG25" s="131"/>
      <c r="NH25" s="131"/>
      <c r="NI25" s="131"/>
      <c r="NJ25" s="131"/>
      <c r="NK25" s="131"/>
      <c r="NL25" s="131"/>
      <c r="NM25" s="131"/>
      <c r="NN25" s="131"/>
      <c r="NO25" s="131"/>
      <c r="NP25" s="131"/>
      <c r="NQ25" s="131"/>
      <c r="NR25" s="131"/>
      <c r="NS25" s="131"/>
      <c r="NT25" s="131"/>
      <c r="NU25" s="131"/>
      <c r="NV25" s="131"/>
      <c r="NW25" s="24">
        <f t="shared" si="8"/>
        <v>0</v>
      </c>
      <c r="NX25" s="56" t="s">
        <v>97</v>
      </c>
      <c r="NY25" s="127">
        <v>9506.2999999999993</v>
      </c>
      <c r="NZ25" s="78">
        <f t="shared" si="2"/>
        <v>0</v>
      </c>
      <c r="OA25" s="78">
        <v>7439.42</v>
      </c>
      <c r="OB25" s="127">
        <f t="shared" si="0"/>
        <v>9506.2999999999993</v>
      </c>
      <c r="OC25" s="153"/>
      <c r="OD25" s="108">
        <f t="shared" si="1"/>
        <v>1.277828110255907</v>
      </c>
      <c r="OE25" s="160" t="s">
        <v>498</v>
      </c>
    </row>
    <row r="26" spans="1:395" s="5" customFormat="1" ht="12.75" hidden="1" customHeight="1" x14ac:dyDescent="0.25">
      <c r="A26" s="62">
        <v>44501</v>
      </c>
      <c r="B26" s="116" t="s">
        <v>92</v>
      </c>
      <c r="C26" s="129"/>
      <c r="D26" s="129"/>
      <c r="E26" s="130"/>
      <c r="F26" s="130"/>
      <c r="G26" s="130"/>
      <c r="H26" s="130"/>
      <c r="I26" s="130"/>
      <c r="J26" s="130"/>
      <c r="K26" s="130"/>
      <c r="L26" s="130"/>
      <c r="M26" s="131"/>
      <c r="N26" s="131"/>
      <c r="O26" s="131"/>
      <c r="P26" s="131"/>
      <c r="Q26" s="131"/>
      <c r="R26" s="131"/>
      <c r="S26" s="131"/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31"/>
      <c r="AG26" s="131"/>
      <c r="AH26" s="131"/>
      <c r="AI26" s="131"/>
      <c r="AJ26" s="131"/>
      <c r="AK26" s="131"/>
      <c r="AL26" s="131"/>
      <c r="AM26" s="131"/>
      <c r="AN26" s="131"/>
      <c r="AO26" s="131"/>
      <c r="AP26" s="131"/>
      <c r="AQ26" s="131"/>
      <c r="AR26" s="131"/>
      <c r="AS26" s="131"/>
      <c r="AT26" s="131"/>
      <c r="AU26" s="131"/>
      <c r="AV26" s="131"/>
      <c r="AW26" s="131"/>
      <c r="AX26" s="131"/>
      <c r="AY26" s="131"/>
      <c r="AZ26" s="131"/>
      <c r="BA26" s="131"/>
      <c r="BB26" s="131"/>
      <c r="BC26" s="131"/>
      <c r="BD26" s="131"/>
      <c r="BE26" s="131"/>
      <c r="BF26" s="131"/>
      <c r="BG26" s="131"/>
      <c r="BH26" s="131"/>
      <c r="BI26" s="131"/>
      <c r="BJ26" s="131"/>
      <c r="BK26" s="131"/>
      <c r="BL26" s="131"/>
      <c r="BM26" s="131"/>
      <c r="BN26" s="131"/>
      <c r="BO26" s="131"/>
      <c r="BP26" s="131"/>
      <c r="BQ26" s="131"/>
      <c r="BR26" s="131"/>
      <c r="BS26" s="131"/>
      <c r="BT26" s="131"/>
      <c r="BU26" s="131"/>
      <c r="BV26" s="131"/>
      <c r="BW26" s="131"/>
      <c r="BX26" s="131"/>
      <c r="BY26" s="131"/>
      <c r="BZ26" s="131"/>
      <c r="CA26" s="131"/>
      <c r="CB26" s="131"/>
      <c r="CC26" s="131"/>
      <c r="CD26" s="131"/>
      <c r="CE26" s="131"/>
      <c r="CF26" s="131"/>
      <c r="CG26" s="131"/>
      <c r="CH26" s="131"/>
      <c r="CI26" s="131"/>
      <c r="CJ26" s="131"/>
      <c r="CK26" s="131"/>
      <c r="CL26" s="131"/>
      <c r="CM26" s="131"/>
      <c r="CN26" s="131"/>
      <c r="CO26" s="131"/>
      <c r="CP26" s="131"/>
      <c r="CQ26" s="131"/>
      <c r="CR26" s="131"/>
      <c r="CS26" s="131"/>
      <c r="CT26" s="131"/>
      <c r="CU26" s="131"/>
      <c r="CV26" s="131"/>
      <c r="CW26" s="131"/>
      <c r="CX26" s="131"/>
      <c r="CY26" s="131"/>
      <c r="CZ26" s="131"/>
      <c r="DA26" s="131"/>
      <c r="DB26" s="131"/>
      <c r="DC26" s="131"/>
      <c r="DD26" s="131"/>
      <c r="DE26" s="131"/>
      <c r="DF26" s="131"/>
      <c r="DG26" s="131"/>
      <c r="DH26" s="131"/>
      <c r="DI26" s="131"/>
      <c r="DJ26" s="131"/>
      <c r="DK26" s="131"/>
      <c r="DL26" s="131"/>
      <c r="DM26" s="131"/>
      <c r="DN26" s="131"/>
      <c r="DO26" s="131"/>
      <c r="DP26" s="131"/>
      <c r="DQ26" s="131"/>
      <c r="DR26" s="131"/>
      <c r="DS26" s="131"/>
      <c r="DT26" s="131"/>
      <c r="DU26" s="131"/>
      <c r="DV26" s="131"/>
      <c r="DW26" s="131"/>
      <c r="DX26" s="131"/>
      <c r="DY26" s="131"/>
      <c r="DZ26" s="131"/>
      <c r="EA26" s="131"/>
      <c r="EB26" s="131"/>
      <c r="EC26" s="131"/>
      <c r="ED26" s="131"/>
      <c r="EE26" s="131"/>
      <c r="EF26" s="131"/>
      <c r="EG26" s="131"/>
      <c r="EH26" s="131"/>
      <c r="EI26" s="131"/>
      <c r="EJ26" s="131"/>
      <c r="EK26" s="131"/>
      <c r="EL26" s="131"/>
      <c r="EM26" s="131"/>
      <c r="EN26" s="131"/>
      <c r="EO26" s="131"/>
      <c r="EP26" s="131"/>
      <c r="EQ26" s="131"/>
      <c r="ER26" s="131"/>
      <c r="ES26" s="131"/>
      <c r="ET26" s="131"/>
      <c r="EU26" s="131"/>
      <c r="EV26" s="131"/>
      <c r="EW26" s="131"/>
      <c r="EX26" s="131"/>
      <c r="EY26" s="131"/>
      <c r="EZ26" s="131"/>
      <c r="FA26" s="131"/>
      <c r="FB26" s="131"/>
      <c r="FC26" s="131"/>
      <c r="FD26" s="131"/>
      <c r="FE26" s="131"/>
      <c r="FF26" s="131"/>
      <c r="FG26" s="131"/>
      <c r="FH26" s="131"/>
      <c r="FI26" s="131"/>
      <c r="FJ26" s="131"/>
      <c r="FK26" s="131"/>
      <c r="FL26" s="131"/>
      <c r="FM26" s="131"/>
      <c r="FN26" s="131"/>
      <c r="FO26" s="131"/>
      <c r="FP26" s="131"/>
      <c r="FQ26" s="131"/>
      <c r="FR26" s="131"/>
      <c r="FS26" s="131"/>
      <c r="FT26" s="131"/>
      <c r="FU26" s="131"/>
      <c r="FV26" s="131"/>
      <c r="FW26" s="131"/>
      <c r="FX26" s="131"/>
      <c r="FY26" s="131"/>
      <c r="FZ26" s="131"/>
      <c r="GA26" s="131"/>
      <c r="GB26" s="131"/>
      <c r="GC26" s="131"/>
      <c r="GD26" s="131"/>
      <c r="GE26" s="131"/>
      <c r="GF26" s="131"/>
      <c r="GG26" s="131"/>
      <c r="GH26" s="131"/>
      <c r="GI26" s="131"/>
      <c r="GJ26" s="131"/>
      <c r="GK26" s="131"/>
      <c r="GL26" s="131"/>
      <c r="GM26" s="131"/>
      <c r="GN26" s="131"/>
      <c r="GO26" s="131"/>
      <c r="GP26" s="131"/>
      <c r="GQ26" s="131"/>
      <c r="GR26" s="131"/>
      <c r="GS26" s="131"/>
      <c r="GT26" s="131"/>
      <c r="GU26" s="131"/>
      <c r="GV26" s="131"/>
      <c r="GW26" s="131"/>
      <c r="GX26" s="131"/>
      <c r="GY26" s="131"/>
      <c r="GZ26" s="131"/>
      <c r="HA26" s="131"/>
      <c r="HB26" s="131"/>
      <c r="HC26" s="131"/>
      <c r="HD26" s="131"/>
      <c r="HE26" s="131"/>
      <c r="HF26" s="131"/>
      <c r="HG26" s="131"/>
      <c r="HH26" s="131"/>
      <c r="HI26" s="131"/>
      <c r="HJ26" s="131"/>
      <c r="HK26" s="131"/>
      <c r="HL26" s="131"/>
      <c r="HM26" s="131"/>
      <c r="HN26" s="131"/>
      <c r="HO26" s="131"/>
      <c r="HP26" s="131"/>
      <c r="HQ26" s="131"/>
      <c r="HR26" s="131"/>
      <c r="HS26" s="131"/>
      <c r="HT26" s="131"/>
      <c r="HU26" s="131"/>
      <c r="HV26" s="131"/>
      <c r="HW26" s="131"/>
      <c r="HX26" s="131"/>
      <c r="HY26" s="131"/>
      <c r="HZ26" s="131"/>
      <c r="IA26" s="131"/>
      <c r="IB26" s="131"/>
      <c r="IC26" s="131"/>
      <c r="ID26" s="131"/>
      <c r="IE26" s="131"/>
      <c r="IF26" s="131"/>
      <c r="IG26" s="131"/>
      <c r="IH26" s="131"/>
      <c r="II26" s="131"/>
      <c r="IJ26" s="131"/>
      <c r="IK26" s="131"/>
      <c r="IL26" s="131"/>
      <c r="IM26" s="131"/>
      <c r="IN26" s="131"/>
      <c r="IO26" s="131"/>
      <c r="IP26" s="131"/>
      <c r="IQ26" s="131"/>
      <c r="IR26" s="131"/>
      <c r="IS26" s="131"/>
      <c r="IT26" s="131"/>
      <c r="IU26" s="131"/>
      <c r="IV26" s="131"/>
      <c r="IW26" s="131"/>
      <c r="IX26" s="131"/>
      <c r="IY26" s="131"/>
      <c r="IZ26" s="131"/>
      <c r="JA26" s="131"/>
      <c r="JB26" s="131"/>
      <c r="JC26" s="131"/>
      <c r="JD26" s="131"/>
      <c r="JE26" s="131"/>
      <c r="JF26" s="131"/>
      <c r="JG26" s="131"/>
      <c r="JH26" s="131"/>
      <c r="JI26" s="131"/>
      <c r="JJ26" s="131"/>
      <c r="JK26" s="131"/>
      <c r="JL26" s="131"/>
      <c r="JM26" s="131"/>
      <c r="JN26" s="131"/>
      <c r="JO26" s="131"/>
      <c r="JP26" s="131"/>
      <c r="JQ26" s="131"/>
      <c r="JR26" s="131"/>
      <c r="JS26" s="131"/>
      <c r="JT26" s="131"/>
      <c r="JU26" s="131"/>
      <c r="JV26" s="131"/>
      <c r="JW26" s="131"/>
      <c r="JX26" s="131"/>
      <c r="JY26" s="131"/>
      <c r="JZ26" s="131"/>
      <c r="KA26" s="131"/>
      <c r="KB26" s="131"/>
      <c r="KC26" s="131"/>
      <c r="KD26" s="131"/>
      <c r="KE26" s="131"/>
      <c r="KF26" s="131"/>
      <c r="KG26" s="131"/>
      <c r="KH26" s="131"/>
      <c r="KI26" s="131"/>
      <c r="KJ26" s="131"/>
      <c r="KK26" s="131"/>
      <c r="KL26" s="131"/>
      <c r="KM26" s="131"/>
      <c r="KN26" s="131"/>
      <c r="KO26" s="131"/>
      <c r="KP26" s="131"/>
      <c r="KQ26" s="131"/>
      <c r="KR26" s="131"/>
      <c r="KS26" s="131"/>
      <c r="KT26" s="131"/>
      <c r="KU26" s="131"/>
      <c r="KV26" s="131"/>
      <c r="KW26" s="131"/>
      <c r="KX26" s="131"/>
      <c r="KY26" s="131"/>
      <c r="KZ26" s="131"/>
      <c r="LA26" s="131"/>
      <c r="LB26" s="131"/>
      <c r="LC26" s="131"/>
      <c r="LD26" s="131"/>
      <c r="LE26" s="131"/>
      <c r="LF26" s="131"/>
      <c r="LG26" s="131"/>
      <c r="LH26" s="131"/>
      <c r="LI26" s="131"/>
      <c r="LJ26" s="131"/>
      <c r="LK26" s="131"/>
      <c r="LL26" s="131"/>
      <c r="LM26" s="131"/>
      <c r="LN26" s="131"/>
      <c r="LO26" s="131"/>
      <c r="LP26" s="131"/>
      <c r="LQ26" s="131"/>
      <c r="LR26" s="131"/>
      <c r="LS26" s="131"/>
      <c r="LT26" s="131"/>
      <c r="LU26" s="131"/>
      <c r="LV26" s="131"/>
      <c r="LW26" s="131"/>
      <c r="LX26" s="131"/>
      <c r="LY26" s="131"/>
      <c r="LZ26" s="131"/>
      <c r="MA26" s="131"/>
      <c r="MB26" s="131"/>
      <c r="MC26" s="131"/>
      <c r="MD26" s="131"/>
      <c r="ME26" s="131"/>
      <c r="MF26" s="131"/>
      <c r="MG26" s="131"/>
      <c r="MH26" s="131"/>
      <c r="MI26" s="131"/>
      <c r="MJ26" s="131"/>
      <c r="MK26" s="131"/>
      <c r="ML26" s="131"/>
      <c r="MM26" s="131"/>
      <c r="MN26" s="131"/>
      <c r="MO26" s="131"/>
      <c r="MP26" s="131"/>
      <c r="MQ26" s="131"/>
      <c r="MR26" s="131"/>
      <c r="MS26" s="131"/>
      <c r="MT26" s="131"/>
      <c r="MU26" s="131"/>
      <c r="MV26" s="131"/>
      <c r="MW26" s="131"/>
      <c r="MX26" s="131"/>
      <c r="MY26" s="131"/>
      <c r="MZ26" s="131"/>
      <c r="NA26" s="131"/>
      <c r="NB26" s="131"/>
      <c r="NC26" s="131"/>
      <c r="ND26" s="131"/>
      <c r="NE26" s="131"/>
      <c r="NF26" s="131"/>
      <c r="NG26" s="131"/>
      <c r="NH26" s="131"/>
      <c r="NI26" s="131"/>
      <c r="NJ26" s="131"/>
      <c r="NK26" s="131"/>
      <c r="NL26" s="131"/>
      <c r="NM26" s="131"/>
      <c r="NN26" s="131"/>
      <c r="NO26" s="131"/>
      <c r="NP26" s="131"/>
      <c r="NQ26" s="131"/>
      <c r="NR26" s="131"/>
      <c r="NS26" s="131"/>
      <c r="NT26" s="131"/>
      <c r="NU26" s="131"/>
      <c r="NV26" s="131"/>
      <c r="NW26" s="24">
        <f t="shared" si="8"/>
        <v>0</v>
      </c>
      <c r="NX26" s="56" t="s">
        <v>36</v>
      </c>
      <c r="NY26" s="127">
        <v>155</v>
      </c>
      <c r="NZ26" s="78">
        <f t="shared" si="2"/>
        <v>155</v>
      </c>
      <c r="OA26" s="78">
        <v>280.48700000000002</v>
      </c>
      <c r="OB26" s="127">
        <f t="shared" si="0"/>
        <v>0</v>
      </c>
      <c r="OC26" s="153">
        <v>155</v>
      </c>
      <c r="OD26" s="108">
        <f t="shared" si="1"/>
        <v>0.55261028140341617</v>
      </c>
      <c r="OE26" s="160" t="s">
        <v>499</v>
      </c>
    </row>
    <row r="27" spans="1:395" s="5" customFormat="1" ht="12.75" hidden="1" customHeight="1" x14ac:dyDescent="0.25">
      <c r="A27" s="62">
        <v>44503</v>
      </c>
      <c r="B27" s="116" t="s">
        <v>57</v>
      </c>
      <c r="C27" s="129"/>
      <c r="D27" s="129"/>
      <c r="E27" s="130"/>
      <c r="F27" s="130"/>
      <c r="G27" s="130"/>
      <c r="H27" s="130"/>
      <c r="I27" s="130"/>
      <c r="J27" s="130"/>
      <c r="K27" s="130"/>
      <c r="L27" s="130"/>
      <c r="M27" s="131"/>
      <c r="N27" s="131"/>
      <c r="O27" s="131"/>
      <c r="P27" s="131"/>
      <c r="Q27" s="131"/>
      <c r="R27" s="131"/>
      <c r="S27" s="131"/>
      <c r="T27" s="131"/>
      <c r="U27" s="131"/>
      <c r="V27" s="131"/>
      <c r="W27" s="131"/>
      <c r="X27" s="131"/>
      <c r="Y27" s="131"/>
      <c r="Z27" s="131"/>
      <c r="AA27" s="131"/>
      <c r="AB27" s="131"/>
      <c r="AC27" s="131"/>
      <c r="AD27" s="131"/>
      <c r="AE27" s="131"/>
      <c r="AF27" s="131"/>
      <c r="AG27" s="131"/>
      <c r="AH27" s="131"/>
      <c r="AI27" s="131"/>
      <c r="AJ27" s="131"/>
      <c r="AK27" s="131"/>
      <c r="AL27" s="131"/>
      <c r="AM27" s="131"/>
      <c r="AN27" s="131"/>
      <c r="AO27" s="131"/>
      <c r="AP27" s="131"/>
      <c r="AQ27" s="131"/>
      <c r="AR27" s="131"/>
      <c r="AS27" s="131"/>
      <c r="AT27" s="131"/>
      <c r="AU27" s="131"/>
      <c r="AV27" s="131"/>
      <c r="AW27" s="131"/>
      <c r="AX27" s="131"/>
      <c r="AY27" s="131"/>
      <c r="AZ27" s="131"/>
      <c r="BA27" s="131"/>
      <c r="BB27" s="131"/>
      <c r="BC27" s="131"/>
      <c r="BD27" s="131"/>
      <c r="BE27" s="131"/>
      <c r="BF27" s="131"/>
      <c r="BG27" s="131"/>
      <c r="BH27" s="131"/>
      <c r="BI27" s="131"/>
      <c r="BJ27" s="131"/>
      <c r="BK27" s="131"/>
      <c r="BL27" s="131"/>
      <c r="BM27" s="131"/>
      <c r="BN27" s="131"/>
      <c r="BO27" s="131"/>
      <c r="BP27" s="131"/>
      <c r="BQ27" s="131"/>
      <c r="BR27" s="131"/>
      <c r="BS27" s="131"/>
      <c r="BT27" s="131"/>
      <c r="BU27" s="131"/>
      <c r="BV27" s="131"/>
      <c r="BW27" s="131"/>
      <c r="BX27" s="131"/>
      <c r="BY27" s="131"/>
      <c r="BZ27" s="131"/>
      <c r="CA27" s="131"/>
      <c r="CB27" s="131"/>
      <c r="CC27" s="131"/>
      <c r="CD27" s="131"/>
      <c r="CE27" s="131"/>
      <c r="CF27" s="131"/>
      <c r="CG27" s="131"/>
      <c r="CH27" s="131"/>
      <c r="CI27" s="131"/>
      <c r="CJ27" s="131"/>
      <c r="CK27" s="131"/>
      <c r="CL27" s="131"/>
      <c r="CM27" s="131"/>
      <c r="CN27" s="131"/>
      <c r="CO27" s="131"/>
      <c r="CP27" s="131"/>
      <c r="CQ27" s="131"/>
      <c r="CR27" s="131"/>
      <c r="CS27" s="131"/>
      <c r="CT27" s="131"/>
      <c r="CU27" s="131"/>
      <c r="CV27" s="131"/>
      <c r="CW27" s="131"/>
      <c r="CX27" s="131"/>
      <c r="CY27" s="131"/>
      <c r="CZ27" s="131"/>
      <c r="DA27" s="131"/>
      <c r="DB27" s="131"/>
      <c r="DC27" s="131"/>
      <c r="DD27" s="131"/>
      <c r="DE27" s="131"/>
      <c r="DF27" s="131"/>
      <c r="DG27" s="131"/>
      <c r="DH27" s="131"/>
      <c r="DI27" s="131"/>
      <c r="DJ27" s="131"/>
      <c r="DK27" s="131"/>
      <c r="DL27" s="131"/>
      <c r="DM27" s="131"/>
      <c r="DN27" s="131"/>
      <c r="DO27" s="131"/>
      <c r="DP27" s="131"/>
      <c r="DQ27" s="131"/>
      <c r="DR27" s="131"/>
      <c r="DS27" s="131"/>
      <c r="DT27" s="131"/>
      <c r="DU27" s="131"/>
      <c r="DV27" s="131"/>
      <c r="DW27" s="131"/>
      <c r="DX27" s="131"/>
      <c r="DY27" s="131"/>
      <c r="DZ27" s="131"/>
      <c r="EA27" s="131"/>
      <c r="EB27" s="131"/>
      <c r="EC27" s="131"/>
      <c r="ED27" s="131"/>
      <c r="EE27" s="131"/>
      <c r="EF27" s="131"/>
      <c r="EG27" s="131"/>
      <c r="EH27" s="131"/>
      <c r="EI27" s="131"/>
      <c r="EJ27" s="131"/>
      <c r="EK27" s="131"/>
      <c r="EL27" s="131"/>
      <c r="EM27" s="131"/>
      <c r="EN27" s="131"/>
      <c r="EO27" s="131"/>
      <c r="EP27" s="131"/>
      <c r="EQ27" s="131"/>
      <c r="ER27" s="131"/>
      <c r="ES27" s="131"/>
      <c r="ET27" s="131"/>
      <c r="EU27" s="131"/>
      <c r="EV27" s="131"/>
      <c r="EW27" s="131"/>
      <c r="EX27" s="131"/>
      <c r="EY27" s="131"/>
      <c r="EZ27" s="131"/>
      <c r="FA27" s="131"/>
      <c r="FB27" s="131"/>
      <c r="FC27" s="131"/>
      <c r="FD27" s="131"/>
      <c r="FE27" s="131"/>
      <c r="FF27" s="131"/>
      <c r="FG27" s="131"/>
      <c r="FH27" s="131"/>
      <c r="FI27" s="131"/>
      <c r="FJ27" s="131"/>
      <c r="FK27" s="131"/>
      <c r="FL27" s="131"/>
      <c r="FM27" s="131"/>
      <c r="FN27" s="131"/>
      <c r="FO27" s="131"/>
      <c r="FP27" s="131"/>
      <c r="FQ27" s="131"/>
      <c r="FR27" s="131"/>
      <c r="FS27" s="131"/>
      <c r="FT27" s="131"/>
      <c r="FU27" s="131"/>
      <c r="FV27" s="131"/>
      <c r="FW27" s="131"/>
      <c r="FX27" s="131"/>
      <c r="FY27" s="131"/>
      <c r="FZ27" s="131"/>
      <c r="GA27" s="131"/>
      <c r="GB27" s="131"/>
      <c r="GC27" s="131"/>
      <c r="GD27" s="131"/>
      <c r="GE27" s="131"/>
      <c r="GF27" s="131"/>
      <c r="GG27" s="131"/>
      <c r="GH27" s="131"/>
      <c r="GI27" s="131"/>
      <c r="GJ27" s="131"/>
      <c r="GK27" s="131"/>
      <c r="GL27" s="131"/>
      <c r="GM27" s="131"/>
      <c r="GN27" s="131"/>
      <c r="GO27" s="131"/>
      <c r="GP27" s="131"/>
      <c r="GQ27" s="131"/>
      <c r="GR27" s="131"/>
      <c r="GS27" s="131"/>
      <c r="GT27" s="131"/>
      <c r="GU27" s="131"/>
      <c r="GV27" s="131"/>
      <c r="GW27" s="131"/>
      <c r="GX27" s="131"/>
      <c r="GY27" s="131"/>
      <c r="GZ27" s="131"/>
      <c r="HA27" s="131"/>
      <c r="HB27" s="131"/>
      <c r="HC27" s="131"/>
      <c r="HD27" s="131"/>
      <c r="HE27" s="131"/>
      <c r="HF27" s="131"/>
      <c r="HG27" s="131"/>
      <c r="HH27" s="131"/>
      <c r="HI27" s="131"/>
      <c r="HJ27" s="131"/>
      <c r="HK27" s="131"/>
      <c r="HL27" s="131"/>
      <c r="HM27" s="131"/>
      <c r="HN27" s="131"/>
      <c r="HO27" s="131"/>
      <c r="HP27" s="131"/>
      <c r="HQ27" s="131"/>
      <c r="HR27" s="131"/>
      <c r="HS27" s="131"/>
      <c r="HT27" s="131"/>
      <c r="HU27" s="131"/>
      <c r="HV27" s="131"/>
      <c r="HW27" s="131"/>
      <c r="HX27" s="131"/>
      <c r="HY27" s="131"/>
      <c r="HZ27" s="131"/>
      <c r="IA27" s="131"/>
      <c r="IB27" s="131"/>
      <c r="IC27" s="131"/>
      <c r="ID27" s="131"/>
      <c r="IE27" s="131"/>
      <c r="IF27" s="131"/>
      <c r="IG27" s="131"/>
      <c r="IH27" s="131"/>
      <c r="II27" s="131"/>
      <c r="IJ27" s="131"/>
      <c r="IK27" s="131"/>
      <c r="IL27" s="131"/>
      <c r="IM27" s="131"/>
      <c r="IN27" s="131"/>
      <c r="IO27" s="131"/>
      <c r="IP27" s="131"/>
      <c r="IQ27" s="131"/>
      <c r="IR27" s="131"/>
      <c r="IS27" s="131"/>
      <c r="IT27" s="131"/>
      <c r="IU27" s="131"/>
      <c r="IV27" s="131"/>
      <c r="IW27" s="131"/>
      <c r="IX27" s="131"/>
      <c r="IY27" s="131"/>
      <c r="IZ27" s="131"/>
      <c r="JA27" s="131"/>
      <c r="JB27" s="131"/>
      <c r="JC27" s="131"/>
      <c r="JD27" s="131"/>
      <c r="JE27" s="131"/>
      <c r="JF27" s="131"/>
      <c r="JG27" s="131"/>
      <c r="JH27" s="131"/>
      <c r="JI27" s="131"/>
      <c r="JJ27" s="131"/>
      <c r="JK27" s="131"/>
      <c r="JL27" s="131"/>
      <c r="JM27" s="131"/>
      <c r="JN27" s="131"/>
      <c r="JO27" s="131"/>
      <c r="JP27" s="131"/>
      <c r="JQ27" s="131"/>
      <c r="JR27" s="131"/>
      <c r="JS27" s="131"/>
      <c r="JT27" s="131"/>
      <c r="JU27" s="131"/>
      <c r="JV27" s="131"/>
      <c r="JW27" s="131"/>
      <c r="JX27" s="131"/>
      <c r="JY27" s="131"/>
      <c r="JZ27" s="131"/>
      <c r="KA27" s="131"/>
      <c r="KB27" s="131"/>
      <c r="KC27" s="131"/>
      <c r="KD27" s="131"/>
      <c r="KE27" s="131"/>
      <c r="KF27" s="131"/>
      <c r="KG27" s="131"/>
      <c r="KH27" s="131"/>
      <c r="KI27" s="131"/>
      <c r="KJ27" s="131"/>
      <c r="KK27" s="131"/>
      <c r="KL27" s="131"/>
      <c r="KM27" s="131"/>
      <c r="KN27" s="131"/>
      <c r="KO27" s="131"/>
      <c r="KP27" s="131"/>
      <c r="KQ27" s="131"/>
      <c r="KR27" s="131"/>
      <c r="KS27" s="131"/>
      <c r="KT27" s="131"/>
      <c r="KU27" s="131"/>
      <c r="KV27" s="131"/>
      <c r="KW27" s="131"/>
      <c r="KX27" s="131"/>
      <c r="KY27" s="131"/>
      <c r="KZ27" s="131"/>
      <c r="LA27" s="131"/>
      <c r="LB27" s="131"/>
      <c r="LC27" s="131"/>
      <c r="LD27" s="131"/>
      <c r="LE27" s="131"/>
      <c r="LF27" s="131"/>
      <c r="LG27" s="131"/>
      <c r="LH27" s="131"/>
      <c r="LI27" s="131"/>
      <c r="LJ27" s="131"/>
      <c r="LK27" s="131"/>
      <c r="LL27" s="131"/>
      <c r="LM27" s="131"/>
      <c r="LN27" s="131"/>
      <c r="LO27" s="131"/>
      <c r="LP27" s="131"/>
      <c r="LQ27" s="131"/>
      <c r="LR27" s="131"/>
      <c r="LS27" s="131"/>
      <c r="LT27" s="131"/>
      <c r="LU27" s="131"/>
      <c r="LV27" s="131"/>
      <c r="LW27" s="131"/>
      <c r="LX27" s="131"/>
      <c r="LY27" s="131"/>
      <c r="LZ27" s="131"/>
      <c r="MA27" s="131"/>
      <c r="MB27" s="131"/>
      <c r="MC27" s="131"/>
      <c r="MD27" s="131"/>
      <c r="ME27" s="131"/>
      <c r="MF27" s="131"/>
      <c r="MG27" s="131"/>
      <c r="MH27" s="131"/>
      <c r="MI27" s="131"/>
      <c r="MJ27" s="131"/>
      <c r="MK27" s="131"/>
      <c r="ML27" s="131"/>
      <c r="MM27" s="131"/>
      <c r="MN27" s="131"/>
      <c r="MO27" s="131"/>
      <c r="MP27" s="131"/>
      <c r="MQ27" s="131"/>
      <c r="MR27" s="131"/>
      <c r="MS27" s="131"/>
      <c r="MT27" s="131"/>
      <c r="MU27" s="131"/>
      <c r="MV27" s="131"/>
      <c r="MW27" s="131"/>
      <c r="MX27" s="131"/>
      <c r="MY27" s="131"/>
      <c r="MZ27" s="131"/>
      <c r="NA27" s="131"/>
      <c r="NB27" s="131"/>
      <c r="NC27" s="131"/>
      <c r="ND27" s="131"/>
      <c r="NE27" s="131"/>
      <c r="NF27" s="131"/>
      <c r="NG27" s="131"/>
      <c r="NH27" s="131"/>
      <c r="NI27" s="131"/>
      <c r="NJ27" s="131"/>
      <c r="NK27" s="131"/>
      <c r="NL27" s="131"/>
      <c r="NM27" s="131"/>
      <c r="NN27" s="131"/>
      <c r="NO27" s="131"/>
      <c r="NP27" s="131"/>
      <c r="NQ27" s="131"/>
      <c r="NR27" s="131"/>
      <c r="NS27" s="131"/>
      <c r="NT27" s="131"/>
      <c r="NU27" s="131"/>
      <c r="NV27" s="131"/>
      <c r="NW27" s="24">
        <f t="shared" si="8"/>
        <v>0</v>
      </c>
      <c r="NX27" s="56" t="s">
        <v>36</v>
      </c>
      <c r="NY27" s="127">
        <v>2708.64</v>
      </c>
      <c r="NZ27" s="78">
        <f t="shared" si="2"/>
        <v>2708.64</v>
      </c>
      <c r="OA27" s="78">
        <v>1895.4</v>
      </c>
      <c r="OB27" s="127">
        <f t="shared" si="0"/>
        <v>0</v>
      </c>
      <c r="OC27" s="153">
        <v>2708.64</v>
      </c>
      <c r="OD27" s="108">
        <f t="shared" si="1"/>
        <v>1.4290598290598289</v>
      </c>
      <c r="OE27" s="160">
        <v>44564</v>
      </c>
    </row>
    <row r="28" spans="1:395" s="5" customFormat="1" ht="12.75" customHeight="1" x14ac:dyDescent="0.25">
      <c r="A28" s="62">
        <v>44503</v>
      </c>
      <c r="B28" s="116" t="s">
        <v>57</v>
      </c>
      <c r="C28" s="129"/>
      <c r="D28" s="129"/>
      <c r="E28" s="130"/>
      <c r="F28" s="130"/>
      <c r="G28" s="130"/>
      <c r="H28" s="130"/>
      <c r="I28" s="130"/>
      <c r="J28" s="130"/>
      <c r="K28" s="130"/>
      <c r="L28" s="130"/>
      <c r="M28" s="131"/>
      <c r="N28" s="131"/>
      <c r="O28" s="131"/>
      <c r="P28" s="131"/>
      <c r="Q28" s="131"/>
      <c r="R28" s="131"/>
      <c r="S28" s="131"/>
      <c r="T28" s="131"/>
      <c r="U28" s="131"/>
      <c r="V28" s="131"/>
      <c r="W28" s="131"/>
      <c r="X28" s="131"/>
      <c r="Y28" s="131"/>
      <c r="Z28" s="131"/>
      <c r="AA28" s="131"/>
      <c r="AB28" s="131"/>
      <c r="AC28" s="131"/>
      <c r="AD28" s="131"/>
      <c r="AE28" s="131"/>
      <c r="AF28" s="131"/>
      <c r="AG28" s="131"/>
      <c r="AH28" s="131"/>
      <c r="AI28" s="131"/>
      <c r="AJ28" s="131"/>
      <c r="AK28" s="131"/>
      <c r="AL28" s="131"/>
      <c r="AM28" s="131"/>
      <c r="AN28" s="131"/>
      <c r="AO28" s="131"/>
      <c r="AP28" s="131"/>
      <c r="AQ28" s="131"/>
      <c r="AR28" s="131"/>
      <c r="AS28" s="131"/>
      <c r="AT28" s="131"/>
      <c r="AU28" s="131"/>
      <c r="AV28" s="131"/>
      <c r="AW28" s="131"/>
      <c r="AX28" s="131"/>
      <c r="AY28" s="131"/>
      <c r="AZ28" s="131"/>
      <c r="BA28" s="131"/>
      <c r="BB28" s="131"/>
      <c r="BC28" s="131"/>
      <c r="BD28" s="131"/>
      <c r="BE28" s="131"/>
      <c r="BF28" s="131"/>
      <c r="BG28" s="131"/>
      <c r="BH28" s="131"/>
      <c r="BI28" s="131"/>
      <c r="BJ28" s="131"/>
      <c r="BK28" s="131"/>
      <c r="BL28" s="131"/>
      <c r="BM28" s="131"/>
      <c r="BN28" s="131"/>
      <c r="BO28" s="131"/>
      <c r="BP28" s="131"/>
      <c r="BQ28" s="131"/>
      <c r="BR28" s="131"/>
      <c r="BS28" s="131"/>
      <c r="BT28" s="131"/>
      <c r="BU28" s="131"/>
      <c r="BV28" s="131"/>
      <c r="BW28" s="131"/>
      <c r="BX28" s="131"/>
      <c r="BY28" s="131"/>
      <c r="BZ28" s="131"/>
      <c r="CA28" s="131"/>
      <c r="CB28" s="131"/>
      <c r="CC28" s="131"/>
      <c r="CD28" s="131"/>
      <c r="CE28" s="131"/>
      <c r="CF28" s="131"/>
      <c r="CG28" s="131"/>
      <c r="CH28" s="131"/>
      <c r="CI28" s="131"/>
      <c r="CJ28" s="131"/>
      <c r="CK28" s="131"/>
      <c r="CL28" s="131"/>
      <c r="CM28" s="131"/>
      <c r="CN28" s="131"/>
      <c r="CO28" s="131"/>
      <c r="CP28" s="131"/>
      <c r="CQ28" s="131"/>
      <c r="CR28" s="131"/>
      <c r="CS28" s="131"/>
      <c r="CT28" s="131"/>
      <c r="CU28" s="131"/>
      <c r="CV28" s="131"/>
      <c r="CW28" s="131"/>
      <c r="CX28" s="131"/>
      <c r="CY28" s="131"/>
      <c r="CZ28" s="131"/>
      <c r="DA28" s="131"/>
      <c r="DB28" s="131"/>
      <c r="DC28" s="131"/>
      <c r="DD28" s="131"/>
      <c r="DE28" s="131"/>
      <c r="DF28" s="131"/>
      <c r="DG28" s="131"/>
      <c r="DH28" s="131"/>
      <c r="DI28" s="131"/>
      <c r="DJ28" s="131"/>
      <c r="DK28" s="131"/>
      <c r="DL28" s="131"/>
      <c r="DM28" s="131"/>
      <c r="DN28" s="131"/>
      <c r="DO28" s="131"/>
      <c r="DP28" s="131"/>
      <c r="DQ28" s="131"/>
      <c r="DR28" s="131"/>
      <c r="DS28" s="131"/>
      <c r="DT28" s="131"/>
      <c r="DU28" s="131"/>
      <c r="DV28" s="131"/>
      <c r="DW28" s="131"/>
      <c r="DX28" s="131"/>
      <c r="DY28" s="131"/>
      <c r="DZ28" s="131"/>
      <c r="EA28" s="131"/>
      <c r="EB28" s="131"/>
      <c r="EC28" s="131"/>
      <c r="ED28" s="131"/>
      <c r="EE28" s="131"/>
      <c r="EF28" s="131"/>
      <c r="EG28" s="131"/>
      <c r="EH28" s="131"/>
      <c r="EI28" s="131"/>
      <c r="EJ28" s="131"/>
      <c r="EK28" s="131"/>
      <c r="EL28" s="131"/>
      <c r="EM28" s="131"/>
      <c r="EN28" s="131"/>
      <c r="EO28" s="131"/>
      <c r="EP28" s="131"/>
      <c r="EQ28" s="131"/>
      <c r="ER28" s="131"/>
      <c r="ES28" s="131"/>
      <c r="ET28" s="131"/>
      <c r="EU28" s="131"/>
      <c r="EV28" s="131"/>
      <c r="EW28" s="131"/>
      <c r="EX28" s="131"/>
      <c r="EY28" s="131"/>
      <c r="EZ28" s="131"/>
      <c r="FA28" s="131"/>
      <c r="FB28" s="131"/>
      <c r="FC28" s="131"/>
      <c r="FD28" s="131"/>
      <c r="FE28" s="131"/>
      <c r="FF28" s="131"/>
      <c r="FG28" s="131"/>
      <c r="FH28" s="131"/>
      <c r="FI28" s="131"/>
      <c r="FJ28" s="131"/>
      <c r="FK28" s="131"/>
      <c r="FL28" s="131"/>
      <c r="FM28" s="131"/>
      <c r="FN28" s="131"/>
      <c r="FO28" s="131"/>
      <c r="FP28" s="131"/>
      <c r="FQ28" s="131"/>
      <c r="FR28" s="131"/>
      <c r="FS28" s="131"/>
      <c r="FT28" s="131"/>
      <c r="FU28" s="131"/>
      <c r="FV28" s="131"/>
      <c r="FW28" s="131"/>
      <c r="FX28" s="131"/>
      <c r="FY28" s="131"/>
      <c r="FZ28" s="131"/>
      <c r="GA28" s="131"/>
      <c r="GB28" s="131"/>
      <c r="GC28" s="131"/>
      <c r="GD28" s="131"/>
      <c r="GE28" s="131"/>
      <c r="GF28" s="131"/>
      <c r="GG28" s="131"/>
      <c r="GH28" s="131"/>
      <c r="GI28" s="131"/>
      <c r="GJ28" s="131"/>
      <c r="GK28" s="131"/>
      <c r="GL28" s="131"/>
      <c r="GM28" s="131"/>
      <c r="GN28" s="131"/>
      <c r="GO28" s="131"/>
      <c r="GP28" s="131"/>
      <c r="GQ28" s="131"/>
      <c r="GR28" s="131"/>
      <c r="GS28" s="131"/>
      <c r="GT28" s="131"/>
      <c r="GU28" s="131"/>
      <c r="GV28" s="131"/>
      <c r="GW28" s="131"/>
      <c r="GX28" s="131"/>
      <c r="GY28" s="131"/>
      <c r="GZ28" s="131"/>
      <c r="HA28" s="131"/>
      <c r="HB28" s="131"/>
      <c r="HC28" s="131"/>
      <c r="HD28" s="131"/>
      <c r="HE28" s="131"/>
      <c r="HF28" s="131"/>
      <c r="HG28" s="131"/>
      <c r="HH28" s="131"/>
      <c r="HI28" s="131"/>
      <c r="HJ28" s="131"/>
      <c r="HK28" s="131"/>
      <c r="HL28" s="131"/>
      <c r="HM28" s="131"/>
      <c r="HN28" s="131"/>
      <c r="HO28" s="131"/>
      <c r="HP28" s="131"/>
      <c r="HQ28" s="131"/>
      <c r="HR28" s="131"/>
      <c r="HS28" s="131"/>
      <c r="HT28" s="131"/>
      <c r="HU28" s="131"/>
      <c r="HV28" s="131"/>
      <c r="HW28" s="131"/>
      <c r="HX28" s="131"/>
      <c r="HY28" s="131"/>
      <c r="HZ28" s="131"/>
      <c r="IA28" s="131"/>
      <c r="IB28" s="131"/>
      <c r="IC28" s="131"/>
      <c r="ID28" s="131"/>
      <c r="IE28" s="131"/>
      <c r="IF28" s="131"/>
      <c r="IG28" s="131"/>
      <c r="IH28" s="131"/>
      <c r="II28" s="131"/>
      <c r="IJ28" s="131"/>
      <c r="IK28" s="131"/>
      <c r="IL28" s="131"/>
      <c r="IM28" s="131"/>
      <c r="IN28" s="131"/>
      <c r="IO28" s="131"/>
      <c r="IP28" s="131"/>
      <c r="IQ28" s="131"/>
      <c r="IR28" s="131"/>
      <c r="IS28" s="131"/>
      <c r="IT28" s="131"/>
      <c r="IU28" s="131"/>
      <c r="IV28" s="131"/>
      <c r="IW28" s="131"/>
      <c r="IX28" s="131"/>
      <c r="IY28" s="131"/>
      <c r="IZ28" s="131"/>
      <c r="JA28" s="131"/>
      <c r="JB28" s="131"/>
      <c r="JC28" s="131"/>
      <c r="JD28" s="131"/>
      <c r="JE28" s="131"/>
      <c r="JF28" s="131"/>
      <c r="JG28" s="131"/>
      <c r="JH28" s="131"/>
      <c r="JI28" s="131"/>
      <c r="JJ28" s="131"/>
      <c r="JK28" s="131"/>
      <c r="JL28" s="131"/>
      <c r="JM28" s="131"/>
      <c r="JN28" s="131"/>
      <c r="JO28" s="131"/>
      <c r="JP28" s="131"/>
      <c r="JQ28" s="131"/>
      <c r="JR28" s="131"/>
      <c r="JS28" s="131"/>
      <c r="JT28" s="131"/>
      <c r="JU28" s="131"/>
      <c r="JV28" s="131"/>
      <c r="JW28" s="131"/>
      <c r="JX28" s="131"/>
      <c r="JY28" s="131"/>
      <c r="JZ28" s="131"/>
      <c r="KA28" s="131"/>
      <c r="KB28" s="131"/>
      <c r="KC28" s="131"/>
      <c r="KD28" s="131"/>
      <c r="KE28" s="131"/>
      <c r="KF28" s="131"/>
      <c r="KG28" s="131"/>
      <c r="KH28" s="131"/>
      <c r="KI28" s="131"/>
      <c r="KJ28" s="131"/>
      <c r="KK28" s="131"/>
      <c r="KL28" s="131"/>
      <c r="KM28" s="131"/>
      <c r="KN28" s="131"/>
      <c r="KO28" s="131"/>
      <c r="KP28" s="131"/>
      <c r="KQ28" s="131"/>
      <c r="KR28" s="131"/>
      <c r="KS28" s="131"/>
      <c r="KT28" s="131"/>
      <c r="KU28" s="131"/>
      <c r="KV28" s="131"/>
      <c r="KW28" s="131"/>
      <c r="KX28" s="131"/>
      <c r="KY28" s="131"/>
      <c r="KZ28" s="131"/>
      <c r="LA28" s="131"/>
      <c r="LB28" s="131"/>
      <c r="LC28" s="131"/>
      <c r="LD28" s="131"/>
      <c r="LE28" s="131"/>
      <c r="LF28" s="131"/>
      <c r="LG28" s="131"/>
      <c r="LH28" s="131"/>
      <c r="LI28" s="131"/>
      <c r="LJ28" s="131"/>
      <c r="LK28" s="131"/>
      <c r="LL28" s="131"/>
      <c r="LM28" s="131"/>
      <c r="LN28" s="131"/>
      <c r="LO28" s="131"/>
      <c r="LP28" s="131"/>
      <c r="LQ28" s="131"/>
      <c r="LR28" s="131"/>
      <c r="LS28" s="131"/>
      <c r="LT28" s="131"/>
      <c r="LU28" s="131"/>
      <c r="LV28" s="131"/>
      <c r="LW28" s="131"/>
      <c r="LX28" s="131"/>
      <c r="LY28" s="131"/>
      <c r="LZ28" s="131"/>
      <c r="MA28" s="131"/>
      <c r="MB28" s="131"/>
      <c r="MC28" s="131"/>
      <c r="MD28" s="131"/>
      <c r="ME28" s="131"/>
      <c r="MF28" s="131"/>
      <c r="MG28" s="131"/>
      <c r="MH28" s="131"/>
      <c r="MI28" s="131"/>
      <c r="MJ28" s="131"/>
      <c r="MK28" s="131"/>
      <c r="ML28" s="131"/>
      <c r="MM28" s="131"/>
      <c r="MN28" s="131"/>
      <c r="MO28" s="131"/>
      <c r="MP28" s="131"/>
      <c r="MQ28" s="131"/>
      <c r="MR28" s="131"/>
      <c r="MS28" s="131"/>
      <c r="MT28" s="131"/>
      <c r="MU28" s="131"/>
      <c r="MV28" s="131"/>
      <c r="MW28" s="131"/>
      <c r="MX28" s="131"/>
      <c r="MY28" s="131"/>
      <c r="MZ28" s="131"/>
      <c r="NA28" s="131"/>
      <c r="NB28" s="131"/>
      <c r="NC28" s="131"/>
      <c r="ND28" s="131"/>
      <c r="NE28" s="131"/>
      <c r="NF28" s="131"/>
      <c r="NG28" s="131"/>
      <c r="NH28" s="131"/>
      <c r="NI28" s="131"/>
      <c r="NJ28" s="131"/>
      <c r="NK28" s="131"/>
      <c r="NL28" s="131"/>
      <c r="NM28" s="131"/>
      <c r="NN28" s="131"/>
      <c r="NO28" s="131"/>
      <c r="NP28" s="131"/>
      <c r="NQ28" s="131"/>
      <c r="NR28" s="131"/>
      <c r="NS28" s="131"/>
      <c r="NT28" s="131"/>
      <c r="NU28" s="131"/>
      <c r="NV28" s="131"/>
      <c r="NW28" s="24">
        <f t="shared" si="8"/>
        <v>0</v>
      </c>
      <c r="NX28" s="56" t="s">
        <v>36</v>
      </c>
      <c r="NY28" s="127">
        <v>6508.8</v>
      </c>
      <c r="NZ28" s="78">
        <f t="shared" si="2"/>
        <v>0</v>
      </c>
      <c r="OA28" s="78">
        <v>5034</v>
      </c>
      <c r="OB28" s="127">
        <f t="shared" si="0"/>
        <v>6508.8</v>
      </c>
      <c r="OC28" s="153"/>
      <c r="OD28" s="108">
        <f t="shared" si="1"/>
        <v>1.2929678188319429</v>
      </c>
      <c r="OE28" s="160" t="s">
        <v>510</v>
      </c>
    </row>
    <row r="29" spans="1:395" s="5" customFormat="1" ht="12.75" customHeight="1" x14ac:dyDescent="0.25">
      <c r="A29" s="62">
        <v>44503</v>
      </c>
      <c r="B29" s="116" t="s">
        <v>57</v>
      </c>
      <c r="C29" s="129"/>
      <c r="D29" s="129"/>
      <c r="E29" s="130"/>
      <c r="F29" s="130"/>
      <c r="G29" s="130"/>
      <c r="H29" s="130"/>
      <c r="I29" s="130"/>
      <c r="J29" s="130"/>
      <c r="K29" s="130"/>
      <c r="L29" s="130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131"/>
      <c r="Y29" s="131"/>
      <c r="Z29" s="131"/>
      <c r="AA29" s="131"/>
      <c r="AB29" s="131"/>
      <c r="AC29" s="131"/>
      <c r="AD29" s="131"/>
      <c r="AE29" s="131"/>
      <c r="AF29" s="131"/>
      <c r="AG29" s="131"/>
      <c r="AH29" s="131"/>
      <c r="AI29" s="131"/>
      <c r="AJ29" s="131"/>
      <c r="AK29" s="131"/>
      <c r="AL29" s="131"/>
      <c r="AM29" s="131"/>
      <c r="AN29" s="131"/>
      <c r="AO29" s="131"/>
      <c r="AP29" s="131"/>
      <c r="AQ29" s="131"/>
      <c r="AR29" s="131"/>
      <c r="AS29" s="131"/>
      <c r="AT29" s="131"/>
      <c r="AU29" s="131"/>
      <c r="AV29" s="131"/>
      <c r="AW29" s="131"/>
      <c r="AX29" s="131"/>
      <c r="AY29" s="131"/>
      <c r="AZ29" s="131"/>
      <c r="BA29" s="131"/>
      <c r="BB29" s="131"/>
      <c r="BC29" s="131"/>
      <c r="BD29" s="131"/>
      <c r="BE29" s="131"/>
      <c r="BF29" s="131"/>
      <c r="BG29" s="131"/>
      <c r="BH29" s="131"/>
      <c r="BI29" s="131"/>
      <c r="BJ29" s="131"/>
      <c r="BK29" s="131"/>
      <c r="BL29" s="131"/>
      <c r="BM29" s="131"/>
      <c r="BN29" s="131"/>
      <c r="BO29" s="131"/>
      <c r="BP29" s="131"/>
      <c r="BQ29" s="131"/>
      <c r="BR29" s="131"/>
      <c r="BS29" s="131"/>
      <c r="BT29" s="131"/>
      <c r="BU29" s="131"/>
      <c r="BV29" s="131"/>
      <c r="BW29" s="131"/>
      <c r="BX29" s="131"/>
      <c r="BY29" s="131"/>
      <c r="BZ29" s="131"/>
      <c r="CA29" s="131"/>
      <c r="CB29" s="131"/>
      <c r="CC29" s="131"/>
      <c r="CD29" s="131"/>
      <c r="CE29" s="131"/>
      <c r="CF29" s="131"/>
      <c r="CG29" s="131"/>
      <c r="CH29" s="131"/>
      <c r="CI29" s="131"/>
      <c r="CJ29" s="131"/>
      <c r="CK29" s="131"/>
      <c r="CL29" s="131"/>
      <c r="CM29" s="131"/>
      <c r="CN29" s="131"/>
      <c r="CO29" s="131"/>
      <c r="CP29" s="131"/>
      <c r="CQ29" s="131"/>
      <c r="CR29" s="131"/>
      <c r="CS29" s="131"/>
      <c r="CT29" s="131"/>
      <c r="CU29" s="131"/>
      <c r="CV29" s="131"/>
      <c r="CW29" s="131"/>
      <c r="CX29" s="131"/>
      <c r="CY29" s="131"/>
      <c r="CZ29" s="131"/>
      <c r="DA29" s="131"/>
      <c r="DB29" s="131"/>
      <c r="DC29" s="131"/>
      <c r="DD29" s="131"/>
      <c r="DE29" s="131"/>
      <c r="DF29" s="131"/>
      <c r="DG29" s="131"/>
      <c r="DH29" s="131"/>
      <c r="DI29" s="131"/>
      <c r="DJ29" s="131"/>
      <c r="DK29" s="131"/>
      <c r="DL29" s="131"/>
      <c r="DM29" s="131"/>
      <c r="DN29" s="131"/>
      <c r="DO29" s="131"/>
      <c r="DP29" s="131"/>
      <c r="DQ29" s="131"/>
      <c r="DR29" s="131"/>
      <c r="DS29" s="131"/>
      <c r="DT29" s="131"/>
      <c r="DU29" s="131"/>
      <c r="DV29" s="131"/>
      <c r="DW29" s="131"/>
      <c r="DX29" s="131"/>
      <c r="DY29" s="131"/>
      <c r="DZ29" s="131"/>
      <c r="EA29" s="131"/>
      <c r="EB29" s="131"/>
      <c r="EC29" s="131"/>
      <c r="ED29" s="131"/>
      <c r="EE29" s="131"/>
      <c r="EF29" s="131"/>
      <c r="EG29" s="131"/>
      <c r="EH29" s="131"/>
      <c r="EI29" s="131"/>
      <c r="EJ29" s="131"/>
      <c r="EK29" s="131"/>
      <c r="EL29" s="131"/>
      <c r="EM29" s="131"/>
      <c r="EN29" s="131"/>
      <c r="EO29" s="131"/>
      <c r="EP29" s="131"/>
      <c r="EQ29" s="131"/>
      <c r="ER29" s="131"/>
      <c r="ES29" s="131"/>
      <c r="ET29" s="131"/>
      <c r="EU29" s="131"/>
      <c r="EV29" s="131"/>
      <c r="EW29" s="131"/>
      <c r="EX29" s="131"/>
      <c r="EY29" s="131"/>
      <c r="EZ29" s="131"/>
      <c r="FA29" s="131"/>
      <c r="FB29" s="131"/>
      <c r="FC29" s="131"/>
      <c r="FD29" s="131"/>
      <c r="FE29" s="131"/>
      <c r="FF29" s="131"/>
      <c r="FG29" s="131"/>
      <c r="FH29" s="131"/>
      <c r="FI29" s="131"/>
      <c r="FJ29" s="131"/>
      <c r="FK29" s="131"/>
      <c r="FL29" s="131"/>
      <c r="FM29" s="131"/>
      <c r="FN29" s="131"/>
      <c r="FO29" s="131"/>
      <c r="FP29" s="131"/>
      <c r="FQ29" s="131"/>
      <c r="FR29" s="131"/>
      <c r="FS29" s="131"/>
      <c r="FT29" s="131"/>
      <c r="FU29" s="131"/>
      <c r="FV29" s="131"/>
      <c r="FW29" s="131"/>
      <c r="FX29" s="131"/>
      <c r="FY29" s="131"/>
      <c r="FZ29" s="131"/>
      <c r="GA29" s="131"/>
      <c r="GB29" s="131"/>
      <c r="GC29" s="131"/>
      <c r="GD29" s="131"/>
      <c r="GE29" s="131"/>
      <c r="GF29" s="131"/>
      <c r="GG29" s="131"/>
      <c r="GH29" s="131"/>
      <c r="GI29" s="131"/>
      <c r="GJ29" s="131"/>
      <c r="GK29" s="131"/>
      <c r="GL29" s="131"/>
      <c r="GM29" s="131"/>
      <c r="GN29" s="131"/>
      <c r="GO29" s="131"/>
      <c r="GP29" s="131"/>
      <c r="GQ29" s="131"/>
      <c r="GR29" s="131"/>
      <c r="GS29" s="131"/>
      <c r="GT29" s="131"/>
      <c r="GU29" s="131"/>
      <c r="GV29" s="131"/>
      <c r="GW29" s="131"/>
      <c r="GX29" s="131"/>
      <c r="GY29" s="131"/>
      <c r="GZ29" s="131"/>
      <c r="HA29" s="131"/>
      <c r="HB29" s="131"/>
      <c r="HC29" s="131"/>
      <c r="HD29" s="131"/>
      <c r="HE29" s="131"/>
      <c r="HF29" s="131"/>
      <c r="HG29" s="131"/>
      <c r="HH29" s="131"/>
      <c r="HI29" s="131"/>
      <c r="HJ29" s="131"/>
      <c r="HK29" s="131"/>
      <c r="HL29" s="131"/>
      <c r="HM29" s="131"/>
      <c r="HN29" s="131"/>
      <c r="HO29" s="131"/>
      <c r="HP29" s="131"/>
      <c r="HQ29" s="131"/>
      <c r="HR29" s="131"/>
      <c r="HS29" s="131"/>
      <c r="HT29" s="131"/>
      <c r="HU29" s="131"/>
      <c r="HV29" s="131"/>
      <c r="HW29" s="131"/>
      <c r="HX29" s="131"/>
      <c r="HY29" s="131"/>
      <c r="HZ29" s="131"/>
      <c r="IA29" s="131"/>
      <c r="IB29" s="131"/>
      <c r="IC29" s="131"/>
      <c r="ID29" s="131"/>
      <c r="IE29" s="131"/>
      <c r="IF29" s="131"/>
      <c r="IG29" s="131"/>
      <c r="IH29" s="131"/>
      <c r="II29" s="131"/>
      <c r="IJ29" s="131"/>
      <c r="IK29" s="131"/>
      <c r="IL29" s="131"/>
      <c r="IM29" s="131"/>
      <c r="IN29" s="131"/>
      <c r="IO29" s="131"/>
      <c r="IP29" s="131"/>
      <c r="IQ29" s="131"/>
      <c r="IR29" s="131"/>
      <c r="IS29" s="131"/>
      <c r="IT29" s="131"/>
      <c r="IU29" s="131"/>
      <c r="IV29" s="131"/>
      <c r="IW29" s="131"/>
      <c r="IX29" s="131"/>
      <c r="IY29" s="131"/>
      <c r="IZ29" s="131"/>
      <c r="JA29" s="131"/>
      <c r="JB29" s="131"/>
      <c r="JC29" s="131"/>
      <c r="JD29" s="131"/>
      <c r="JE29" s="131"/>
      <c r="JF29" s="131"/>
      <c r="JG29" s="131"/>
      <c r="JH29" s="131"/>
      <c r="JI29" s="131"/>
      <c r="JJ29" s="131"/>
      <c r="JK29" s="131"/>
      <c r="JL29" s="131"/>
      <c r="JM29" s="131"/>
      <c r="JN29" s="131"/>
      <c r="JO29" s="131"/>
      <c r="JP29" s="131"/>
      <c r="JQ29" s="131"/>
      <c r="JR29" s="131"/>
      <c r="JS29" s="131"/>
      <c r="JT29" s="131"/>
      <c r="JU29" s="131"/>
      <c r="JV29" s="131"/>
      <c r="JW29" s="131"/>
      <c r="JX29" s="131"/>
      <c r="JY29" s="131"/>
      <c r="JZ29" s="131"/>
      <c r="KA29" s="131"/>
      <c r="KB29" s="131"/>
      <c r="KC29" s="131"/>
      <c r="KD29" s="131"/>
      <c r="KE29" s="131"/>
      <c r="KF29" s="131"/>
      <c r="KG29" s="131"/>
      <c r="KH29" s="131"/>
      <c r="KI29" s="131"/>
      <c r="KJ29" s="131"/>
      <c r="KK29" s="131"/>
      <c r="KL29" s="131"/>
      <c r="KM29" s="131"/>
      <c r="KN29" s="131"/>
      <c r="KO29" s="131"/>
      <c r="KP29" s="131"/>
      <c r="KQ29" s="131"/>
      <c r="KR29" s="131"/>
      <c r="KS29" s="131"/>
      <c r="KT29" s="131"/>
      <c r="KU29" s="131"/>
      <c r="KV29" s="131"/>
      <c r="KW29" s="131"/>
      <c r="KX29" s="131"/>
      <c r="KY29" s="131"/>
      <c r="KZ29" s="131"/>
      <c r="LA29" s="131"/>
      <c r="LB29" s="131"/>
      <c r="LC29" s="131"/>
      <c r="LD29" s="131"/>
      <c r="LE29" s="131"/>
      <c r="LF29" s="131"/>
      <c r="LG29" s="131"/>
      <c r="LH29" s="131"/>
      <c r="LI29" s="131"/>
      <c r="LJ29" s="131"/>
      <c r="LK29" s="131"/>
      <c r="LL29" s="131"/>
      <c r="LM29" s="131"/>
      <c r="LN29" s="131"/>
      <c r="LO29" s="131"/>
      <c r="LP29" s="131"/>
      <c r="LQ29" s="131"/>
      <c r="LR29" s="131"/>
      <c r="LS29" s="131"/>
      <c r="LT29" s="131"/>
      <c r="LU29" s="131"/>
      <c r="LV29" s="131"/>
      <c r="LW29" s="131"/>
      <c r="LX29" s="131"/>
      <c r="LY29" s="131"/>
      <c r="LZ29" s="131"/>
      <c r="MA29" s="131"/>
      <c r="MB29" s="131"/>
      <c r="MC29" s="131"/>
      <c r="MD29" s="131"/>
      <c r="ME29" s="131"/>
      <c r="MF29" s="131"/>
      <c r="MG29" s="131"/>
      <c r="MH29" s="131"/>
      <c r="MI29" s="131"/>
      <c r="MJ29" s="131"/>
      <c r="MK29" s="131"/>
      <c r="ML29" s="131"/>
      <c r="MM29" s="131"/>
      <c r="MN29" s="131"/>
      <c r="MO29" s="131"/>
      <c r="MP29" s="131"/>
      <c r="MQ29" s="131"/>
      <c r="MR29" s="131"/>
      <c r="MS29" s="131"/>
      <c r="MT29" s="131"/>
      <c r="MU29" s="131"/>
      <c r="MV29" s="131"/>
      <c r="MW29" s="131"/>
      <c r="MX29" s="131"/>
      <c r="MY29" s="131"/>
      <c r="MZ29" s="131"/>
      <c r="NA29" s="131"/>
      <c r="NB29" s="131"/>
      <c r="NC29" s="131"/>
      <c r="ND29" s="131"/>
      <c r="NE29" s="131"/>
      <c r="NF29" s="131"/>
      <c r="NG29" s="131"/>
      <c r="NH29" s="131"/>
      <c r="NI29" s="131"/>
      <c r="NJ29" s="131"/>
      <c r="NK29" s="131"/>
      <c r="NL29" s="131"/>
      <c r="NM29" s="131"/>
      <c r="NN29" s="131"/>
      <c r="NO29" s="131"/>
      <c r="NP29" s="131"/>
      <c r="NQ29" s="131"/>
      <c r="NR29" s="131"/>
      <c r="NS29" s="131"/>
      <c r="NT29" s="131"/>
      <c r="NU29" s="131"/>
      <c r="NV29" s="131"/>
      <c r="NW29" s="24">
        <f t="shared" si="8"/>
        <v>0</v>
      </c>
      <c r="NX29" s="56" t="s">
        <v>36</v>
      </c>
      <c r="NY29" s="127">
        <v>5574</v>
      </c>
      <c r="NZ29" s="78">
        <f t="shared" si="2"/>
        <v>0</v>
      </c>
      <c r="OA29" s="78">
        <v>3561.9999999999995</v>
      </c>
      <c r="OB29" s="127">
        <f t="shared" si="0"/>
        <v>5574</v>
      </c>
      <c r="OC29" s="153"/>
      <c r="OD29" s="108">
        <f t="shared" si="1"/>
        <v>1.5648512071869738</v>
      </c>
      <c r="OE29" s="160">
        <v>44576</v>
      </c>
    </row>
    <row r="30" spans="1:395" s="5" customFormat="1" ht="12.75" hidden="1" customHeight="1" x14ac:dyDescent="0.25">
      <c r="A30" s="62">
        <v>44503</v>
      </c>
      <c r="B30" s="106" t="s">
        <v>388</v>
      </c>
      <c r="C30" s="129"/>
      <c r="D30" s="129"/>
      <c r="E30" s="130"/>
      <c r="F30" s="130"/>
      <c r="G30" s="130"/>
      <c r="H30" s="130"/>
      <c r="I30" s="130"/>
      <c r="J30" s="130"/>
      <c r="K30" s="130"/>
      <c r="L30" s="130"/>
      <c r="M30" s="131"/>
      <c r="N30" s="131"/>
      <c r="O30" s="131"/>
      <c r="P30" s="131"/>
      <c r="Q30" s="131"/>
      <c r="R30" s="131"/>
      <c r="S30" s="131"/>
      <c r="T30" s="131"/>
      <c r="U30" s="131"/>
      <c r="V30" s="131"/>
      <c r="W30" s="131"/>
      <c r="X30" s="131"/>
      <c r="Y30" s="131"/>
      <c r="Z30" s="131"/>
      <c r="AA30" s="131"/>
      <c r="AB30" s="131"/>
      <c r="AC30" s="131"/>
      <c r="AD30" s="131"/>
      <c r="AE30" s="131"/>
      <c r="AF30" s="131"/>
      <c r="AG30" s="131"/>
      <c r="AH30" s="131"/>
      <c r="AI30" s="131"/>
      <c r="AJ30" s="131"/>
      <c r="AK30" s="131"/>
      <c r="AL30" s="131"/>
      <c r="AM30" s="131"/>
      <c r="AN30" s="131"/>
      <c r="AO30" s="131"/>
      <c r="AP30" s="131"/>
      <c r="AQ30" s="131"/>
      <c r="AR30" s="131"/>
      <c r="AS30" s="131"/>
      <c r="AT30" s="131"/>
      <c r="AU30" s="131"/>
      <c r="AV30" s="131"/>
      <c r="AW30" s="131"/>
      <c r="AX30" s="131"/>
      <c r="AY30" s="131"/>
      <c r="AZ30" s="131"/>
      <c r="BA30" s="131"/>
      <c r="BB30" s="131"/>
      <c r="BC30" s="131"/>
      <c r="BD30" s="131"/>
      <c r="BE30" s="131"/>
      <c r="BF30" s="131"/>
      <c r="BG30" s="131"/>
      <c r="BH30" s="131"/>
      <c r="BI30" s="131"/>
      <c r="BJ30" s="131"/>
      <c r="BK30" s="131"/>
      <c r="BL30" s="131"/>
      <c r="BM30" s="131"/>
      <c r="BN30" s="131"/>
      <c r="BO30" s="131"/>
      <c r="BP30" s="131"/>
      <c r="BQ30" s="131"/>
      <c r="BR30" s="131"/>
      <c r="BS30" s="131"/>
      <c r="BT30" s="131"/>
      <c r="BU30" s="131"/>
      <c r="BV30" s="131"/>
      <c r="BW30" s="131"/>
      <c r="BX30" s="131"/>
      <c r="BY30" s="131"/>
      <c r="BZ30" s="131"/>
      <c r="CA30" s="131"/>
      <c r="CB30" s="131"/>
      <c r="CC30" s="131"/>
      <c r="CD30" s="131"/>
      <c r="CE30" s="131"/>
      <c r="CF30" s="131"/>
      <c r="CG30" s="131"/>
      <c r="CH30" s="131"/>
      <c r="CI30" s="131"/>
      <c r="CJ30" s="131"/>
      <c r="CK30" s="131"/>
      <c r="CL30" s="131"/>
      <c r="CM30" s="131"/>
      <c r="CN30" s="131"/>
      <c r="CO30" s="131"/>
      <c r="CP30" s="131"/>
      <c r="CQ30" s="131"/>
      <c r="CR30" s="131"/>
      <c r="CS30" s="131"/>
      <c r="CT30" s="131"/>
      <c r="CU30" s="131"/>
      <c r="CV30" s="131"/>
      <c r="CW30" s="131"/>
      <c r="CX30" s="131"/>
      <c r="CY30" s="131"/>
      <c r="CZ30" s="131"/>
      <c r="DA30" s="131"/>
      <c r="DB30" s="131"/>
      <c r="DC30" s="131"/>
      <c r="DD30" s="131"/>
      <c r="DE30" s="131"/>
      <c r="DF30" s="131"/>
      <c r="DG30" s="131"/>
      <c r="DH30" s="131"/>
      <c r="DI30" s="131"/>
      <c r="DJ30" s="131"/>
      <c r="DK30" s="131"/>
      <c r="DL30" s="131"/>
      <c r="DM30" s="131"/>
      <c r="DN30" s="131"/>
      <c r="DO30" s="131"/>
      <c r="DP30" s="131"/>
      <c r="DQ30" s="131"/>
      <c r="DR30" s="131"/>
      <c r="DS30" s="131"/>
      <c r="DT30" s="131"/>
      <c r="DU30" s="131"/>
      <c r="DV30" s="131"/>
      <c r="DW30" s="131"/>
      <c r="DX30" s="131"/>
      <c r="DY30" s="131"/>
      <c r="DZ30" s="131"/>
      <c r="EA30" s="131"/>
      <c r="EB30" s="131"/>
      <c r="EC30" s="131"/>
      <c r="ED30" s="131"/>
      <c r="EE30" s="131"/>
      <c r="EF30" s="131"/>
      <c r="EG30" s="131"/>
      <c r="EH30" s="131"/>
      <c r="EI30" s="131"/>
      <c r="EJ30" s="131"/>
      <c r="EK30" s="131"/>
      <c r="EL30" s="131"/>
      <c r="EM30" s="131"/>
      <c r="EN30" s="131"/>
      <c r="EO30" s="131"/>
      <c r="EP30" s="131"/>
      <c r="EQ30" s="131"/>
      <c r="ER30" s="131"/>
      <c r="ES30" s="131"/>
      <c r="ET30" s="131"/>
      <c r="EU30" s="131"/>
      <c r="EV30" s="131"/>
      <c r="EW30" s="131"/>
      <c r="EX30" s="131"/>
      <c r="EY30" s="131"/>
      <c r="EZ30" s="131"/>
      <c r="FA30" s="131"/>
      <c r="FB30" s="131"/>
      <c r="FC30" s="131"/>
      <c r="FD30" s="131"/>
      <c r="FE30" s="131"/>
      <c r="FF30" s="131"/>
      <c r="FG30" s="131"/>
      <c r="FH30" s="131"/>
      <c r="FI30" s="131"/>
      <c r="FJ30" s="131"/>
      <c r="FK30" s="131"/>
      <c r="FL30" s="131"/>
      <c r="FM30" s="131"/>
      <c r="FN30" s="131"/>
      <c r="FO30" s="131"/>
      <c r="FP30" s="131"/>
      <c r="FQ30" s="131"/>
      <c r="FR30" s="131"/>
      <c r="FS30" s="131"/>
      <c r="FT30" s="131"/>
      <c r="FU30" s="131"/>
      <c r="FV30" s="131"/>
      <c r="FW30" s="131"/>
      <c r="FX30" s="131"/>
      <c r="FY30" s="131"/>
      <c r="FZ30" s="131"/>
      <c r="GA30" s="131"/>
      <c r="GB30" s="131"/>
      <c r="GC30" s="131"/>
      <c r="GD30" s="131"/>
      <c r="GE30" s="131"/>
      <c r="GF30" s="131"/>
      <c r="GG30" s="131"/>
      <c r="GH30" s="131"/>
      <c r="GI30" s="131"/>
      <c r="GJ30" s="131"/>
      <c r="GK30" s="131"/>
      <c r="GL30" s="131"/>
      <c r="GM30" s="131"/>
      <c r="GN30" s="131"/>
      <c r="GO30" s="131"/>
      <c r="GP30" s="131"/>
      <c r="GQ30" s="131"/>
      <c r="GR30" s="131"/>
      <c r="GS30" s="131"/>
      <c r="GT30" s="131"/>
      <c r="GU30" s="131"/>
      <c r="GV30" s="131"/>
      <c r="GW30" s="131"/>
      <c r="GX30" s="131"/>
      <c r="GY30" s="131"/>
      <c r="GZ30" s="131"/>
      <c r="HA30" s="131"/>
      <c r="HB30" s="131"/>
      <c r="HC30" s="131"/>
      <c r="HD30" s="131"/>
      <c r="HE30" s="131"/>
      <c r="HF30" s="131"/>
      <c r="HG30" s="131"/>
      <c r="HH30" s="131"/>
      <c r="HI30" s="131"/>
      <c r="HJ30" s="131"/>
      <c r="HK30" s="131"/>
      <c r="HL30" s="131"/>
      <c r="HM30" s="131"/>
      <c r="HN30" s="131"/>
      <c r="HO30" s="131"/>
      <c r="HP30" s="131"/>
      <c r="HQ30" s="131"/>
      <c r="HR30" s="131"/>
      <c r="HS30" s="131"/>
      <c r="HT30" s="131"/>
      <c r="HU30" s="131"/>
      <c r="HV30" s="131"/>
      <c r="HW30" s="131"/>
      <c r="HX30" s="131"/>
      <c r="HY30" s="131"/>
      <c r="HZ30" s="131"/>
      <c r="IA30" s="131"/>
      <c r="IB30" s="131"/>
      <c r="IC30" s="131"/>
      <c r="ID30" s="131"/>
      <c r="IE30" s="131"/>
      <c r="IF30" s="131"/>
      <c r="IG30" s="131"/>
      <c r="IH30" s="131"/>
      <c r="II30" s="131"/>
      <c r="IJ30" s="131"/>
      <c r="IK30" s="131"/>
      <c r="IL30" s="131"/>
      <c r="IM30" s="131"/>
      <c r="IN30" s="131"/>
      <c r="IO30" s="131"/>
      <c r="IP30" s="131"/>
      <c r="IQ30" s="131"/>
      <c r="IR30" s="131"/>
      <c r="IS30" s="131"/>
      <c r="IT30" s="131"/>
      <c r="IU30" s="131"/>
      <c r="IV30" s="131"/>
      <c r="IW30" s="131"/>
      <c r="IX30" s="131"/>
      <c r="IY30" s="131"/>
      <c r="IZ30" s="131"/>
      <c r="JA30" s="131"/>
      <c r="JB30" s="131"/>
      <c r="JC30" s="131"/>
      <c r="JD30" s="131"/>
      <c r="JE30" s="131"/>
      <c r="JF30" s="131"/>
      <c r="JG30" s="131"/>
      <c r="JH30" s="131"/>
      <c r="JI30" s="131"/>
      <c r="JJ30" s="131"/>
      <c r="JK30" s="131"/>
      <c r="JL30" s="131"/>
      <c r="JM30" s="131"/>
      <c r="JN30" s="131"/>
      <c r="JO30" s="131"/>
      <c r="JP30" s="131"/>
      <c r="JQ30" s="131"/>
      <c r="JR30" s="131"/>
      <c r="JS30" s="131"/>
      <c r="JT30" s="131"/>
      <c r="JU30" s="131"/>
      <c r="JV30" s="131"/>
      <c r="JW30" s="131"/>
      <c r="JX30" s="131"/>
      <c r="JY30" s="131"/>
      <c r="JZ30" s="131"/>
      <c r="KA30" s="131"/>
      <c r="KB30" s="131"/>
      <c r="KC30" s="131"/>
      <c r="KD30" s="131"/>
      <c r="KE30" s="131"/>
      <c r="KF30" s="131"/>
      <c r="KG30" s="131"/>
      <c r="KH30" s="131"/>
      <c r="KI30" s="131"/>
      <c r="KJ30" s="131"/>
      <c r="KK30" s="131"/>
      <c r="KL30" s="131"/>
      <c r="KM30" s="131"/>
      <c r="KN30" s="131"/>
      <c r="KO30" s="131"/>
      <c r="KP30" s="131"/>
      <c r="KQ30" s="131"/>
      <c r="KR30" s="131"/>
      <c r="KS30" s="131"/>
      <c r="KT30" s="131"/>
      <c r="KU30" s="131"/>
      <c r="KV30" s="131"/>
      <c r="KW30" s="131"/>
      <c r="KX30" s="131"/>
      <c r="KY30" s="131"/>
      <c r="KZ30" s="131"/>
      <c r="LA30" s="131"/>
      <c r="LB30" s="131"/>
      <c r="LC30" s="131"/>
      <c r="LD30" s="131"/>
      <c r="LE30" s="131"/>
      <c r="LF30" s="131"/>
      <c r="LG30" s="131"/>
      <c r="LH30" s="131"/>
      <c r="LI30" s="131"/>
      <c r="LJ30" s="131"/>
      <c r="LK30" s="131"/>
      <c r="LL30" s="131"/>
      <c r="LM30" s="131"/>
      <c r="LN30" s="131"/>
      <c r="LO30" s="131"/>
      <c r="LP30" s="131"/>
      <c r="LQ30" s="131"/>
      <c r="LR30" s="131"/>
      <c r="LS30" s="131"/>
      <c r="LT30" s="131"/>
      <c r="LU30" s="131"/>
      <c r="LV30" s="131"/>
      <c r="LW30" s="131"/>
      <c r="LX30" s="131"/>
      <c r="LY30" s="131"/>
      <c r="LZ30" s="131"/>
      <c r="MA30" s="131"/>
      <c r="MB30" s="131"/>
      <c r="MC30" s="131"/>
      <c r="MD30" s="131"/>
      <c r="ME30" s="131"/>
      <c r="MF30" s="131"/>
      <c r="MG30" s="131"/>
      <c r="MH30" s="131"/>
      <c r="MI30" s="131"/>
      <c r="MJ30" s="131"/>
      <c r="MK30" s="131"/>
      <c r="ML30" s="131"/>
      <c r="MM30" s="131"/>
      <c r="MN30" s="131"/>
      <c r="MO30" s="131"/>
      <c r="MP30" s="131"/>
      <c r="MQ30" s="131"/>
      <c r="MR30" s="131"/>
      <c r="MS30" s="131"/>
      <c r="MT30" s="131"/>
      <c r="MU30" s="131"/>
      <c r="MV30" s="131"/>
      <c r="MW30" s="131"/>
      <c r="MX30" s="131"/>
      <c r="MY30" s="131"/>
      <c r="MZ30" s="131"/>
      <c r="NA30" s="131"/>
      <c r="NB30" s="131"/>
      <c r="NC30" s="131"/>
      <c r="ND30" s="131"/>
      <c r="NE30" s="131"/>
      <c r="NF30" s="131"/>
      <c r="NG30" s="131"/>
      <c r="NH30" s="131"/>
      <c r="NI30" s="131"/>
      <c r="NJ30" s="131"/>
      <c r="NK30" s="131"/>
      <c r="NL30" s="131"/>
      <c r="NM30" s="131"/>
      <c r="NN30" s="131"/>
      <c r="NO30" s="131"/>
      <c r="NP30" s="131"/>
      <c r="NQ30" s="131"/>
      <c r="NR30" s="131"/>
      <c r="NS30" s="131"/>
      <c r="NT30" s="131"/>
      <c r="NU30" s="131"/>
      <c r="NV30" s="131"/>
      <c r="NW30" s="24">
        <f t="shared" si="8"/>
        <v>0</v>
      </c>
      <c r="NX30" s="56" t="s">
        <v>36</v>
      </c>
      <c r="NY30" s="127">
        <v>632.76</v>
      </c>
      <c r="NZ30" s="78">
        <f t="shared" si="2"/>
        <v>632.76</v>
      </c>
      <c r="OA30" s="78">
        <v>371.38</v>
      </c>
      <c r="OB30" s="127">
        <f t="shared" si="0"/>
        <v>0</v>
      </c>
      <c r="OC30" s="153">
        <v>632.76</v>
      </c>
      <c r="OD30" s="108">
        <f t="shared" si="1"/>
        <v>1.7038074209704346</v>
      </c>
      <c r="OE30" s="160" t="s">
        <v>508</v>
      </c>
    </row>
    <row r="31" spans="1:395" s="5" customFormat="1" ht="12.75" hidden="1" customHeight="1" x14ac:dyDescent="0.25">
      <c r="A31" s="62">
        <v>44504</v>
      </c>
      <c r="B31" s="106" t="s">
        <v>146</v>
      </c>
      <c r="C31" s="129"/>
      <c r="D31" s="129"/>
      <c r="E31" s="130"/>
      <c r="F31" s="130"/>
      <c r="G31" s="130"/>
      <c r="H31" s="130"/>
      <c r="I31" s="130"/>
      <c r="J31" s="130"/>
      <c r="K31" s="130"/>
      <c r="L31" s="130"/>
      <c r="M31" s="131"/>
      <c r="N31" s="131"/>
      <c r="O31" s="131"/>
      <c r="P31" s="131"/>
      <c r="Q31" s="131"/>
      <c r="R31" s="131"/>
      <c r="S31" s="131"/>
      <c r="T31" s="131"/>
      <c r="U31" s="131"/>
      <c r="V31" s="131"/>
      <c r="W31" s="131"/>
      <c r="X31" s="131"/>
      <c r="Y31" s="131"/>
      <c r="Z31" s="131"/>
      <c r="AA31" s="131"/>
      <c r="AB31" s="131"/>
      <c r="AC31" s="131"/>
      <c r="AD31" s="131"/>
      <c r="AE31" s="131"/>
      <c r="AF31" s="131"/>
      <c r="AG31" s="131"/>
      <c r="AH31" s="131"/>
      <c r="AI31" s="131"/>
      <c r="AJ31" s="131"/>
      <c r="AK31" s="131"/>
      <c r="AL31" s="131"/>
      <c r="AM31" s="131"/>
      <c r="AN31" s="131"/>
      <c r="AO31" s="131"/>
      <c r="AP31" s="131"/>
      <c r="AQ31" s="131"/>
      <c r="AR31" s="131"/>
      <c r="AS31" s="131"/>
      <c r="AT31" s="131"/>
      <c r="AU31" s="131"/>
      <c r="AV31" s="131"/>
      <c r="AW31" s="131"/>
      <c r="AX31" s="131"/>
      <c r="AY31" s="131"/>
      <c r="AZ31" s="131"/>
      <c r="BA31" s="131"/>
      <c r="BB31" s="131"/>
      <c r="BC31" s="131"/>
      <c r="BD31" s="131"/>
      <c r="BE31" s="131"/>
      <c r="BF31" s="131"/>
      <c r="BG31" s="131"/>
      <c r="BH31" s="131"/>
      <c r="BI31" s="131"/>
      <c r="BJ31" s="131"/>
      <c r="BK31" s="131"/>
      <c r="BL31" s="131"/>
      <c r="BM31" s="131"/>
      <c r="BN31" s="131"/>
      <c r="BO31" s="131"/>
      <c r="BP31" s="131"/>
      <c r="BQ31" s="131"/>
      <c r="BR31" s="131"/>
      <c r="BS31" s="131"/>
      <c r="BT31" s="131"/>
      <c r="BU31" s="131"/>
      <c r="BV31" s="131"/>
      <c r="BW31" s="131"/>
      <c r="BX31" s="131"/>
      <c r="BY31" s="131"/>
      <c r="BZ31" s="131"/>
      <c r="CA31" s="131"/>
      <c r="CB31" s="131"/>
      <c r="CC31" s="131"/>
      <c r="CD31" s="131"/>
      <c r="CE31" s="131"/>
      <c r="CF31" s="131"/>
      <c r="CG31" s="131"/>
      <c r="CH31" s="131"/>
      <c r="CI31" s="131"/>
      <c r="CJ31" s="131"/>
      <c r="CK31" s="131"/>
      <c r="CL31" s="131"/>
      <c r="CM31" s="131"/>
      <c r="CN31" s="131"/>
      <c r="CO31" s="131"/>
      <c r="CP31" s="131"/>
      <c r="CQ31" s="131"/>
      <c r="CR31" s="131"/>
      <c r="CS31" s="131"/>
      <c r="CT31" s="131"/>
      <c r="CU31" s="131"/>
      <c r="CV31" s="131"/>
      <c r="CW31" s="131"/>
      <c r="CX31" s="131"/>
      <c r="CY31" s="131"/>
      <c r="CZ31" s="131"/>
      <c r="DA31" s="131"/>
      <c r="DB31" s="131"/>
      <c r="DC31" s="131"/>
      <c r="DD31" s="131"/>
      <c r="DE31" s="131"/>
      <c r="DF31" s="131"/>
      <c r="DG31" s="131"/>
      <c r="DH31" s="131"/>
      <c r="DI31" s="131"/>
      <c r="DJ31" s="131"/>
      <c r="DK31" s="131"/>
      <c r="DL31" s="131"/>
      <c r="DM31" s="131"/>
      <c r="DN31" s="131"/>
      <c r="DO31" s="131"/>
      <c r="DP31" s="131"/>
      <c r="DQ31" s="131"/>
      <c r="DR31" s="131"/>
      <c r="DS31" s="131"/>
      <c r="DT31" s="131"/>
      <c r="DU31" s="131"/>
      <c r="DV31" s="131"/>
      <c r="DW31" s="131"/>
      <c r="DX31" s="131"/>
      <c r="DY31" s="131"/>
      <c r="DZ31" s="131"/>
      <c r="EA31" s="131"/>
      <c r="EB31" s="131"/>
      <c r="EC31" s="131"/>
      <c r="ED31" s="131"/>
      <c r="EE31" s="131"/>
      <c r="EF31" s="131"/>
      <c r="EG31" s="131"/>
      <c r="EH31" s="131"/>
      <c r="EI31" s="131"/>
      <c r="EJ31" s="131"/>
      <c r="EK31" s="131"/>
      <c r="EL31" s="131"/>
      <c r="EM31" s="131"/>
      <c r="EN31" s="131"/>
      <c r="EO31" s="131"/>
      <c r="EP31" s="131"/>
      <c r="EQ31" s="131"/>
      <c r="ER31" s="131"/>
      <c r="ES31" s="131"/>
      <c r="ET31" s="131"/>
      <c r="EU31" s="131"/>
      <c r="EV31" s="131"/>
      <c r="EW31" s="131"/>
      <c r="EX31" s="131"/>
      <c r="EY31" s="131"/>
      <c r="EZ31" s="131"/>
      <c r="FA31" s="131"/>
      <c r="FB31" s="131"/>
      <c r="FC31" s="131"/>
      <c r="FD31" s="131"/>
      <c r="FE31" s="131"/>
      <c r="FF31" s="131"/>
      <c r="FG31" s="131"/>
      <c r="FH31" s="131"/>
      <c r="FI31" s="131"/>
      <c r="FJ31" s="131"/>
      <c r="FK31" s="131"/>
      <c r="FL31" s="131"/>
      <c r="FM31" s="131"/>
      <c r="FN31" s="131"/>
      <c r="FO31" s="131"/>
      <c r="FP31" s="131"/>
      <c r="FQ31" s="131"/>
      <c r="FR31" s="131"/>
      <c r="FS31" s="131"/>
      <c r="FT31" s="131"/>
      <c r="FU31" s="131"/>
      <c r="FV31" s="131"/>
      <c r="FW31" s="131"/>
      <c r="FX31" s="131"/>
      <c r="FY31" s="131"/>
      <c r="FZ31" s="131"/>
      <c r="GA31" s="131"/>
      <c r="GB31" s="131"/>
      <c r="GC31" s="131"/>
      <c r="GD31" s="131"/>
      <c r="GE31" s="131"/>
      <c r="GF31" s="131"/>
      <c r="GG31" s="131"/>
      <c r="GH31" s="131"/>
      <c r="GI31" s="131"/>
      <c r="GJ31" s="131"/>
      <c r="GK31" s="131"/>
      <c r="GL31" s="131"/>
      <c r="GM31" s="131"/>
      <c r="GN31" s="131"/>
      <c r="GO31" s="131"/>
      <c r="GP31" s="131"/>
      <c r="GQ31" s="131"/>
      <c r="GR31" s="131"/>
      <c r="GS31" s="131"/>
      <c r="GT31" s="131"/>
      <c r="GU31" s="131"/>
      <c r="GV31" s="131"/>
      <c r="GW31" s="131"/>
      <c r="GX31" s="131"/>
      <c r="GY31" s="131"/>
      <c r="GZ31" s="131"/>
      <c r="HA31" s="131"/>
      <c r="HB31" s="131"/>
      <c r="HC31" s="131"/>
      <c r="HD31" s="131"/>
      <c r="HE31" s="131"/>
      <c r="HF31" s="131"/>
      <c r="HG31" s="131"/>
      <c r="HH31" s="131"/>
      <c r="HI31" s="131"/>
      <c r="HJ31" s="131"/>
      <c r="HK31" s="131"/>
      <c r="HL31" s="131"/>
      <c r="HM31" s="131"/>
      <c r="HN31" s="131"/>
      <c r="HO31" s="131"/>
      <c r="HP31" s="131"/>
      <c r="HQ31" s="131"/>
      <c r="HR31" s="131"/>
      <c r="HS31" s="131"/>
      <c r="HT31" s="131"/>
      <c r="HU31" s="131"/>
      <c r="HV31" s="131"/>
      <c r="HW31" s="131"/>
      <c r="HX31" s="131"/>
      <c r="HY31" s="131"/>
      <c r="HZ31" s="131"/>
      <c r="IA31" s="131"/>
      <c r="IB31" s="131"/>
      <c r="IC31" s="131"/>
      <c r="ID31" s="131"/>
      <c r="IE31" s="131"/>
      <c r="IF31" s="131"/>
      <c r="IG31" s="131"/>
      <c r="IH31" s="131"/>
      <c r="II31" s="131"/>
      <c r="IJ31" s="131"/>
      <c r="IK31" s="131"/>
      <c r="IL31" s="131"/>
      <c r="IM31" s="131"/>
      <c r="IN31" s="131"/>
      <c r="IO31" s="131"/>
      <c r="IP31" s="131"/>
      <c r="IQ31" s="131"/>
      <c r="IR31" s="131"/>
      <c r="IS31" s="131"/>
      <c r="IT31" s="131"/>
      <c r="IU31" s="131"/>
      <c r="IV31" s="131"/>
      <c r="IW31" s="131"/>
      <c r="IX31" s="131"/>
      <c r="IY31" s="131"/>
      <c r="IZ31" s="131"/>
      <c r="JA31" s="131"/>
      <c r="JB31" s="131"/>
      <c r="JC31" s="131"/>
      <c r="JD31" s="131"/>
      <c r="JE31" s="131"/>
      <c r="JF31" s="131"/>
      <c r="JG31" s="131"/>
      <c r="JH31" s="131"/>
      <c r="JI31" s="131"/>
      <c r="JJ31" s="131"/>
      <c r="JK31" s="131"/>
      <c r="JL31" s="131"/>
      <c r="JM31" s="131"/>
      <c r="JN31" s="131"/>
      <c r="JO31" s="131"/>
      <c r="JP31" s="131"/>
      <c r="JQ31" s="131"/>
      <c r="JR31" s="131"/>
      <c r="JS31" s="131"/>
      <c r="JT31" s="131"/>
      <c r="JU31" s="131"/>
      <c r="JV31" s="131"/>
      <c r="JW31" s="131"/>
      <c r="JX31" s="131"/>
      <c r="JY31" s="131"/>
      <c r="JZ31" s="131"/>
      <c r="KA31" s="131"/>
      <c r="KB31" s="131"/>
      <c r="KC31" s="131"/>
      <c r="KD31" s="131"/>
      <c r="KE31" s="131"/>
      <c r="KF31" s="131"/>
      <c r="KG31" s="131"/>
      <c r="KH31" s="131"/>
      <c r="KI31" s="131"/>
      <c r="KJ31" s="131"/>
      <c r="KK31" s="131"/>
      <c r="KL31" s="131"/>
      <c r="KM31" s="131"/>
      <c r="KN31" s="131"/>
      <c r="KO31" s="131"/>
      <c r="KP31" s="131"/>
      <c r="KQ31" s="131"/>
      <c r="KR31" s="131"/>
      <c r="KS31" s="131"/>
      <c r="KT31" s="131"/>
      <c r="KU31" s="131"/>
      <c r="KV31" s="131"/>
      <c r="KW31" s="131"/>
      <c r="KX31" s="131"/>
      <c r="KY31" s="131"/>
      <c r="KZ31" s="131"/>
      <c r="LA31" s="131"/>
      <c r="LB31" s="131"/>
      <c r="LC31" s="131"/>
      <c r="LD31" s="131"/>
      <c r="LE31" s="131"/>
      <c r="LF31" s="131"/>
      <c r="LG31" s="131"/>
      <c r="LH31" s="131"/>
      <c r="LI31" s="131"/>
      <c r="LJ31" s="131"/>
      <c r="LK31" s="131"/>
      <c r="LL31" s="131"/>
      <c r="LM31" s="131"/>
      <c r="LN31" s="131"/>
      <c r="LO31" s="131"/>
      <c r="LP31" s="131"/>
      <c r="LQ31" s="131"/>
      <c r="LR31" s="131"/>
      <c r="LS31" s="131"/>
      <c r="LT31" s="131"/>
      <c r="LU31" s="131"/>
      <c r="LV31" s="131"/>
      <c r="LW31" s="131"/>
      <c r="LX31" s="131"/>
      <c r="LY31" s="131"/>
      <c r="LZ31" s="131"/>
      <c r="MA31" s="131"/>
      <c r="MB31" s="131"/>
      <c r="MC31" s="131"/>
      <c r="MD31" s="131"/>
      <c r="ME31" s="131"/>
      <c r="MF31" s="131"/>
      <c r="MG31" s="131"/>
      <c r="MH31" s="131"/>
      <c r="MI31" s="131"/>
      <c r="MJ31" s="131"/>
      <c r="MK31" s="131"/>
      <c r="ML31" s="131"/>
      <c r="MM31" s="131"/>
      <c r="MN31" s="131"/>
      <c r="MO31" s="131"/>
      <c r="MP31" s="131"/>
      <c r="MQ31" s="131"/>
      <c r="MR31" s="131"/>
      <c r="MS31" s="131"/>
      <c r="MT31" s="131"/>
      <c r="MU31" s="131"/>
      <c r="MV31" s="131"/>
      <c r="MW31" s="131"/>
      <c r="MX31" s="131"/>
      <c r="MY31" s="131"/>
      <c r="MZ31" s="131"/>
      <c r="NA31" s="131"/>
      <c r="NB31" s="131"/>
      <c r="NC31" s="131"/>
      <c r="ND31" s="131"/>
      <c r="NE31" s="131"/>
      <c r="NF31" s="131"/>
      <c r="NG31" s="131"/>
      <c r="NH31" s="131"/>
      <c r="NI31" s="131"/>
      <c r="NJ31" s="131"/>
      <c r="NK31" s="131"/>
      <c r="NL31" s="131"/>
      <c r="NM31" s="131"/>
      <c r="NN31" s="131"/>
      <c r="NO31" s="131"/>
      <c r="NP31" s="131"/>
      <c r="NQ31" s="131"/>
      <c r="NR31" s="131"/>
      <c r="NS31" s="131"/>
      <c r="NT31" s="131"/>
      <c r="NU31" s="131"/>
      <c r="NV31" s="131"/>
      <c r="NW31" s="24">
        <f t="shared" si="8"/>
        <v>0</v>
      </c>
      <c r="NX31" s="56" t="s">
        <v>36</v>
      </c>
      <c r="NY31" s="127">
        <v>301.32</v>
      </c>
      <c r="NZ31" s="78">
        <f t="shared" si="2"/>
        <v>301.32</v>
      </c>
      <c r="OA31" s="78">
        <v>167.60000000000002</v>
      </c>
      <c r="OB31" s="127">
        <f t="shared" si="0"/>
        <v>0</v>
      </c>
      <c r="OC31" s="153">
        <v>301.32</v>
      </c>
      <c r="OD31" s="108">
        <f t="shared" si="1"/>
        <v>1.7978520286396178</v>
      </c>
      <c r="OE31" s="160" t="s">
        <v>509</v>
      </c>
    </row>
    <row r="32" spans="1:395" s="5" customFormat="1" ht="12.75" customHeight="1" x14ac:dyDescent="0.25">
      <c r="A32" s="62">
        <v>44508</v>
      </c>
      <c r="B32" s="116" t="s">
        <v>81</v>
      </c>
      <c r="C32" s="129"/>
      <c r="D32" s="129"/>
      <c r="E32" s="130"/>
      <c r="F32" s="130"/>
      <c r="G32" s="130"/>
      <c r="H32" s="130"/>
      <c r="I32" s="130"/>
      <c r="J32" s="130"/>
      <c r="K32" s="130"/>
      <c r="L32" s="130"/>
      <c r="M32" s="131"/>
      <c r="N32" s="131"/>
      <c r="O32" s="131"/>
      <c r="P32" s="131"/>
      <c r="Q32" s="131"/>
      <c r="R32" s="131"/>
      <c r="S32" s="131"/>
      <c r="T32" s="131"/>
      <c r="U32" s="131"/>
      <c r="V32" s="131"/>
      <c r="W32" s="131"/>
      <c r="X32" s="131"/>
      <c r="Y32" s="131"/>
      <c r="Z32" s="131"/>
      <c r="AA32" s="131"/>
      <c r="AB32" s="131"/>
      <c r="AC32" s="131"/>
      <c r="AD32" s="131"/>
      <c r="AE32" s="131"/>
      <c r="AF32" s="131"/>
      <c r="AG32" s="131"/>
      <c r="AH32" s="131"/>
      <c r="AI32" s="131"/>
      <c r="AJ32" s="131"/>
      <c r="AK32" s="131"/>
      <c r="AL32" s="131"/>
      <c r="AM32" s="131"/>
      <c r="AN32" s="131"/>
      <c r="AO32" s="131"/>
      <c r="AP32" s="131"/>
      <c r="AQ32" s="131"/>
      <c r="AR32" s="131"/>
      <c r="AS32" s="131"/>
      <c r="AT32" s="131"/>
      <c r="AU32" s="131"/>
      <c r="AV32" s="131"/>
      <c r="AW32" s="131"/>
      <c r="AX32" s="131"/>
      <c r="AY32" s="131"/>
      <c r="AZ32" s="131"/>
      <c r="BA32" s="131"/>
      <c r="BB32" s="131"/>
      <c r="BC32" s="131"/>
      <c r="BD32" s="131"/>
      <c r="BE32" s="131"/>
      <c r="BF32" s="131"/>
      <c r="BG32" s="131"/>
      <c r="BH32" s="131"/>
      <c r="BI32" s="131"/>
      <c r="BJ32" s="131"/>
      <c r="BK32" s="131"/>
      <c r="BL32" s="131"/>
      <c r="BM32" s="131"/>
      <c r="BN32" s="131"/>
      <c r="BO32" s="131"/>
      <c r="BP32" s="131"/>
      <c r="BQ32" s="131"/>
      <c r="BR32" s="131"/>
      <c r="BS32" s="131"/>
      <c r="BT32" s="131"/>
      <c r="BU32" s="131"/>
      <c r="BV32" s="131"/>
      <c r="BW32" s="131"/>
      <c r="BX32" s="131"/>
      <c r="BY32" s="131"/>
      <c r="BZ32" s="131"/>
      <c r="CA32" s="131"/>
      <c r="CB32" s="131"/>
      <c r="CC32" s="131"/>
      <c r="CD32" s="131"/>
      <c r="CE32" s="131"/>
      <c r="CF32" s="131"/>
      <c r="CG32" s="131"/>
      <c r="CH32" s="131"/>
      <c r="CI32" s="131"/>
      <c r="CJ32" s="131"/>
      <c r="CK32" s="131"/>
      <c r="CL32" s="131"/>
      <c r="CM32" s="131"/>
      <c r="CN32" s="131"/>
      <c r="CO32" s="131"/>
      <c r="CP32" s="131"/>
      <c r="CQ32" s="131"/>
      <c r="CR32" s="131"/>
      <c r="CS32" s="131"/>
      <c r="CT32" s="131"/>
      <c r="CU32" s="131"/>
      <c r="CV32" s="131"/>
      <c r="CW32" s="131"/>
      <c r="CX32" s="131"/>
      <c r="CY32" s="131"/>
      <c r="CZ32" s="131"/>
      <c r="DA32" s="131"/>
      <c r="DB32" s="131"/>
      <c r="DC32" s="131"/>
      <c r="DD32" s="131"/>
      <c r="DE32" s="131"/>
      <c r="DF32" s="131"/>
      <c r="DG32" s="131"/>
      <c r="DH32" s="131"/>
      <c r="DI32" s="131"/>
      <c r="DJ32" s="131"/>
      <c r="DK32" s="131"/>
      <c r="DL32" s="131"/>
      <c r="DM32" s="131"/>
      <c r="DN32" s="131"/>
      <c r="DO32" s="131"/>
      <c r="DP32" s="131"/>
      <c r="DQ32" s="131"/>
      <c r="DR32" s="131"/>
      <c r="DS32" s="131"/>
      <c r="DT32" s="131"/>
      <c r="DU32" s="131"/>
      <c r="DV32" s="131"/>
      <c r="DW32" s="131"/>
      <c r="DX32" s="131"/>
      <c r="DY32" s="131"/>
      <c r="DZ32" s="131"/>
      <c r="EA32" s="131"/>
      <c r="EB32" s="131"/>
      <c r="EC32" s="131"/>
      <c r="ED32" s="131"/>
      <c r="EE32" s="131"/>
      <c r="EF32" s="131"/>
      <c r="EG32" s="131"/>
      <c r="EH32" s="131"/>
      <c r="EI32" s="131"/>
      <c r="EJ32" s="131"/>
      <c r="EK32" s="131"/>
      <c r="EL32" s="131"/>
      <c r="EM32" s="131"/>
      <c r="EN32" s="131"/>
      <c r="EO32" s="131"/>
      <c r="EP32" s="131"/>
      <c r="EQ32" s="131"/>
      <c r="ER32" s="131"/>
      <c r="ES32" s="131"/>
      <c r="ET32" s="131"/>
      <c r="EU32" s="131"/>
      <c r="EV32" s="131"/>
      <c r="EW32" s="131"/>
      <c r="EX32" s="131"/>
      <c r="EY32" s="131"/>
      <c r="EZ32" s="131"/>
      <c r="FA32" s="131"/>
      <c r="FB32" s="131"/>
      <c r="FC32" s="131"/>
      <c r="FD32" s="131"/>
      <c r="FE32" s="131"/>
      <c r="FF32" s="131"/>
      <c r="FG32" s="131"/>
      <c r="FH32" s="131"/>
      <c r="FI32" s="131"/>
      <c r="FJ32" s="131"/>
      <c r="FK32" s="131"/>
      <c r="FL32" s="131"/>
      <c r="FM32" s="131"/>
      <c r="FN32" s="131"/>
      <c r="FO32" s="131"/>
      <c r="FP32" s="131"/>
      <c r="FQ32" s="131"/>
      <c r="FR32" s="131"/>
      <c r="FS32" s="131"/>
      <c r="FT32" s="131"/>
      <c r="FU32" s="131"/>
      <c r="FV32" s="131"/>
      <c r="FW32" s="131"/>
      <c r="FX32" s="131"/>
      <c r="FY32" s="131"/>
      <c r="FZ32" s="131"/>
      <c r="GA32" s="131"/>
      <c r="GB32" s="131"/>
      <c r="GC32" s="131"/>
      <c r="GD32" s="131"/>
      <c r="GE32" s="131"/>
      <c r="GF32" s="131"/>
      <c r="GG32" s="131"/>
      <c r="GH32" s="131"/>
      <c r="GI32" s="131"/>
      <c r="GJ32" s="131"/>
      <c r="GK32" s="131"/>
      <c r="GL32" s="131"/>
      <c r="GM32" s="131"/>
      <c r="GN32" s="131"/>
      <c r="GO32" s="131"/>
      <c r="GP32" s="131"/>
      <c r="GQ32" s="131"/>
      <c r="GR32" s="131"/>
      <c r="GS32" s="131"/>
      <c r="GT32" s="131"/>
      <c r="GU32" s="131"/>
      <c r="GV32" s="131"/>
      <c r="GW32" s="131"/>
      <c r="GX32" s="131"/>
      <c r="GY32" s="131"/>
      <c r="GZ32" s="131"/>
      <c r="HA32" s="131"/>
      <c r="HB32" s="131"/>
      <c r="HC32" s="131"/>
      <c r="HD32" s="131"/>
      <c r="HE32" s="131"/>
      <c r="HF32" s="131"/>
      <c r="HG32" s="131"/>
      <c r="HH32" s="131"/>
      <c r="HI32" s="131"/>
      <c r="HJ32" s="131"/>
      <c r="HK32" s="131"/>
      <c r="HL32" s="131"/>
      <c r="HM32" s="131"/>
      <c r="HN32" s="131"/>
      <c r="HO32" s="131"/>
      <c r="HP32" s="131"/>
      <c r="HQ32" s="131"/>
      <c r="HR32" s="131"/>
      <c r="HS32" s="131"/>
      <c r="HT32" s="131"/>
      <c r="HU32" s="131"/>
      <c r="HV32" s="131"/>
      <c r="HW32" s="131"/>
      <c r="HX32" s="131"/>
      <c r="HY32" s="131"/>
      <c r="HZ32" s="131"/>
      <c r="IA32" s="131"/>
      <c r="IB32" s="131"/>
      <c r="IC32" s="131"/>
      <c r="ID32" s="131"/>
      <c r="IE32" s="131"/>
      <c r="IF32" s="131"/>
      <c r="IG32" s="131"/>
      <c r="IH32" s="131"/>
      <c r="II32" s="131"/>
      <c r="IJ32" s="131"/>
      <c r="IK32" s="131"/>
      <c r="IL32" s="131"/>
      <c r="IM32" s="131"/>
      <c r="IN32" s="131"/>
      <c r="IO32" s="131"/>
      <c r="IP32" s="131"/>
      <c r="IQ32" s="131"/>
      <c r="IR32" s="131"/>
      <c r="IS32" s="131"/>
      <c r="IT32" s="131"/>
      <c r="IU32" s="131"/>
      <c r="IV32" s="131"/>
      <c r="IW32" s="131"/>
      <c r="IX32" s="131"/>
      <c r="IY32" s="131"/>
      <c r="IZ32" s="131"/>
      <c r="JA32" s="131"/>
      <c r="JB32" s="131"/>
      <c r="JC32" s="131"/>
      <c r="JD32" s="131"/>
      <c r="JE32" s="131"/>
      <c r="JF32" s="131"/>
      <c r="JG32" s="131"/>
      <c r="JH32" s="131"/>
      <c r="JI32" s="131"/>
      <c r="JJ32" s="131"/>
      <c r="JK32" s="131"/>
      <c r="JL32" s="131"/>
      <c r="JM32" s="131"/>
      <c r="JN32" s="131"/>
      <c r="JO32" s="131"/>
      <c r="JP32" s="131"/>
      <c r="JQ32" s="131"/>
      <c r="JR32" s="131"/>
      <c r="JS32" s="131"/>
      <c r="JT32" s="131"/>
      <c r="JU32" s="131"/>
      <c r="JV32" s="131"/>
      <c r="JW32" s="131"/>
      <c r="JX32" s="131"/>
      <c r="JY32" s="131"/>
      <c r="JZ32" s="131"/>
      <c r="KA32" s="131"/>
      <c r="KB32" s="131"/>
      <c r="KC32" s="131"/>
      <c r="KD32" s="131"/>
      <c r="KE32" s="131"/>
      <c r="KF32" s="131"/>
      <c r="KG32" s="131"/>
      <c r="KH32" s="131"/>
      <c r="KI32" s="131"/>
      <c r="KJ32" s="131"/>
      <c r="KK32" s="131"/>
      <c r="KL32" s="131"/>
      <c r="KM32" s="131"/>
      <c r="KN32" s="131"/>
      <c r="KO32" s="131"/>
      <c r="KP32" s="131"/>
      <c r="KQ32" s="131"/>
      <c r="KR32" s="131"/>
      <c r="KS32" s="131"/>
      <c r="KT32" s="131"/>
      <c r="KU32" s="131"/>
      <c r="KV32" s="131"/>
      <c r="KW32" s="131"/>
      <c r="KX32" s="131"/>
      <c r="KY32" s="131"/>
      <c r="KZ32" s="131"/>
      <c r="LA32" s="131"/>
      <c r="LB32" s="131"/>
      <c r="LC32" s="131"/>
      <c r="LD32" s="131"/>
      <c r="LE32" s="131"/>
      <c r="LF32" s="131"/>
      <c r="LG32" s="131"/>
      <c r="LH32" s="131"/>
      <c r="LI32" s="131"/>
      <c r="LJ32" s="131"/>
      <c r="LK32" s="131"/>
      <c r="LL32" s="131"/>
      <c r="LM32" s="131"/>
      <c r="LN32" s="131"/>
      <c r="LO32" s="131"/>
      <c r="LP32" s="131"/>
      <c r="LQ32" s="131"/>
      <c r="LR32" s="131"/>
      <c r="LS32" s="131"/>
      <c r="LT32" s="131"/>
      <c r="LU32" s="131"/>
      <c r="LV32" s="131"/>
      <c r="LW32" s="131"/>
      <c r="LX32" s="131"/>
      <c r="LY32" s="131"/>
      <c r="LZ32" s="131"/>
      <c r="MA32" s="131"/>
      <c r="MB32" s="131"/>
      <c r="MC32" s="131"/>
      <c r="MD32" s="131"/>
      <c r="ME32" s="131"/>
      <c r="MF32" s="131"/>
      <c r="MG32" s="131"/>
      <c r="MH32" s="131"/>
      <c r="MI32" s="131"/>
      <c r="MJ32" s="131"/>
      <c r="MK32" s="131"/>
      <c r="ML32" s="131"/>
      <c r="MM32" s="131"/>
      <c r="MN32" s="131"/>
      <c r="MO32" s="131"/>
      <c r="MP32" s="131"/>
      <c r="MQ32" s="131"/>
      <c r="MR32" s="131"/>
      <c r="MS32" s="131"/>
      <c r="MT32" s="131"/>
      <c r="MU32" s="131"/>
      <c r="MV32" s="131"/>
      <c r="MW32" s="131"/>
      <c r="MX32" s="131"/>
      <c r="MY32" s="131"/>
      <c r="MZ32" s="131"/>
      <c r="NA32" s="131"/>
      <c r="NB32" s="131"/>
      <c r="NC32" s="131"/>
      <c r="ND32" s="131"/>
      <c r="NE32" s="131"/>
      <c r="NF32" s="131"/>
      <c r="NG32" s="131"/>
      <c r="NH32" s="131"/>
      <c r="NI32" s="131"/>
      <c r="NJ32" s="131"/>
      <c r="NK32" s="131"/>
      <c r="NL32" s="131"/>
      <c r="NM32" s="131"/>
      <c r="NN32" s="131"/>
      <c r="NO32" s="131"/>
      <c r="NP32" s="131"/>
      <c r="NQ32" s="131"/>
      <c r="NR32" s="131"/>
      <c r="NS32" s="131"/>
      <c r="NT32" s="131"/>
      <c r="NU32" s="131"/>
      <c r="NV32" s="131"/>
      <c r="NW32" s="24">
        <f t="shared" si="8"/>
        <v>0</v>
      </c>
      <c r="NX32" s="56" t="s">
        <v>36</v>
      </c>
      <c r="NY32" s="127">
        <v>275.27999999999997</v>
      </c>
      <c r="NZ32" s="78">
        <f t="shared" si="2"/>
        <v>0</v>
      </c>
      <c r="OA32" s="78">
        <v>168.1</v>
      </c>
      <c r="OB32" s="127">
        <f t="shared" si="0"/>
        <v>275.27999999999997</v>
      </c>
      <c r="OC32" s="153"/>
      <c r="OD32" s="108">
        <f t="shared" si="1"/>
        <v>1.6375966686496133</v>
      </c>
      <c r="OE32" s="160" t="s">
        <v>512</v>
      </c>
    </row>
    <row r="33" spans="1:395" s="5" customFormat="1" ht="12.75" hidden="1" customHeight="1" x14ac:dyDescent="0.25">
      <c r="A33" s="62">
        <v>44509</v>
      </c>
      <c r="B33" s="121" t="s">
        <v>30</v>
      </c>
      <c r="C33" s="129"/>
      <c r="D33" s="129"/>
      <c r="E33" s="130"/>
      <c r="F33" s="130"/>
      <c r="G33" s="130"/>
      <c r="H33" s="130"/>
      <c r="I33" s="130"/>
      <c r="J33" s="130"/>
      <c r="K33" s="130"/>
      <c r="L33" s="130"/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131"/>
      <c r="BP33" s="131"/>
      <c r="BQ33" s="131"/>
      <c r="BR33" s="131"/>
      <c r="BS33" s="131"/>
      <c r="BT33" s="131"/>
      <c r="BU33" s="131"/>
      <c r="BV33" s="131"/>
      <c r="BW33" s="131"/>
      <c r="BX33" s="131"/>
      <c r="BY33" s="131"/>
      <c r="BZ33" s="131"/>
      <c r="CA33" s="131"/>
      <c r="CB33" s="131"/>
      <c r="CC33" s="131"/>
      <c r="CD33" s="131"/>
      <c r="CE33" s="131"/>
      <c r="CF33" s="131"/>
      <c r="CG33" s="131"/>
      <c r="CH33" s="131"/>
      <c r="CI33" s="131"/>
      <c r="CJ33" s="131"/>
      <c r="CK33" s="131"/>
      <c r="CL33" s="131"/>
      <c r="CM33" s="131"/>
      <c r="CN33" s="131"/>
      <c r="CO33" s="131"/>
      <c r="CP33" s="131"/>
      <c r="CQ33" s="131"/>
      <c r="CR33" s="131"/>
      <c r="CS33" s="131"/>
      <c r="CT33" s="131"/>
      <c r="CU33" s="131"/>
      <c r="CV33" s="131"/>
      <c r="CW33" s="131"/>
      <c r="CX33" s="131"/>
      <c r="CY33" s="131"/>
      <c r="CZ33" s="131"/>
      <c r="DA33" s="131"/>
      <c r="DB33" s="131"/>
      <c r="DC33" s="131"/>
      <c r="DD33" s="131"/>
      <c r="DE33" s="131"/>
      <c r="DF33" s="131"/>
      <c r="DG33" s="131"/>
      <c r="DH33" s="131"/>
      <c r="DI33" s="131"/>
      <c r="DJ33" s="131"/>
      <c r="DK33" s="131"/>
      <c r="DL33" s="131"/>
      <c r="DM33" s="131"/>
      <c r="DN33" s="131"/>
      <c r="DO33" s="131"/>
      <c r="DP33" s="131"/>
      <c r="DQ33" s="131"/>
      <c r="DR33" s="131"/>
      <c r="DS33" s="131"/>
      <c r="DT33" s="131"/>
      <c r="DU33" s="131"/>
      <c r="DV33" s="131"/>
      <c r="DW33" s="131"/>
      <c r="DX33" s="131"/>
      <c r="DY33" s="131"/>
      <c r="DZ33" s="131"/>
      <c r="EA33" s="131"/>
      <c r="EB33" s="131"/>
      <c r="EC33" s="131"/>
      <c r="ED33" s="131"/>
      <c r="EE33" s="131"/>
      <c r="EF33" s="131"/>
      <c r="EG33" s="131"/>
      <c r="EH33" s="131"/>
      <c r="EI33" s="131"/>
      <c r="EJ33" s="131"/>
      <c r="EK33" s="131"/>
      <c r="EL33" s="131"/>
      <c r="EM33" s="131"/>
      <c r="EN33" s="131"/>
      <c r="EO33" s="131"/>
      <c r="EP33" s="131"/>
      <c r="EQ33" s="131"/>
      <c r="ER33" s="131"/>
      <c r="ES33" s="131"/>
      <c r="ET33" s="131"/>
      <c r="EU33" s="131"/>
      <c r="EV33" s="131"/>
      <c r="EW33" s="131"/>
      <c r="EX33" s="131"/>
      <c r="EY33" s="131"/>
      <c r="EZ33" s="131"/>
      <c r="FA33" s="131"/>
      <c r="FB33" s="131"/>
      <c r="FC33" s="131"/>
      <c r="FD33" s="131"/>
      <c r="FE33" s="131"/>
      <c r="FF33" s="131"/>
      <c r="FG33" s="131"/>
      <c r="FH33" s="131"/>
      <c r="FI33" s="131"/>
      <c r="FJ33" s="131"/>
      <c r="FK33" s="131"/>
      <c r="FL33" s="131"/>
      <c r="FM33" s="131"/>
      <c r="FN33" s="131"/>
      <c r="FO33" s="131"/>
      <c r="FP33" s="131"/>
      <c r="FQ33" s="131"/>
      <c r="FR33" s="131"/>
      <c r="FS33" s="131"/>
      <c r="FT33" s="131"/>
      <c r="FU33" s="131"/>
      <c r="FV33" s="131"/>
      <c r="FW33" s="131"/>
      <c r="FX33" s="131"/>
      <c r="FY33" s="131"/>
      <c r="FZ33" s="131"/>
      <c r="GA33" s="131"/>
      <c r="GB33" s="131"/>
      <c r="GC33" s="131"/>
      <c r="GD33" s="131"/>
      <c r="GE33" s="131"/>
      <c r="GF33" s="131"/>
      <c r="GG33" s="131"/>
      <c r="GH33" s="131"/>
      <c r="GI33" s="131"/>
      <c r="GJ33" s="131"/>
      <c r="GK33" s="131"/>
      <c r="GL33" s="131"/>
      <c r="GM33" s="131"/>
      <c r="GN33" s="131"/>
      <c r="GO33" s="131"/>
      <c r="GP33" s="131"/>
      <c r="GQ33" s="131"/>
      <c r="GR33" s="131"/>
      <c r="GS33" s="131"/>
      <c r="GT33" s="131"/>
      <c r="GU33" s="131"/>
      <c r="GV33" s="131"/>
      <c r="GW33" s="131"/>
      <c r="GX33" s="131"/>
      <c r="GY33" s="131"/>
      <c r="GZ33" s="131"/>
      <c r="HA33" s="131"/>
      <c r="HB33" s="131"/>
      <c r="HC33" s="131"/>
      <c r="HD33" s="131"/>
      <c r="HE33" s="131"/>
      <c r="HF33" s="131"/>
      <c r="HG33" s="131"/>
      <c r="HH33" s="131"/>
      <c r="HI33" s="131"/>
      <c r="HJ33" s="131"/>
      <c r="HK33" s="131"/>
      <c r="HL33" s="131"/>
      <c r="HM33" s="131"/>
      <c r="HN33" s="131"/>
      <c r="HO33" s="131"/>
      <c r="HP33" s="131"/>
      <c r="HQ33" s="131"/>
      <c r="HR33" s="131"/>
      <c r="HS33" s="131"/>
      <c r="HT33" s="131"/>
      <c r="HU33" s="131"/>
      <c r="HV33" s="131"/>
      <c r="HW33" s="131"/>
      <c r="HX33" s="131"/>
      <c r="HY33" s="131"/>
      <c r="HZ33" s="131"/>
      <c r="IA33" s="131"/>
      <c r="IB33" s="131"/>
      <c r="IC33" s="131"/>
      <c r="ID33" s="131"/>
      <c r="IE33" s="131"/>
      <c r="IF33" s="131"/>
      <c r="IG33" s="131"/>
      <c r="IH33" s="131"/>
      <c r="II33" s="131"/>
      <c r="IJ33" s="131"/>
      <c r="IK33" s="131"/>
      <c r="IL33" s="131"/>
      <c r="IM33" s="131"/>
      <c r="IN33" s="131"/>
      <c r="IO33" s="131"/>
      <c r="IP33" s="131"/>
      <c r="IQ33" s="131"/>
      <c r="IR33" s="131"/>
      <c r="IS33" s="131"/>
      <c r="IT33" s="131"/>
      <c r="IU33" s="131"/>
      <c r="IV33" s="131"/>
      <c r="IW33" s="131"/>
      <c r="IX33" s="131"/>
      <c r="IY33" s="131"/>
      <c r="IZ33" s="131"/>
      <c r="JA33" s="131"/>
      <c r="JB33" s="131"/>
      <c r="JC33" s="131"/>
      <c r="JD33" s="131"/>
      <c r="JE33" s="131"/>
      <c r="JF33" s="131"/>
      <c r="JG33" s="131"/>
      <c r="JH33" s="131"/>
      <c r="JI33" s="131"/>
      <c r="JJ33" s="131"/>
      <c r="JK33" s="131"/>
      <c r="JL33" s="131"/>
      <c r="JM33" s="131"/>
      <c r="JN33" s="131"/>
      <c r="JO33" s="131"/>
      <c r="JP33" s="131"/>
      <c r="JQ33" s="131"/>
      <c r="JR33" s="131"/>
      <c r="JS33" s="131"/>
      <c r="JT33" s="131"/>
      <c r="JU33" s="131"/>
      <c r="JV33" s="131"/>
      <c r="JW33" s="131"/>
      <c r="JX33" s="131"/>
      <c r="JY33" s="131"/>
      <c r="JZ33" s="131"/>
      <c r="KA33" s="131"/>
      <c r="KB33" s="131"/>
      <c r="KC33" s="131"/>
      <c r="KD33" s="131"/>
      <c r="KE33" s="131"/>
      <c r="KF33" s="131"/>
      <c r="KG33" s="131"/>
      <c r="KH33" s="131"/>
      <c r="KI33" s="131"/>
      <c r="KJ33" s="131"/>
      <c r="KK33" s="131"/>
      <c r="KL33" s="131"/>
      <c r="KM33" s="131"/>
      <c r="KN33" s="131"/>
      <c r="KO33" s="131"/>
      <c r="KP33" s="131"/>
      <c r="KQ33" s="131"/>
      <c r="KR33" s="131"/>
      <c r="KS33" s="131"/>
      <c r="KT33" s="131"/>
      <c r="KU33" s="131"/>
      <c r="KV33" s="131"/>
      <c r="KW33" s="131"/>
      <c r="KX33" s="131"/>
      <c r="KY33" s="131"/>
      <c r="KZ33" s="131"/>
      <c r="LA33" s="131"/>
      <c r="LB33" s="131"/>
      <c r="LC33" s="131"/>
      <c r="LD33" s="131"/>
      <c r="LE33" s="131"/>
      <c r="LF33" s="131"/>
      <c r="LG33" s="131"/>
      <c r="LH33" s="131"/>
      <c r="LI33" s="131"/>
      <c r="LJ33" s="131"/>
      <c r="LK33" s="131"/>
      <c r="LL33" s="131"/>
      <c r="LM33" s="131"/>
      <c r="LN33" s="131"/>
      <c r="LO33" s="131"/>
      <c r="LP33" s="131"/>
      <c r="LQ33" s="131"/>
      <c r="LR33" s="131"/>
      <c r="LS33" s="131"/>
      <c r="LT33" s="131"/>
      <c r="LU33" s="131"/>
      <c r="LV33" s="131"/>
      <c r="LW33" s="131"/>
      <c r="LX33" s="131"/>
      <c r="LY33" s="131"/>
      <c r="LZ33" s="131"/>
      <c r="MA33" s="131"/>
      <c r="MB33" s="131"/>
      <c r="MC33" s="131"/>
      <c r="MD33" s="131"/>
      <c r="ME33" s="131"/>
      <c r="MF33" s="131"/>
      <c r="MG33" s="131"/>
      <c r="MH33" s="131"/>
      <c r="MI33" s="131"/>
      <c r="MJ33" s="131"/>
      <c r="MK33" s="131"/>
      <c r="ML33" s="131"/>
      <c r="MM33" s="131"/>
      <c r="MN33" s="131"/>
      <c r="MO33" s="131"/>
      <c r="MP33" s="131"/>
      <c r="MQ33" s="131"/>
      <c r="MR33" s="131"/>
      <c r="MS33" s="131"/>
      <c r="MT33" s="131"/>
      <c r="MU33" s="131"/>
      <c r="MV33" s="131"/>
      <c r="MW33" s="131"/>
      <c r="MX33" s="131"/>
      <c r="MY33" s="131"/>
      <c r="MZ33" s="131"/>
      <c r="NA33" s="131"/>
      <c r="NB33" s="131"/>
      <c r="NC33" s="131"/>
      <c r="ND33" s="131"/>
      <c r="NE33" s="131"/>
      <c r="NF33" s="131"/>
      <c r="NG33" s="131"/>
      <c r="NH33" s="131"/>
      <c r="NI33" s="131"/>
      <c r="NJ33" s="131"/>
      <c r="NK33" s="131"/>
      <c r="NL33" s="131"/>
      <c r="NM33" s="131"/>
      <c r="NN33" s="131"/>
      <c r="NO33" s="131"/>
      <c r="NP33" s="131"/>
      <c r="NQ33" s="131"/>
      <c r="NR33" s="131"/>
      <c r="NS33" s="131"/>
      <c r="NT33" s="131"/>
      <c r="NU33" s="131"/>
      <c r="NV33" s="131"/>
      <c r="NW33" s="24">
        <f t="shared" ref="NW33:NW60" si="9">SUBTOTAL(9,C33:NV33)</f>
        <v>0</v>
      </c>
      <c r="NX33" s="56" t="s">
        <v>36</v>
      </c>
      <c r="NY33" s="127">
        <v>10148.040000000001</v>
      </c>
      <c r="NZ33" s="78">
        <f t="shared" si="2"/>
        <v>10148.040000000001</v>
      </c>
      <c r="OA33" s="78">
        <v>6576.2999999999993</v>
      </c>
      <c r="OB33" s="127">
        <f t="shared" si="0"/>
        <v>0</v>
      </c>
      <c r="OC33" s="153">
        <v>10148.040000000001</v>
      </c>
      <c r="OD33" s="108">
        <f t="shared" si="1"/>
        <v>1.543123032708362</v>
      </c>
      <c r="OE33" s="160">
        <v>44570</v>
      </c>
    </row>
    <row r="34" spans="1:395" s="5" customFormat="1" ht="12.75" hidden="1" customHeight="1" x14ac:dyDescent="0.25">
      <c r="A34" s="62">
        <v>44509</v>
      </c>
      <c r="B34" s="106" t="s">
        <v>202</v>
      </c>
      <c r="C34" s="129"/>
      <c r="D34" s="129"/>
      <c r="E34" s="130"/>
      <c r="F34" s="130"/>
      <c r="G34" s="130"/>
      <c r="H34" s="130"/>
      <c r="I34" s="130"/>
      <c r="J34" s="130"/>
      <c r="K34" s="130"/>
      <c r="L34" s="130"/>
      <c r="M34" s="131"/>
      <c r="N34" s="131"/>
      <c r="O34" s="131"/>
      <c r="P34" s="131"/>
      <c r="Q34" s="131"/>
      <c r="R34" s="131"/>
      <c r="S34" s="131"/>
      <c r="T34" s="131"/>
      <c r="U34" s="131"/>
      <c r="V34" s="131"/>
      <c r="W34" s="131"/>
      <c r="X34" s="131"/>
      <c r="Y34" s="131"/>
      <c r="Z34" s="131"/>
      <c r="AA34" s="131"/>
      <c r="AB34" s="131"/>
      <c r="AC34" s="131"/>
      <c r="AD34" s="131"/>
      <c r="AE34" s="131"/>
      <c r="AF34" s="131"/>
      <c r="AG34" s="131"/>
      <c r="AH34" s="131"/>
      <c r="AI34" s="131"/>
      <c r="AJ34" s="131"/>
      <c r="AK34" s="131"/>
      <c r="AL34" s="131"/>
      <c r="AM34" s="131"/>
      <c r="AN34" s="131"/>
      <c r="AO34" s="131"/>
      <c r="AP34" s="131"/>
      <c r="AQ34" s="131"/>
      <c r="AR34" s="131"/>
      <c r="AS34" s="131"/>
      <c r="AT34" s="131"/>
      <c r="AU34" s="131"/>
      <c r="AV34" s="131"/>
      <c r="AW34" s="131"/>
      <c r="AX34" s="131"/>
      <c r="AY34" s="131"/>
      <c r="AZ34" s="131"/>
      <c r="BA34" s="131"/>
      <c r="BB34" s="131"/>
      <c r="BC34" s="131"/>
      <c r="BD34" s="131"/>
      <c r="BE34" s="131"/>
      <c r="BF34" s="131"/>
      <c r="BG34" s="131"/>
      <c r="BH34" s="131"/>
      <c r="BI34" s="131"/>
      <c r="BJ34" s="131"/>
      <c r="BK34" s="131"/>
      <c r="BL34" s="131"/>
      <c r="BM34" s="131"/>
      <c r="BN34" s="131"/>
      <c r="BO34" s="131"/>
      <c r="BP34" s="131"/>
      <c r="BQ34" s="131"/>
      <c r="BR34" s="131"/>
      <c r="BS34" s="131"/>
      <c r="BT34" s="131"/>
      <c r="BU34" s="131"/>
      <c r="BV34" s="131"/>
      <c r="BW34" s="131"/>
      <c r="BX34" s="131"/>
      <c r="BY34" s="131"/>
      <c r="BZ34" s="131"/>
      <c r="CA34" s="131"/>
      <c r="CB34" s="131"/>
      <c r="CC34" s="131"/>
      <c r="CD34" s="131"/>
      <c r="CE34" s="131"/>
      <c r="CF34" s="131"/>
      <c r="CG34" s="131"/>
      <c r="CH34" s="131"/>
      <c r="CI34" s="131"/>
      <c r="CJ34" s="131"/>
      <c r="CK34" s="131"/>
      <c r="CL34" s="131"/>
      <c r="CM34" s="131"/>
      <c r="CN34" s="131"/>
      <c r="CO34" s="131"/>
      <c r="CP34" s="131"/>
      <c r="CQ34" s="131"/>
      <c r="CR34" s="131"/>
      <c r="CS34" s="131"/>
      <c r="CT34" s="131"/>
      <c r="CU34" s="131"/>
      <c r="CV34" s="131"/>
      <c r="CW34" s="131"/>
      <c r="CX34" s="131"/>
      <c r="CY34" s="131"/>
      <c r="CZ34" s="131"/>
      <c r="DA34" s="131"/>
      <c r="DB34" s="131"/>
      <c r="DC34" s="131"/>
      <c r="DD34" s="131"/>
      <c r="DE34" s="131"/>
      <c r="DF34" s="131"/>
      <c r="DG34" s="131"/>
      <c r="DH34" s="131"/>
      <c r="DI34" s="131"/>
      <c r="DJ34" s="131"/>
      <c r="DK34" s="131"/>
      <c r="DL34" s="131"/>
      <c r="DM34" s="131"/>
      <c r="DN34" s="131"/>
      <c r="DO34" s="131"/>
      <c r="DP34" s="131"/>
      <c r="DQ34" s="131"/>
      <c r="DR34" s="131"/>
      <c r="DS34" s="131"/>
      <c r="DT34" s="131"/>
      <c r="DU34" s="131"/>
      <c r="DV34" s="131"/>
      <c r="DW34" s="131"/>
      <c r="DX34" s="131"/>
      <c r="DY34" s="131"/>
      <c r="DZ34" s="131"/>
      <c r="EA34" s="131"/>
      <c r="EB34" s="131"/>
      <c r="EC34" s="131"/>
      <c r="ED34" s="131"/>
      <c r="EE34" s="131"/>
      <c r="EF34" s="131"/>
      <c r="EG34" s="131"/>
      <c r="EH34" s="131"/>
      <c r="EI34" s="131"/>
      <c r="EJ34" s="131"/>
      <c r="EK34" s="131"/>
      <c r="EL34" s="131"/>
      <c r="EM34" s="131"/>
      <c r="EN34" s="131"/>
      <c r="EO34" s="131"/>
      <c r="EP34" s="131"/>
      <c r="EQ34" s="131"/>
      <c r="ER34" s="131"/>
      <c r="ES34" s="131"/>
      <c r="ET34" s="131"/>
      <c r="EU34" s="131"/>
      <c r="EV34" s="131"/>
      <c r="EW34" s="131"/>
      <c r="EX34" s="131"/>
      <c r="EY34" s="131"/>
      <c r="EZ34" s="131"/>
      <c r="FA34" s="131"/>
      <c r="FB34" s="131"/>
      <c r="FC34" s="131"/>
      <c r="FD34" s="131"/>
      <c r="FE34" s="131"/>
      <c r="FF34" s="131"/>
      <c r="FG34" s="131"/>
      <c r="FH34" s="131"/>
      <c r="FI34" s="131"/>
      <c r="FJ34" s="131"/>
      <c r="FK34" s="131"/>
      <c r="FL34" s="131"/>
      <c r="FM34" s="131"/>
      <c r="FN34" s="131"/>
      <c r="FO34" s="131"/>
      <c r="FP34" s="131"/>
      <c r="FQ34" s="131"/>
      <c r="FR34" s="131"/>
      <c r="FS34" s="131"/>
      <c r="FT34" s="131"/>
      <c r="FU34" s="131"/>
      <c r="FV34" s="131"/>
      <c r="FW34" s="131"/>
      <c r="FX34" s="131"/>
      <c r="FY34" s="131"/>
      <c r="FZ34" s="131"/>
      <c r="GA34" s="131"/>
      <c r="GB34" s="131"/>
      <c r="GC34" s="131"/>
      <c r="GD34" s="131"/>
      <c r="GE34" s="131"/>
      <c r="GF34" s="131"/>
      <c r="GG34" s="131"/>
      <c r="GH34" s="131"/>
      <c r="GI34" s="131"/>
      <c r="GJ34" s="131"/>
      <c r="GK34" s="131"/>
      <c r="GL34" s="131"/>
      <c r="GM34" s="131"/>
      <c r="GN34" s="131"/>
      <c r="GO34" s="131"/>
      <c r="GP34" s="131"/>
      <c r="GQ34" s="131"/>
      <c r="GR34" s="131"/>
      <c r="GS34" s="131"/>
      <c r="GT34" s="131"/>
      <c r="GU34" s="131"/>
      <c r="GV34" s="131"/>
      <c r="GW34" s="131"/>
      <c r="GX34" s="131"/>
      <c r="GY34" s="131"/>
      <c r="GZ34" s="131"/>
      <c r="HA34" s="131"/>
      <c r="HB34" s="131"/>
      <c r="HC34" s="131"/>
      <c r="HD34" s="131"/>
      <c r="HE34" s="131"/>
      <c r="HF34" s="131"/>
      <c r="HG34" s="131"/>
      <c r="HH34" s="131"/>
      <c r="HI34" s="131"/>
      <c r="HJ34" s="131"/>
      <c r="HK34" s="131"/>
      <c r="HL34" s="131"/>
      <c r="HM34" s="131"/>
      <c r="HN34" s="131"/>
      <c r="HO34" s="131"/>
      <c r="HP34" s="131"/>
      <c r="HQ34" s="131"/>
      <c r="HR34" s="131"/>
      <c r="HS34" s="131"/>
      <c r="HT34" s="131"/>
      <c r="HU34" s="131"/>
      <c r="HV34" s="131"/>
      <c r="HW34" s="131"/>
      <c r="HX34" s="131"/>
      <c r="HY34" s="131"/>
      <c r="HZ34" s="131"/>
      <c r="IA34" s="131"/>
      <c r="IB34" s="131"/>
      <c r="IC34" s="131"/>
      <c r="ID34" s="131"/>
      <c r="IE34" s="131"/>
      <c r="IF34" s="131"/>
      <c r="IG34" s="131"/>
      <c r="IH34" s="131"/>
      <c r="II34" s="131"/>
      <c r="IJ34" s="131"/>
      <c r="IK34" s="131"/>
      <c r="IL34" s="131"/>
      <c r="IM34" s="131"/>
      <c r="IN34" s="131"/>
      <c r="IO34" s="131"/>
      <c r="IP34" s="131"/>
      <c r="IQ34" s="131"/>
      <c r="IR34" s="131"/>
      <c r="IS34" s="131"/>
      <c r="IT34" s="131"/>
      <c r="IU34" s="131"/>
      <c r="IV34" s="131"/>
      <c r="IW34" s="131"/>
      <c r="IX34" s="131"/>
      <c r="IY34" s="131"/>
      <c r="IZ34" s="131"/>
      <c r="JA34" s="131"/>
      <c r="JB34" s="131"/>
      <c r="JC34" s="131"/>
      <c r="JD34" s="131"/>
      <c r="JE34" s="131"/>
      <c r="JF34" s="131"/>
      <c r="JG34" s="131"/>
      <c r="JH34" s="131"/>
      <c r="JI34" s="131"/>
      <c r="JJ34" s="131"/>
      <c r="JK34" s="131"/>
      <c r="JL34" s="131"/>
      <c r="JM34" s="131"/>
      <c r="JN34" s="131"/>
      <c r="JO34" s="131"/>
      <c r="JP34" s="131"/>
      <c r="JQ34" s="131"/>
      <c r="JR34" s="131"/>
      <c r="JS34" s="131"/>
      <c r="JT34" s="131"/>
      <c r="JU34" s="131"/>
      <c r="JV34" s="131"/>
      <c r="JW34" s="131"/>
      <c r="JX34" s="131"/>
      <c r="JY34" s="131"/>
      <c r="JZ34" s="131"/>
      <c r="KA34" s="131"/>
      <c r="KB34" s="131"/>
      <c r="KC34" s="131"/>
      <c r="KD34" s="131"/>
      <c r="KE34" s="131"/>
      <c r="KF34" s="131"/>
      <c r="KG34" s="131"/>
      <c r="KH34" s="131"/>
      <c r="KI34" s="131"/>
      <c r="KJ34" s="131"/>
      <c r="KK34" s="131"/>
      <c r="KL34" s="131"/>
      <c r="KM34" s="131"/>
      <c r="KN34" s="131"/>
      <c r="KO34" s="131"/>
      <c r="KP34" s="131"/>
      <c r="KQ34" s="131"/>
      <c r="KR34" s="131"/>
      <c r="KS34" s="131"/>
      <c r="KT34" s="131"/>
      <c r="KU34" s="131"/>
      <c r="KV34" s="131"/>
      <c r="KW34" s="131"/>
      <c r="KX34" s="131"/>
      <c r="KY34" s="131"/>
      <c r="KZ34" s="131"/>
      <c r="LA34" s="131"/>
      <c r="LB34" s="131"/>
      <c r="LC34" s="131"/>
      <c r="LD34" s="131"/>
      <c r="LE34" s="131"/>
      <c r="LF34" s="131"/>
      <c r="LG34" s="131"/>
      <c r="LH34" s="131"/>
      <c r="LI34" s="131"/>
      <c r="LJ34" s="131"/>
      <c r="LK34" s="131"/>
      <c r="LL34" s="131"/>
      <c r="LM34" s="131"/>
      <c r="LN34" s="131"/>
      <c r="LO34" s="131"/>
      <c r="LP34" s="131"/>
      <c r="LQ34" s="131"/>
      <c r="LR34" s="131"/>
      <c r="LS34" s="131"/>
      <c r="LT34" s="131"/>
      <c r="LU34" s="131"/>
      <c r="LV34" s="131"/>
      <c r="LW34" s="131"/>
      <c r="LX34" s="131"/>
      <c r="LY34" s="131"/>
      <c r="LZ34" s="131"/>
      <c r="MA34" s="131"/>
      <c r="MB34" s="131"/>
      <c r="MC34" s="131"/>
      <c r="MD34" s="131"/>
      <c r="ME34" s="131"/>
      <c r="MF34" s="131"/>
      <c r="MG34" s="131"/>
      <c r="MH34" s="131"/>
      <c r="MI34" s="131"/>
      <c r="MJ34" s="131"/>
      <c r="MK34" s="131"/>
      <c r="ML34" s="131"/>
      <c r="MM34" s="131"/>
      <c r="MN34" s="131"/>
      <c r="MO34" s="131"/>
      <c r="MP34" s="131"/>
      <c r="MQ34" s="131"/>
      <c r="MR34" s="131"/>
      <c r="MS34" s="131"/>
      <c r="MT34" s="131"/>
      <c r="MU34" s="131"/>
      <c r="MV34" s="131"/>
      <c r="MW34" s="131"/>
      <c r="MX34" s="131"/>
      <c r="MY34" s="131"/>
      <c r="MZ34" s="131"/>
      <c r="NA34" s="131"/>
      <c r="NB34" s="131"/>
      <c r="NC34" s="131"/>
      <c r="ND34" s="131"/>
      <c r="NE34" s="131"/>
      <c r="NF34" s="131"/>
      <c r="NG34" s="131"/>
      <c r="NH34" s="131"/>
      <c r="NI34" s="131"/>
      <c r="NJ34" s="131"/>
      <c r="NK34" s="131"/>
      <c r="NL34" s="131"/>
      <c r="NM34" s="131"/>
      <c r="NN34" s="131"/>
      <c r="NO34" s="131"/>
      <c r="NP34" s="131"/>
      <c r="NQ34" s="131"/>
      <c r="NR34" s="131"/>
      <c r="NS34" s="131"/>
      <c r="NT34" s="131"/>
      <c r="NU34" s="131"/>
      <c r="NV34" s="131"/>
      <c r="NW34" s="24">
        <f t="shared" si="9"/>
        <v>0</v>
      </c>
      <c r="NX34" s="56" t="s">
        <v>36</v>
      </c>
      <c r="NY34" s="127">
        <v>506.88</v>
      </c>
      <c r="NZ34" s="78">
        <f t="shared" si="2"/>
        <v>506.88</v>
      </c>
      <c r="OA34" s="78">
        <v>1361.6</v>
      </c>
      <c r="OB34" s="127">
        <f t="shared" si="0"/>
        <v>0</v>
      </c>
      <c r="OC34" s="153">
        <v>506.88</v>
      </c>
      <c r="OD34" s="108">
        <f t="shared" ref="OD34:OD65" si="10">NY34/OA34</f>
        <v>0.37226792009400705</v>
      </c>
      <c r="OE34" s="160" t="s">
        <v>513</v>
      </c>
    </row>
    <row r="35" spans="1:395" s="5" customFormat="1" ht="12.75" hidden="1" customHeight="1" x14ac:dyDescent="0.25">
      <c r="A35" s="62">
        <v>44509</v>
      </c>
      <c r="B35" s="116" t="s">
        <v>298</v>
      </c>
      <c r="C35" s="129"/>
      <c r="D35" s="129"/>
      <c r="E35" s="130"/>
      <c r="F35" s="130"/>
      <c r="G35" s="130"/>
      <c r="H35" s="130"/>
      <c r="I35" s="130"/>
      <c r="J35" s="130"/>
      <c r="K35" s="130"/>
      <c r="L35" s="130"/>
      <c r="M35" s="131"/>
      <c r="N35" s="131"/>
      <c r="O35" s="131"/>
      <c r="P35" s="131"/>
      <c r="Q35" s="131"/>
      <c r="R35" s="131"/>
      <c r="S35" s="131"/>
      <c r="T35" s="131"/>
      <c r="U35" s="131"/>
      <c r="V35" s="131"/>
      <c r="W35" s="131"/>
      <c r="X35" s="131"/>
      <c r="Y35" s="131"/>
      <c r="Z35" s="131"/>
      <c r="AA35" s="131"/>
      <c r="AB35" s="131"/>
      <c r="AC35" s="131"/>
      <c r="AD35" s="131"/>
      <c r="AE35" s="131"/>
      <c r="AF35" s="131"/>
      <c r="AG35" s="131"/>
      <c r="AH35" s="131"/>
      <c r="AI35" s="131"/>
      <c r="AJ35" s="131"/>
      <c r="AK35" s="131"/>
      <c r="AL35" s="131"/>
      <c r="AM35" s="131"/>
      <c r="AN35" s="131"/>
      <c r="AO35" s="131"/>
      <c r="AP35" s="131"/>
      <c r="AQ35" s="131"/>
      <c r="AR35" s="131"/>
      <c r="AS35" s="131"/>
      <c r="AT35" s="131"/>
      <c r="AU35" s="131"/>
      <c r="AV35" s="131"/>
      <c r="AW35" s="131"/>
      <c r="AX35" s="131"/>
      <c r="AY35" s="131"/>
      <c r="AZ35" s="131"/>
      <c r="BA35" s="131"/>
      <c r="BB35" s="131"/>
      <c r="BC35" s="131"/>
      <c r="BD35" s="131"/>
      <c r="BE35" s="131"/>
      <c r="BF35" s="131"/>
      <c r="BG35" s="131"/>
      <c r="BH35" s="131"/>
      <c r="BI35" s="131"/>
      <c r="BJ35" s="131"/>
      <c r="BK35" s="131"/>
      <c r="BL35" s="131"/>
      <c r="BM35" s="131"/>
      <c r="BN35" s="131"/>
      <c r="BO35" s="131"/>
      <c r="BP35" s="131"/>
      <c r="BQ35" s="131"/>
      <c r="BR35" s="131"/>
      <c r="BS35" s="131"/>
      <c r="BT35" s="131"/>
      <c r="BU35" s="131"/>
      <c r="BV35" s="131"/>
      <c r="BW35" s="131"/>
      <c r="BX35" s="131"/>
      <c r="BY35" s="131"/>
      <c r="BZ35" s="131"/>
      <c r="CA35" s="131"/>
      <c r="CB35" s="131"/>
      <c r="CC35" s="131"/>
      <c r="CD35" s="131"/>
      <c r="CE35" s="131"/>
      <c r="CF35" s="131"/>
      <c r="CG35" s="131"/>
      <c r="CH35" s="131"/>
      <c r="CI35" s="131"/>
      <c r="CJ35" s="131"/>
      <c r="CK35" s="131"/>
      <c r="CL35" s="131"/>
      <c r="CM35" s="131"/>
      <c r="CN35" s="131"/>
      <c r="CO35" s="131"/>
      <c r="CP35" s="131"/>
      <c r="CQ35" s="131"/>
      <c r="CR35" s="131"/>
      <c r="CS35" s="131"/>
      <c r="CT35" s="131"/>
      <c r="CU35" s="131"/>
      <c r="CV35" s="131"/>
      <c r="CW35" s="131"/>
      <c r="CX35" s="131"/>
      <c r="CY35" s="131"/>
      <c r="CZ35" s="131"/>
      <c r="DA35" s="131"/>
      <c r="DB35" s="131"/>
      <c r="DC35" s="131"/>
      <c r="DD35" s="131"/>
      <c r="DE35" s="131"/>
      <c r="DF35" s="131"/>
      <c r="DG35" s="131"/>
      <c r="DH35" s="131"/>
      <c r="DI35" s="131"/>
      <c r="DJ35" s="131"/>
      <c r="DK35" s="131"/>
      <c r="DL35" s="131"/>
      <c r="DM35" s="131"/>
      <c r="DN35" s="131"/>
      <c r="DO35" s="131"/>
      <c r="DP35" s="131"/>
      <c r="DQ35" s="131"/>
      <c r="DR35" s="131"/>
      <c r="DS35" s="131"/>
      <c r="DT35" s="131"/>
      <c r="DU35" s="131"/>
      <c r="DV35" s="131"/>
      <c r="DW35" s="131"/>
      <c r="DX35" s="131"/>
      <c r="DY35" s="131"/>
      <c r="DZ35" s="131"/>
      <c r="EA35" s="131"/>
      <c r="EB35" s="131"/>
      <c r="EC35" s="131"/>
      <c r="ED35" s="131"/>
      <c r="EE35" s="131"/>
      <c r="EF35" s="131"/>
      <c r="EG35" s="131"/>
      <c r="EH35" s="131"/>
      <c r="EI35" s="131"/>
      <c r="EJ35" s="131"/>
      <c r="EK35" s="131"/>
      <c r="EL35" s="131"/>
      <c r="EM35" s="131"/>
      <c r="EN35" s="131"/>
      <c r="EO35" s="131"/>
      <c r="EP35" s="131"/>
      <c r="EQ35" s="131"/>
      <c r="ER35" s="131"/>
      <c r="ES35" s="131"/>
      <c r="ET35" s="131"/>
      <c r="EU35" s="131"/>
      <c r="EV35" s="131"/>
      <c r="EW35" s="131"/>
      <c r="EX35" s="131"/>
      <c r="EY35" s="131"/>
      <c r="EZ35" s="131"/>
      <c r="FA35" s="131"/>
      <c r="FB35" s="131"/>
      <c r="FC35" s="131"/>
      <c r="FD35" s="131"/>
      <c r="FE35" s="131"/>
      <c r="FF35" s="131"/>
      <c r="FG35" s="131"/>
      <c r="FH35" s="131"/>
      <c r="FI35" s="131"/>
      <c r="FJ35" s="131"/>
      <c r="FK35" s="131"/>
      <c r="FL35" s="131"/>
      <c r="FM35" s="131"/>
      <c r="FN35" s="131"/>
      <c r="FO35" s="131"/>
      <c r="FP35" s="131"/>
      <c r="FQ35" s="131"/>
      <c r="FR35" s="131"/>
      <c r="FS35" s="131"/>
      <c r="FT35" s="131"/>
      <c r="FU35" s="131"/>
      <c r="FV35" s="131"/>
      <c r="FW35" s="131"/>
      <c r="FX35" s="131"/>
      <c r="FY35" s="131"/>
      <c r="FZ35" s="131"/>
      <c r="GA35" s="131"/>
      <c r="GB35" s="131"/>
      <c r="GC35" s="131"/>
      <c r="GD35" s="131"/>
      <c r="GE35" s="131"/>
      <c r="GF35" s="131"/>
      <c r="GG35" s="131"/>
      <c r="GH35" s="131"/>
      <c r="GI35" s="131"/>
      <c r="GJ35" s="131"/>
      <c r="GK35" s="131"/>
      <c r="GL35" s="131"/>
      <c r="GM35" s="131"/>
      <c r="GN35" s="131"/>
      <c r="GO35" s="131"/>
      <c r="GP35" s="131"/>
      <c r="GQ35" s="131"/>
      <c r="GR35" s="131"/>
      <c r="GS35" s="131"/>
      <c r="GT35" s="131"/>
      <c r="GU35" s="131"/>
      <c r="GV35" s="131"/>
      <c r="GW35" s="131"/>
      <c r="GX35" s="131"/>
      <c r="GY35" s="131"/>
      <c r="GZ35" s="131"/>
      <c r="HA35" s="131"/>
      <c r="HB35" s="131"/>
      <c r="HC35" s="131"/>
      <c r="HD35" s="131"/>
      <c r="HE35" s="131"/>
      <c r="HF35" s="131"/>
      <c r="HG35" s="131"/>
      <c r="HH35" s="131"/>
      <c r="HI35" s="131"/>
      <c r="HJ35" s="131"/>
      <c r="HK35" s="131"/>
      <c r="HL35" s="131"/>
      <c r="HM35" s="131"/>
      <c r="HN35" s="131"/>
      <c r="HO35" s="131"/>
      <c r="HP35" s="131"/>
      <c r="HQ35" s="131"/>
      <c r="HR35" s="131"/>
      <c r="HS35" s="131"/>
      <c r="HT35" s="131"/>
      <c r="HU35" s="131"/>
      <c r="HV35" s="131"/>
      <c r="HW35" s="131"/>
      <c r="HX35" s="131"/>
      <c r="HY35" s="131"/>
      <c r="HZ35" s="131"/>
      <c r="IA35" s="131"/>
      <c r="IB35" s="131"/>
      <c r="IC35" s="131"/>
      <c r="ID35" s="131"/>
      <c r="IE35" s="131"/>
      <c r="IF35" s="131"/>
      <c r="IG35" s="131"/>
      <c r="IH35" s="131"/>
      <c r="II35" s="131"/>
      <c r="IJ35" s="131"/>
      <c r="IK35" s="131"/>
      <c r="IL35" s="131"/>
      <c r="IM35" s="131"/>
      <c r="IN35" s="131"/>
      <c r="IO35" s="131"/>
      <c r="IP35" s="131"/>
      <c r="IQ35" s="131"/>
      <c r="IR35" s="131"/>
      <c r="IS35" s="131"/>
      <c r="IT35" s="131"/>
      <c r="IU35" s="131"/>
      <c r="IV35" s="131"/>
      <c r="IW35" s="131"/>
      <c r="IX35" s="131"/>
      <c r="IY35" s="131"/>
      <c r="IZ35" s="131"/>
      <c r="JA35" s="131"/>
      <c r="JB35" s="131"/>
      <c r="JC35" s="131"/>
      <c r="JD35" s="131"/>
      <c r="JE35" s="131"/>
      <c r="JF35" s="131"/>
      <c r="JG35" s="131"/>
      <c r="JH35" s="131"/>
      <c r="JI35" s="131"/>
      <c r="JJ35" s="131"/>
      <c r="JK35" s="131"/>
      <c r="JL35" s="131"/>
      <c r="JM35" s="131"/>
      <c r="JN35" s="131"/>
      <c r="JO35" s="131"/>
      <c r="JP35" s="131"/>
      <c r="JQ35" s="131"/>
      <c r="JR35" s="131"/>
      <c r="JS35" s="131"/>
      <c r="JT35" s="131"/>
      <c r="JU35" s="131"/>
      <c r="JV35" s="131"/>
      <c r="JW35" s="131"/>
      <c r="JX35" s="131"/>
      <c r="JY35" s="131"/>
      <c r="JZ35" s="131"/>
      <c r="KA35" s="131"/>
      <c r="KB35" s="131"/>
      <c r="KC35" s="131"/>
      <c r="KD35" s="131"/>
      <c r="KE35" s="131"/>
      <c r="KF35" s="131"/>
      <c r="KG35" s="131"/>
      <c r="KH35" s="131"/>
      <c r="KI35" s="131"/>
      <c r="KJ35" s="131"/>
      <c r="KK35" s="131"/>
      <c r="KL35" s="131"/>
      <c r="KM35" s="131"/>
      <c r="KN35" s="131"/>
      <c r="KO35" s="131"/>
      <c r="KP35" s="131"/>
      <c r="KQ35" s="131"/>
      <c r="KR35" s="131"/>
      <c r="KS35" s="131"/>
      <c r="KT35" s="131"/>
      <c r="KU35" s="131"/>
      <c r="KV35" s="131"/>
      <c r="KW35" s="131"/>
      <c r="KX35" s="131"/>
      <c r="KY35" s="131"/>
      <c r="KZ35" s="131"/>
      <c r="LA35" s="131"/>
      <c r="LB35" s="131"/>
      <c r="LC35" s="131"/>
      <c r="LD35" s="131"/>
      <c r="LE35" s="131"/>
      <c r="LF35" s="131"/>
      <c r="LG35" s="131"/>
      <c r="LH35" s="131"/>
      <c r="LI35" s="131"/>
      <c r="LJ35" s="131"/>
      <c r="LK35" s="131"/>
      <c r="LL35" s="131"/>
      <c r="LM35" s="131"/>
      <c r="LN35" s="131"/>
      <c r="LO35" s="131"/>
      <c r="LP35" s="131"/>
      <c r="LQ35" s="131"/>
      <c r="LR35" s="131"/>
      <c r="LS35" s="131"/>
      <c r="LT35" s="131"/>
      <c r="LU35" s="131"/>
      <c r="LV35" s="131"/>
      <c r="LW35" s="131"/>
      <c r="LX35" s="131"/>
      <c r="LY35" s="131"/>
      <c r="LZ35" s="131"/>
      <c r="MA35" s="131"/>
      <c r="MB35" s="131"/>
      <c r="MC35" s="131"/>
      <c r="MD35" s="131"/>
      <c r="ME35" s="131"/>
      <c r="MF35" s="131"/>
      <c r="MG35" s="131"/>
      <c r="MH35" s="131"/>
      <c r="MI35" s="131"/>
      <c r="MJ35" s="131"/>
      <c r="MK35" s="131"/>
      <c r="ML35" s="131"/>
      <c r="MM35" s="131"/>
      <c r="MN35" s="131"/>
      <c r="MO35" s="131"/>
      <c r="MP35" s="131"/>
      <c r="MQ35" s="131"/>
      <c r="MR35" s="131"/>
      <c r="MS35" s="131"/>
      <c r="MT35" s="131"/>
      <c r="MU35" s="131"/>
      <c r="MV35" s="131"/>
      <c r="MW35" s="131"/>
      <c r="MX35" s="131"/>
      <c r="MY35" s="131"/>
      <c r="MZ35" s="131"/>
      <c r="NA35" s="131"/>
      <c r="NB35" s="131"/>
      <c r="NC35" s="131"/>
      <c r="ND35" s="131"/>
      <c r="NE35" s="131"/>
      <c r="NF35" s="131"/>
      <c r="NG35" s="131"/>
      <c r="NH35" s="131"/>
      <c r="NI35" s="131"/>
      <c r="NJ35" s="131"/>
      <c r="NK35" s="131"/>
      <c r="NL35" s="131"/>
      <c r="NM35" s="131"/>
      <c r="NN35" s="131"/>
      <c r="NO35" s="131"/>
      <c r="NP35" s="131"/>
      <c r="NQ35" s="131"/>
      <c r="NR35" s="131"/>
      <c r="NS35" s="131"/>
      <c r="NT35" s="131"/>
      <c r="NU35" s="131"/>
      <c r="NV35" s="131"/>
      <c r="NW35" s="24">
        <f t="shared" si="9"/>
        <v>0</v>
      </c>
      <c r="NX35" s="56" t="s">
        <v>97</v>
      </c>
      <c r="NY35" s="127">
        <v>592.05999999999995</v>
      </c>
      <c r="NZ35" s="78">
        <f t="shared" si="2"/>
        <v>592.05999999999995</v>
      </c>
      <c r="OA35" s="78">
        <v>443.7</v>
      </c>
      <c r="OB35" s="127">
        <f t="shared" si="0"/>
        <v>0</v>
      </c>
      <c r="OC35" s="153">
        <f>392.06+200</f>
        <v>592.05999999999995</v>
      </c>
      <c r="OD35" s="108">
        <f t="shared" si="10"/>
        <v>1.3343700698670271</v>
      </c>
      <c r="OE35" s="160" t="s">
        <v>516</v>
      </c>
    </row>
    <row r="36" spans="1:395" s="5" customFormat="1" ht="12.75" hidden="1" customHeight="1" x14ac:dyDescent="0.25">
      <c r="A36" s="62">
        <v>44509</v>
      </c>
      <c r="B36" s="106" t="s">
        <v>301</v>
      </c>
      <c r="C36" s="129"/>
      <c r="D36" s="129"/>
      <c r="E36" s="130"/>
      <c r="F36" s="130"/>
      <c r="G36" s="130"/>
      <c r="H36" s="130"/>
      <c r="I36" s="130"/>
      <c r="J36" s="130"/>
      <c r="K36" s="130"/>
      <c r="L36" s="130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131"/>
      <c r="Z36" s="131"/>
      <c r="AA36" s="131"/>
      <c r="AB36" s="131"/>
      <c r="AC36" s="131"/>
      <c r="AD36" s="131"/>
      <c r="AE36" s="131"/>
      <c r="AF36" s="131"/>
      <c r="AG36" s="131"/>
      <c r="AH36" s="131"/>
      <c r="AI36" s="131"/>
      <c r="AJ36" s="131"/>
      <c r="AK36" s="131"/>
      <c r="AL36" s="131"/>
      <c r="AM36" s="131"/>
      <c r="AN36" s="131"/>
      <c r="AO36" s="131"/>
      <c r="AP36" s="131"/>
      <c r="AQ36" s="131"/>
      <c r="AR36" s="131"/>
      <c r="AS36" s="131"/>
      <c r="AT36" s="131"/>
      <c r="AU36" s="131"/>
      <c r="AV36" s="131"/>
      <c r="AW36" s="131"/>
      <c r="AX36" s="131"/>
      <c r="AY36" s="131"/>
      <c r="AZ36" s="131"/>
      <c r="BA36" s="131"/>
      <c r="BB36" s="131"/>
      <c r="BC36" s="131"/>
      <c r="BD36" s="131"/>
      <c r="BE36" s="131"/>
      <c r="BF36" s="131"/>
      <c r="BG36" s="131"/>
      <c r="BH36" s="131"/>
      <c r="BI36" s="131"/>
      <c r="BJ36" s="131"/>
      <c r="BK36" s="131"/>
      <c r="BL36" s="131"/>
      <c r="BM36" s="131"/>
      <c r="BN36" s="131"/>
      <c r="BO36" s="131"/>
      <c r="BP36" s="131"/>
      <c r="BQ36" s="131"/>
      <c r="BR36" s="131"/>
      <c r="BS36" s="131"/>
      <c r="BT36" s="131"/>
      <c r="BU36" s="131"/>
      <c r="BV36" s="131"/>
      <c r="BW36" s="131"/>
      <c r="BX36" s="131"/>
      <c r="BY36" s="131"/>
      <c r="BZ36" s="131"/>
      <c r="CA36" s="131"/>
      <c r="CB36" s="131"/>
      <c r="CC36" s="131"/>
      <c r="CD36" s="131"/>
      <c r="CE36" s="131"/>
      <c r="CF36" s="131"/>
      <c r="CG36" s="131"/>
      <c r="CH36" s="131"/>
      <c r="CI36" s="131"/>
      <c r="CJ36" s="131"/>
      <c r="CK36" s="131"/>
      <c r="CL36" s="131"/>
      <c r="CM36" s="131"/>
      <c r="CN36" s="131"/>
      <c r="CO36" s="131"/>
      <c r="CP36" s="131"/>
      <c r="CQ36" s="131"/>
      <c r="CR36" s="131"/>
      <c r="CS36" s="131"/>
      <c r="CT36" s="131"/>
      <c r="CU36" s="131"/>
      <c r="CV36" s="131"/>
      <c r="CW36" s="131"/>
      <c r="CX36" s="131"/>
      <c r="CY36" s="131"/>
      <c r="CZ36" s="131"/>
      <c r="DA36" s="131"/>
      <c r="DB36" s="131"/>
      <c r="DC36" s="131"/>
      <c r="DD36" s="131"/>
      <c r="DE36" s="131"/>
      <c r="DF36" s="131"/>
      <c r="DG36" s="131"/>
      <c r="DH36" s="131"/>
      <c r="DI36" s="131"/>
      <c r="DJ36" s="131"/>
      <c r="DK36" s="131"/>
      <c r="DL36" s="131"/>
      <c r="DM36" s="131"/>
      <c r="DN36" s="131"/>
      <c r="DO36" s="131"/>
      <c r="DP36" s="131"/>
      <c r="DQ36" s="131"/>
      <c r="DR36" s="131"/>
      <c r="DS36" s="131"/>
      <c r="DT36" s="131"/>
      <c r="DU36" s="131"/>
      <c r="DV36" s="131"/>
      <c r="DW36" s="131"/>
      <c r="DX36" s="131"/>
      <c r="DY36" s="131"/>
      <c r="DZ36" s="131"/>
      <c r="EA36" s="131"/>
      <c r="EB36" s="131"/>
      <c r="EC36" s="131"/>
      <c r="ED36" s="131"/>
      <c r="EE36" s="131"/>
      <c r="EF36" s="131"/>
      <c r="EG36" s="131"/>
      <c r="EH36" s="131"/>
      <c r="EI36" s="131"/>
      <c r="EJ36" s="131"/>
      <c r="EK36" s="131"/>
      <c r="EL36" s="131"/>
      <c r="EM36" s="131"/>
      <c r="EN36" s="131"/>
      <c r="EO36" s="131"/>
      <c r="EP36" s="131"/>
      <c r="EQ36" s="131"/>
      <c r="ER36" s="131"/>
      <c r="ES36" s="131"/>
      <c r="ET36" s="131"/>
      <c r="EU36" s="131"/>
      <c r="EV36" s="131"/>
      <c r="EW36" s="131"/>
      <c r="EX36" s="131"/>
      <c r="EY36" s="131"/>
      <c r="EZ36" s="131"/>
      <c r="FA36" s="131"/>
      <c r="FB36" s="131"/>
      <c r="FC36" s="131"/>
      <c r="FD36" s="131"/>
      <c r="FE36" s="131"/>
      <c r="FF36" s="131"/>
      <c r="FG36" s="131"/>
      <c r="FH36" s="131"/>
      <c r="FI36" s="131"/>
      <c r="FJ36" s="131"/>
      <c r="FK36" s="131"/>
      <c r="FL36" s="131"/>
      <c r="FM36" s="131"/>
      <c r="FN36" s="131"/>
      <c r="FO36" s="131"/>
      <c r="FP36" s="131"/>
      <c r="FQ36" s="131"/>
      <c r="FR36" s="131"/>
      <c r="FS36" s="131"/>
      <c r="FT36" s="131"/>
      <c r="FU36" s="131"/>
      <c r="FV36" s="131"/>
      <c r="FW36" s="131"/>
      <c r="FX36" s="131"/>
      <c r="FY36" s="131"/>
      <c r="FZ36" s="131"/>
      <c r="GA36" s="131"/>
      <c r="GB36" s="131"/>
      <c r="GC36" s="131"/>
      <c r="GD36" s="131"/>
      <c r="GE36" s="131"/>
      <c r="GF36" s="131"/>
      <c r="GG36" s="131"/>
      <c r="GH36" s="131"/>
      <c r="GI36" s="131"/>
      <c r="GJ36" s="131"/>
      <c r="GK36" s="131"/>
      <c r="GL36" s="131"/>
      <c r="GM36" s="131"/>
      <c r="GN36" s="131"/>
      <c r="GO36" s="131"/>
      <c r="GP36" s="131"/>
      <c r="GQ36" s="131"/>
      <c r="GR36" s="131"/>
      <c r="GS36" s="131"/>
      <c r="GT36" s="131"/>
      <c r="GU36" s="131"/>
      <c r="GV36" s="131"/>
      <c r="GW36" s="131"/>
      <c r="GX36" s="131"/>
      <c r="GY36" s="131"/>
      <c r="GZ36" s="131"/>
      <c r="HA36" s="131"/>
      <c r="HB36" s="131"/>
      <c r="HC36" s="131"/>
      <c r="HD36" s="131"/>
      <c r="HE36" s="131"/>
      <c r="HF36" s="131"/>
      <c r="HG36" s="131"/>
      <c r="HH36" s="131"/>
      <c r="HI36" s="131"/>
      <c r="HJ36" s="131"/>
      <c r="HK36" s="131"/>
      <c r="HL36" s="131"/>
      <c r="HM36" s="131"/>
      <c r="HN36" s="131"/>
      <c r="HO36" s="131"/>
      <c r="HP36" s="131"/>
      <c r="HQ36" s="131"/>
      <c r="HR36" s="131"/>
      <c r="HS36" s="131"/>
      <c r="HT36" s="131"/>
      <c r="HU36" s="131"/>
      <c r="HV36" s="131"/>
      <c r="HW36" s="131"/>
      <c r="HX36" s="131"/>
      <c r="HY36" s="131"/>
      <c r="HZ36" s="131"/>
      <c r="IA36" s="131"/>
      <c r="IB36" s="131"/>
      <c r="IC36" s="131"/>
      <c r="ID36" s="131"/>
      <c r="IE36" s="131"/>
      <c r="IF36" s="131"/>
      <c r="IG36" s="131"/>
      <c r="IH36" s="131"/>
      <c r="II36" s="131"/>
      <c r="IJ36" s="131"/>
      <c r="IK36" s="131"/>
      <c r="IL36" s="131"/>
      <c r="IM36" s="131"/>
      <c r="IN36" s="131"/>
      <c r="IO36" s="131"/>
      <c r="IP36" s="131"/>
      <c r="IQ36" s="131"/>
      <c r="IR36" s="131"/>
      <c r="IS36" s="131"/>
      <c r="IT36" s="131"/>
      <c r="IU36" s="131"/>
      <c r="IV36" s="131"/>
      <c r="IW36" s="131"/>
      <c r="IX36" s="131"/>
      <c r="IY36" s="131"/>
      <c r="IZ36" s="131"/>
      <c r="JA36" s="131"/>
      <c r="JB36" s="131"/>
      <c r="JC36" s="131"/>
      <c r="JD36" s="131"/>
      <c r="JE36" s="131"/>
      <c r="JF36" s="131"/>
      <c r="JG36" s="131"/>
      <c r="JH36" s="131"/>
      <c r="JI36" s="131"/>
      <c r="JJ36" s="131"/>
      <c r="JK36" s="131"/>
      <c r="JL36" s="131"/>
      <c r="JM36" s="131"/>
      <c r="JN36" s="131"/>
      <c r="JO36" s="131"/>
      <c r="JP36" s="131"/>
      <c r="JQ36" s="131"/>
      <c r="JR36" s="131"/>
      <c r="JS36" s="131"/>
      <c r="JT36" s="131"/>
      <c r="JU36" s="131"/>
      <c r="JV36" s="131"/>
      <c r="JW36" s="131"/>
      <c r="JX36" s="131"/>
      <c r="JY36" s="131"/>
      <c r="JZ36" s="131"/>
      <c r="KA36" s="131"/>
      <c r="KB36" s="131"/>
      <c r="KC36" s="131"/>
      <c r="KD36" s="131"/>
      <c r="KE36" s="131"/>
      <c r="KF36" s="131"/>
      <c r="KG36" s="131"/>
      <c r="KH36" s="131"/>
      <c r="KI36" s="131"/>
      <c r="KJ36" s="131"/>
      <c r="KK36" s="131"/>
      <c r="KL36" s="131"/>
      <c r="KM36" s="131"/>
      <c r="KN36" s="131"/>
      <c r="KO36" s="131"/>
      <c r="KP36" s="131"/>
      <c r="KQ36" s="131"/>
      <c r="KR36" s="131"/>
      <c r="KS36" s="131"/>
      <c r="KT36" s="131"/>
      <c r="KU36" s="131"/>
      <c r="KV36" s="131"/>
      <c r="KW36" s="131"/>
      <c r="KX36" s="131"/>
      <c r="KY36" s="131"/>
      <c r="KZ36" s="131"/>
      <c r="LA36" s="131"/>
      <c r="LB36" s="131"/>
      <c r="LC36" s="131"/>
      <c r="LD36" s="131"/>
      <c r="LE36" s="131"/>
      <c r="LF36" s="131"/>
      <c r="LG36" s="131"/>
      <c r="LH36" s="131"/>
      <c r="LI36" s="131"/>
      <c r="LJ36" s="131"/>
      <c r="LK36" s="131"/>
      <c r="LL36" s="131"/>
      <c r="LM36" s="131"/>
      <c r="LN36" s="131"/>
      <c r="LO36" s="131"/>
      <c r="LP36" s="131"/>
      <c r="LQ36" s="131"/>
      <c r="LR36" s="131"/>
      <c r="LS36" s="131"/>
      <c r="LT36" s="131"/>
      <c r="LU36" s="131"/>
      <c r="LV36" s="131"/>
      <c r="LW36" s="131"/>
      <c r="LX36" s="131"/>
      <c r="LY36" s="131"/>
      <c r="LZ36" s="131"/>
      <c r="MA36" s="131"/>
      <c r="MB36" s="131"/>
      <c r="MC36" s="131"/>
      <c r="MD36" s="131"/>
      <c r="ME36" s="131"/>
      <c r="MF36" s="131"/>
      <c r="MG36" s="131"/>
      <c r="MH36" s="131"/>
      <c r="MI36" s="131"/>
      <c r="MJ36" s="131"/>
      <c r="MK36" s="131"/>
      <c r="ML36" s="131"/>
      <c r="MM36" s="131"/>
      <c r="MN36" s="131"/>
      <c r="MO36" s="131"/>
      <c r="MP36" s="131"/>
      <c r="MQ36" s="131"/>
      <c r="MR36" s="131"/>
      <c r="MS36" s="131"/>
      <c r="MT36" s="131"/>
      <c r="MU36" s="131"/>
      <c r="MV36" s="131"/>
      <c r="MW36" s="131"/>
      <c r="MX36" s="131"/>
      <c r="MY36" s="131"/>
      <c r="MZ36" s="131"/>
      <c r="NA36" s="131"/>
      <c r="NB36" s="131"/>
      <c r="NC36" s="131"/>
      <c r="ND36" s="131"/>
      <c r="NE36" s="131"/>
      <c r="NF36" s="131"/>
      <c r="NG36" s="131"/>
      <c r="NH36" s="131"/>
      <c r="NI36" s="131"/>
      <c r="NJ36" s="131"/>
      <c r="NK36" s="131"/>
      <c r="NL36" s="131"/>
      <c r="NM36" s="131"/>
      <c r="NN36" s="131"/>
      <c r="NO36" s="131"/>
      <c r="NP36" s="131"/>
      <c r="NQ36" s="131"/>
      <c r="NR36" s="131"/>
      <c r="NS36" s="131"/>
      <c r="NT36" s="131"/>
      <c r="NU36" s="131"/>
      <c r="NV36" s="131"/>
      <c r="NW36" s="24">
        <f t="shared" si="9"/>
        <v>0</v>
      </c>
      <c r="NX36" s="56" t="s">
        <v>36</v>
      </c>
      <c r="NY36" s="127">
        <v>7644</v>
      </c>
      <c r="NZ36" s="78">
        <f t="shared" si="2"/>
        <v>7644</v>
      </c>
      <c r="OA36" s="78">
        <v>4435.3999999999996</v>
      </c>
      <c r="OB36" s="127">
        <f t="shared" si="0"/>
        <v>0</v>
      </c>
      <c r="OC36" s="153">
        <f>5008.2+2635.8</f>
        <v>7644</v>
      </c>
      <c r="OD36" s="108">
        <f t="shared" si="10"/>
        <v>1.7234071335167067</v>
      </c>
      <c r="OE36" s="160" t="s">
        <v>514</v>
      </c>
    </row>
    <row r="37" spans="1:395" s="5" customFormat="1" ht="12.75" hidden="1" customHeight="1" x14ac:dyDescent="0.25">
      <c r="A37" s="62">
        <v>44509</v>
      </c>
      <c r="B37" s="106" t="s">
        <v>45</v>
      </c>
      <c r="C37" s="129"/>
      <c r="D37" s="129"/>
      <c r="E37" s="130"/>
      <c r="F37" s="130"/>
      <c r="G37" s="130"/>
      <c r="H37" s="130"/>
      <c r="I37" s="130"/>
      <c r="J37" s="130"/>
      <c r="K37" s="130"/>
      <c r="L37" s="130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131"/>
      <c r="BW37" s="131"/>
      <c r="BX37" s="131"/>
      <c r="BY37" s="131"/>
      <c r="BZ37" s="131"/>
      <c r="CA37" s="131"/>
      <c r="CB37" s="131"/>
      <c r="CC37" s="131"/>
      <c r="CD37" s="131"/>
      <c r="CE37" s="131"/>
      <c r="CF37" s="131"/>
      <c r="CG37" s="131"/>
      <c r="CH37" s="131"/>
      <c r="CI37" s="131"/>
      <c r="CJ37" s="131"/>
      <c r="CK37" s="131"/>
      <c r="CL37" s="131"/>
      <c r="CM37" s="131"/>
      <c r="CN37" s="131"/>
      <c r="CO37" s="131"/>
      <c r="CP37" s="131"/>
      <c r="CQ37" s="131"/>
      <c r="CR37" s="131"/>
      <c r="CS37" s="131"/>
      <c r="CT37" s="131"/>
      <c r="CU37" s="131"/>
      <c r="CV37" s="131"/>
      <c r="CW37" s="131"/>
      <c r="CX37" s="131"/>
      <c r="CY37" s="131"/>
      <c r="CZ37" s="131"/>
      <c r="DA37" s="131"/>
      <c r="DB37" s="131"/>
      <c r="DC37" s="131"/>
      <c r="DD37" s="131"/>
      <c r="DE37" s="131"/>
      <c r="DF37" s="131"/>
      <c r="DG37" s="131"/>
      <c r="DH37" s="131"/>
      <c r="DI37" s="131"/>
      <c r="DJ37" s="131"/>
      <c r="DK37" s="131"/>
      <c r="DL37" s="131"/>
      <c r="DM37" s="131"/>
      <c r="DN37" s="131"/>
      <c r="DO37" s="131"/>
      <c r="DP37" s="131"/>
      <c r="DQ37" s="131"/>
      <c r="DR37" s="131"/>
      <c r="DS37" s="131"/>
      <c r="DT37" s="131"/>
      <c r="DU37" s="131"/>
      <c r="DV37" s="131"/>
      <c r="DW37" s="131"/>
      <c r="DX37" s="131"/>
      <c r="DY37" s="131"/>
      <c r="DZ37" s="131"/>
      <c r="EA37" s="131"/>
      <c r="EB37" s="131"/>
      <c r="EC37" s="131"/>
      <c r="ED37" s="131"/>
      <c r="EE37" s="131"/>
      <c r="EF37" s="131"/>
      <c r="EG37" s="131"/>
      <c r="EH37" s="131"/>
      <c r="EI37" s="131"/>
      <c r="EJ37" s="131"/>
      <c r="EK37" s="131"/>
      <c r="EL37" s="131"/>
      <c r="EM37" s="131"/>
      <c r="EN37" s="131"/>
      <c r="EO37" s="131"/>
      <c r="EP37" s="131"/>
      <c r="EQ37" s="131"/>
      <c r="ER37" s="131"/>
      <c r="ES37" s="131"/>
      <c r="ET37" s="131"/>
      <c r="EU37" s="131"/>
      <c r="EV37" s="131"/>
      <c r="EW37" s="131"/>
      <c r="EX37" s="131"/>
      <c r="EY37" s="131"/>
      <c r="EZ37" s="131"/>
      <c r="FA37" s="131"/>
      <c r="FB37" s="131"/>
      <c r="FC37" s="131"/>
      <c r="FD37" s="131"/>
      <c r="FE37" s="131"/>
      <c r="FF37" s="131"/>
      <c r="FG37" s="131"/>
      <c r="FH37" s="131"/>
      <c r="FI37" s="131"/>
      <c r="FJ37" s="131"/>
      <c r="FK37" s="131"/>
      <c r="FL37" s="131"/>
      <c r="FM37" s="131"/>
      <c r="FN37" s="131"/>
      <c r="FO37" s="131"/>
      <c r="FP37" s="131"/>
      <c r="FQ37" s="131"/>
      <c r="FR37" s="131"/>
      <c r="FS37" s="131"/>
      <c r="FT37" s="131"/>
      <c r="FU37" s="131"/>
      <c r="FV37" s="131"/>
      <c r="FW37" s="131"/>
      <c r="FX37" s="131"/>
      <c r="FY37" s="131"/>
      <c r="FZ37" s="131"/>
      <c r="GA37" s="131"/>
      <c r="GB37" s="131"/>
      <c r="GC37" s="131"/>
      <c r="GD37" s="131"/>
      <c r="GE37" s="131"/>
      <c r="GF37" s="131"/>
      <c r="GG37" s="131"/>
      <c r="GH37" s="131"/>
      <c r="GI37" s="131"/>
      <c r="GJ37" s="131"/>
      <c r="GK37" s="131"/>
      <c r="GL37" s="131"/>
      <c r="GM37" s="131"/>
      <c r="GN37" s="131"/>
      <c r="GO37" s="131"/>
      <c r="GP37" s="131"/>
      <c r="GQ37" s="131"/>
      <c r="GR37" s="131"/>
      <c r="GS37" s="131"/>
      <c r="GT37" s="131"/>
      <c r="GU37" s="131"/>
      <c r="GV37" s="131"/>
      <c r="GW37" s="131"/>
      <c r="GX37" s="131"/>
      <c r="GY37" s="131"/>
      <c r="GZ37" s="131"/>
      <c r="HA37" s="131"/>
      <c r="HB37" s="131"/>
      <c r="HC37" s="131"/>
      <c r="HD37" s="131"/>
      <c r="HE37" s="131"/>
      <c r="HF37" s="131"/>
      <c r="HG37" s="131"/>
      <c r="HH37" s="131"/>
      <c r="HI37" s="131"/>
      <c r="HJ37" s="131"/>
      <c r="HK37" s="131"/>
      <c r="HL37" s="131"/>
      <c r="HM37" s="131"/>
      <c r="HN37" s="131"/>
      <c r="HO37" s="131"/>
      <c r="HP37" s="131"/>
      <c r="HQ37" s="131"/>
      <c r="HR37" s="131"/>
      <c r="HS37" s="131"/>
      <c r="HT37" s="131"/>
      <c r="HU37" s="131"/>
      <c r="HV37" s="131"/>
      <c r="HW37" s="131"/>
      <c r="HX37" s="131"/>
      <c r="HY37" s="131"/>
      <c r="HZ37" s="131"/>
      <c r="IA37" s="131"/>
      <c r="IB37" s="131"/>
      <c r="IC37" s="131"/>
      <c r="ID37" s="131"/>
      <c r="IE37" s="131"/>
      <c r="IF37" s="131"/>
      <c r="IG37" s="131"/>
      <c r="IH37" s="131"/>
      <c r="II37" s="131"/>
      <c r="IJ37" s="131"/>
      <c r="IK37" s="131"/>
      <c r="IL37" s="131"/>
      <c r="IM37" s="131"/>
      <c r="IN37" s="131"/>
      <c r="IO37" s="131"/>
      <c r="IP37" s="131"/>
      <c r="IQ37" s="131"/>
      <c r="IR37" s="131"/>
      <c r="IS37" s="131"/>
      <c r="IT37" s="131"/>
      <c r="IU37" s="131"/>
      <c r="IV37" s="131"/>
      <c r="IW37" s="131"/>
      <c r="IX37" s="131"/>
      <c r="IY37" s="131"/>
      <c r="IZ37" s="131"/>
      <c r="JA37" s="131"/>
      <c r="JB37" s="131"/>
      <c r="JC37" s="131"/>
      <c r="JD37" s="131"/>
      <c r="JE37" s="131"/>
      <c r="JF37" s="131"/>
      <c r="JG37" s="131"/>
      <c r="JH37" s="131"/>
      <c r="JI37" s="131"/>
      <c r="JJ37" s="131"/>
      <c r="JK37" s="131"/>
      <c r="JL37" s="131"/>
      <c r="JM37" s="131"/>
      <c r="JN37" s="131"/>
      <c r="JO37" s="131"/>
      <c r="JP37" s="131"/>
      <c r="JQ37" s="131"/>
      <c r="JR37" s="131"/>
      <c r="JS37" s="131"/>
      <c r="JT37" s="131"/>
      <c r="JU37" s="131"/>
      <c r="JV37" s="131"/>
      <c r="JW37" s="131"/>
      <c r="JX37" s="131"/>
      <c r="JY37" s="131"/>
      <c r="JZ37" s="131"/>
      <c r="KA37" s="131"/>
      <c r="KB37" s="131"/>
      <c r="KC37" s="131"/>
      <c r="KD37" s="131"/>
      <c r="KE37" s="131"/>
      <c r="KF37" s="131"/>
      <c r="KG37" s="131"/>
      <c r="KH37" s="131"/>
      <c r="KI37" s="131"/>
      <c r="KJ37" s="131"/>
      <c r="KK37" s="131"/>
      <c r="KL37" s="131"/>
      <c r="KM37" s="131"/>
      <c r="KN37" s="131"/>
      <c r="KO37" s="131"/>
      <c r="KP37" s="131"/>
      <c r="KQ37" s="131"/>
      <c r="KR37" s="131"/>
      <c r="KS37" s="131"/>
      <c r="KT37" s="131"/>
      <c r="KU37" s="131"/>
      <c r="KV37" s="131"/>
      <c r="KW37" s="131"/>
      <c r="KX37" s="131"/>
      <c r="KY37" s="131"/>
      <c r="KZ37" s="131"/>
      <c r="LA37" s="131"/>
      <c r="LB37" s="131"/>
      <c r="LC37" s="131"/>
      <c r="LD37" s="131"/>
      <c r="LE37" s="131"/>
      <c r="LF37" s="131"/>
      <c r="LG37" s="131"/>
      <c r="LH37" s="131"/>
      <c r="LI37" s="131"/>
      <c r="LJ37" s="131"/>
      <c r="LK37" s="131"/>
      <c r="LL37" s="131"/>
      <c r="LM37" s="131"/>
      <c r="LN37" s="131"/>
      <c r="LO37" s="131"/>
      <c r="LP37" s="131"/>
      <c r="LQ37" s="131"/>
      <c r="LR37" s="131"/>
      <c r="LS37" s="131"/>
      <c r="LT37" s="131"/>
      <c r="LU37" s="131"/>
      <c r="LV37" s="131"/>
      <c r="LW37" s="131"/>
      <c r="LX37" s="131"/>
      <c r="LY37" s="131"/>
      <c r="LZ37" s="131"/>
      <c r="MA37" s="131"/>
      <c r="MB37" s="131"/>
      <c r="MC37" s="131"/>
      <c r="MD37" s="131"/>
      <c r="ME37" s="131"/>
      <c r="MF37" s="131"/>
      <c r="MG37" s="131"/>
      <c r="MH37" s="131"/>
      <c r="MI37" s="131"/>
      <c r="MJ37" s="131"/>
      <c r="MK37" s="131"/>
      <c r="ML37" s="131"/>
      <c r="MM37" s="131"/>
      <c r="MN37" s="131"/>
      <c r="MO37" s="131"/>
      <c r="MP37" s="131"/>
      <c r="MQ37" s="131"/>
      <c r="MR37" s="131"/>
      <c r="MS37" s="131"/>
      <c r="MT37" s="131"/>
      <c r="MU37" s="131"/>
      <c r="MV37" s="131"/>
      <c r="MW37" s="131"/>
      <c r="MX37" s="131"/>
      <c r="MY37" s="131"/>
      <c r="MZ37" s="131"/>
      <c r="NA37" s="131"/>
      <c r="NB37" s="131"/>
      <c r="NC37" s="131"/>
      <c r="ND37" s="131"/>
      <c r="NE37" s="131"/>
      <c r="NF37" s="131"/>
      <c r="NG37" s="131"/>
      <c r="NH37" s="131"/>
      <c r="NI37" s="131"/>
      <c r="NJ37" s="131"/>
      <c r="NK37" s="131"/>
      <c r="NL37" s="131"/>
      <c r="NM37" s="131"/>
      <c r="NN37" s="131"/>
      <c r="NO37" s="131"/>
      <c r="NP37" s="131"/>
      <c r="NQ37" s="131"/>
      <c r="NR37" s="131"/>
      <c r="NS37" s="131"/>
      <c r="NT37" s="131"/>
      <c r="NU37" s="131"/>
      <c r="NV37" s="131"/>
      <c r="NW37" s="24">
        <f t="shared" si="9"/>
        <v>0</v>
      </c>
      <c r="NX37" s="56" t="s">
        <v>36</v>
      </c>
      <c r="NY37" s="127">
        <v>2000</v>
      </c>
      <c r="NZ37" s="78">
        <f t="shared" si="2"/>
        <v>2000</v>
      </c>
      <c r="OA37" s="78">
        <v>2189.08</v>
      </c>
      <c r="OB37" s="127">
        <f t="shared" si="0"/>
        <v>0</v>
      </c>
      <c r="OC37" s="153">
        <v>2000</v>
      </c>
      <c r="OD37" s="108">
        <f t="shared" si="10"/>
        <v>0.91362581541104027</v>
      </c>
      <c r="OE37" s="160" t="s">
        <v>515</v>
      </c>
    </row>
    <row r="38" spans="1:395" s="5" customFormat="1" ht="12.75" hidden="1" customHeight="1" x14ac:dyDescent="0.25">
      <c r="A38" s="62">
        <v>44511</v>
      </c>
      <c r="B38" s="106" t="s">
        <v>466</v>
      </c>
      <c r="C38" s="129"/>
      <c r="D38" s="129"/>
      <c r="E38" s="130"/>
      <c r="F38" s="130"/>
      <c r="G38" s="130"/>
      <c r="H38" s="130"/>
      <c r="I38" s="130"/>
      <c r="J38" s="130"/>
      <c r="K38" s="130"/>
      <c r="L38" s="130"/>
      <c r="M38" s="131"/>
      <c r="N38" s="131"/>
      <c r="O38" s="131"/>
      <c r="P38" s="131"/>
      <c r="Q38" s="131"/>
      <c r="R38" s="131"/>
      <c r="S38" s="131"/>
      <c r="T38" s="131"/>
      <c r="U38" s="131"/>
      <c r="V38" s="131"/>
      <c r="W38" s="131"/>
      <c r="X38" s="131"/>
      <c r="Y38" s="131"/>
      <c r="Z38" s="131"/>
      <c r="AA38" s="131"/>
      <c r="AB38" s="131"/>
      <c r="AC38" s="131"/>
      <c r="AD38" s="131"/>
      <c r="AE38" s="131"/>
      <c r="AF38" s="131"/>
      <c r="AG38" s="131"/>
      <c r="AH38" s="131"/>
      <c r="AI38" s="131"/>
      <c r="AJ38" s="131"/>
      <c r="AK38" s="131"/>
      <c r="AL38" s="131"/>
      <c r="AM38" s="131"/>
      <c r="AN38" s="131"/>
      <c r="AO38" s="131"/>
      <c r="AP38" s="131"/>
      <c r="AQ38" s="131"/>
      <c r="AR38" s="131"/>
      <c r="AS38" s="131"/>
      <c r="AT38" s="131"/>
      <c r="AU38" s="131"/>
      <c r="AV38" s="131"/>
      <c r="AW38" s="131"/>
      <c r="AX38" s="131"/>
      <c r="AY38" s="131"/>
      <c r="AZ38" s="131"/>
      <c r="BA38" s="131"/>
      <c r="BB38" s="131"/>
      <c r="BC38" s="131"/>
      <c r="BD38" s="131"/>
      <c r="BE38" s="131"/>
      <c r="BF38" s="131"/>
      <c r="BG38" s="131"/>
      <c r="BH38" s="131"/>
      <c r="BI38" s="131"/>
      <c r="BJ38" s="131"/>
      <c r="BK38" s="131"/>
      <c r="BL38" s="131"/>
      <c r="BM38" s="131"/>
      <c r="BN38" s="131"/>
      <c r="BO38" s="131"/>
      <c r="BP38" s="131"/>
      <c r="BQ38" s="131"/>
      <c r="BR38" s="131"/>
      <c r="BS38" s="131"/>
      <c r="BT38" s="131"/>
      <c r="BU38" s="131"/>
      <c r="BV38" s="131"/>
      <c r="BW38" s="131"/>
      <c r="BX38" s="131"/>
      <c r="BY38" s="131"/>
      <c r="BZ38" s="131"/>
      <c r="CA38" s="131"/>
      <c r="CB38" s="131"/>
      <c r="CC38" s="131"/>
      <c r="CD38" s="131"/>
      <c r="CE38" s="131"/>
      <c r="CF38" s="131"/>
      <c r="CG38" s="131"/>
      <c r="CH38" s="131"/>
      <c r="CI38" s="131"/>
      <c r="CJ38" s="131"/>
      <c r="CK38" s="131"/>
      <c r="CL38" s="131"/>
      <c r="CM38" s="131"/>
      <c r="CN38" s="131"/>
      <c r="CO38" s="131"/>
      <c r="CP38" s="131"/>
      <c r="CQ38" s="131"/>
      <c r="CR38" s="131"/>
      <c r="CS38" s="131"/>
      <c r="CT38" s="131"/>
      <c r="CU38" s="131"/>
      <c r="CV38" s="131"/>
      <c r="CW38" s="131"/>
      <c r="CX38" s="131"/>
      <c r="CY38" s="131"/>
      <c r="CZ38" s="131"/>
      <c r="DA38" s="131"/>
      <c r="DB38" s="131"/>
      <c r="DC38" s="131"/>
      <c r="DD38" s="131"/>
      <c r="DE38" s="131"/>
      <c r="DF38" s="131"/>
      <c r="DG38" s="131"/>
      <c r="DH38" s="131"/>
      <c r="DI38" s="131"/>
      <c r="DJ38" s="131"/>
      <c r="DK38" s="131"/>
      <c r="DL38" s="131"/>
      <c r="DM38" s="131"/>
      <c r="DN38" s="131"/>
      <c r="DO38" s="131"/>
      <c r="DP38" s="131"/>
      <c r="DQ38" s="131"/>
      <c r="DR38" s="131"/>
      <c r="DS38" s="131"/>
      <c r="DT38" s="131"/>
      <c r="DU38" s="131"/>
      <c r="DV38" s="131"/>
      <c r="DW38" s="131"/>
      <c r="DX38" s="131"/>
      <c r="DY38" s="131"/>
      <c r="DZ38" s="131"/>
      <c r="EA38" s="131"/>
      <c r="EB38" s="131"/>
      <c r="EC38" s="131"/>
      <c r="ED38" s="131"/>
      <c r="EE38" s="131"/>
      <c r="EF38" s="131"/>
      <c r="EG38" s="131"/>
      <c r="EH38" s="131"/>
      <c r="EI38" s="131"/>
      <c r="EJ38" s="131"/>
      <c r="EK38" s="131"/>
      <c r="EL38" s="131"/>
      <c r="EM38" s="131"/>
      <c r="EN38" s="131"/>
      <c r="EO38" s="131"/>
      <c r="EP38" s="131"/>
      <c r="EQ38" s="131"/>
      <c r="ER38" s="131"/>
      <c r="ES38" s="131"/>
      <c r="ET38" s="131"/>
      <c r="EU38" s="131"/>
      <c r="EV38" s="131"/>
      <c r="EW38" s="131"/>
      <c r="EX38" s="131"/>
      <c r="EY38" s="131"/>
      <c r="EZ38" s="131"/>
      <c r="FA38" s="131"/>
      <c r="FB38" s="131"/>
      <c r="FC38" s="131"/>
      <c r="FD38" s="131"/>
      <c r="FE38" s="131"/>
      <c r="FF38" s="131"/>
      <c r="FG38" s="131"/>
      <c r="FH38" s="131"/>
      <c r="FI38" s="131"/>
      <c r="FJ38" s="131"/>
      <c r="FK38" s="131"/>
      <c r="FL38" s="131"/>
      <c r="FM38" s="131"/>
      <c r="FN38" s="131"/>
      <c r="FO38" s="131"/>
      <c r="FP38" s="131"/>
      <c r="FQ38" s="131"/>
      <c r="FR38" s="131"/>
      <c r="FS38" s="131"/>
      <c r="FT38" s="131"/>
      <c r="FU38" s="131"/>
      <c r="FV38" s="131"/>
      <c r="FW38" s="131"/>
      <c r="FX38" s="131"/>
      <c r="FY38" s="131"/>
      <c r="FZ38" s="131"/>
      <c r="GA38" s="131"/>
      <c r="GB38" s="131"/>
      <c r="GC38" s="131"/>
      <c r="GD38" s="131"/>
      <c r="GE38" s="131"/>
      <c r="GF38" s="131"/>
      <c r="GG38" s="131"/>
      <c r="GH38" s="131"/>
      <c r="GI38" s="131"/>
      <c r="GJ38" s="131"/>
      <c r="GK38" s="131"/>
      <c r="GL38" s="131"/>
      <c r="GM38" s="131"/>
      <c r="GN38" s="131"/>
      <c r="GO38" s="131"/>
      <c r="GP38" s="131"/>
      <c r="GQ38" s="131"/>
      <c r="GR38" s="131"/>
      <c r="GS38" s="131"/>
      <c r="GT38" s="131"/>
      <c r="GU38" s="131"/>
      <c r="GV38" s="131"/>
      <c r="GW38" s="131"/>
      <c r="GX38" s="131"/>
      <c r="GY38" s="131"/>
      <c r="GZ38" s="131"/>
      <c r="HA38" s="131"/>
      <c r="HB38" s="131"/>
      <c r="HC38" s="131"/>
      <c r="HD38" s="131"/>
      <c r="HE38" s="131"/>
      <c r="HF38" s="131"/>
      <c r="HG38" s="131"/>
      <c r="HH38" s="131"/>
      <c r="HI38" s="131"/>
      <c r="HJ38" s="131"/>
      <c r="HK38" s="131"/>
      <c r="HL38" s="131"/>
      <c r="HM38" s="131"/>
      <c r="HN38" s="131"/>
      <c r="HO38" s="131"/>
      <c r="HP38" s="131"/>
      <c r="HQ38" s="131"/>
      <c r="HR38" s="131"/>
      <c r="HS38" s="131"/>
      <c r="HT38" s="131"/>
      <c r="HU38" s="131"/>
      <c r="HV38" s="131"/>
      <c r="HW38" s="131"/>
      <c r="HX38" s="131"/>
      <c r="HY38" s="131"/>
      <c r="HZ38" s="131"/>
      <c r="IA38" s="131"/>
      <c r="IB38" s="131"/>
      <c r="IC38" s="131"/>
      <c r="ID38" s="131"/>
      <c r="IE38" s="131"/>
      <c r="IF38" s="131"/>
      <c r="IG38" s="131"/>
      <c r="IH38" s="131"/>
      <c r="II38" s="131"/>
      <c r="IJ38" s="131"/>
      <c r="IK38" s="131"/>
      <c r="IL38" s="131"/>
      <c r="IM38" s="131"/>
      <c r="IN38" s="131"/>
      <c r="IO38" s="131"/>
      <c r="IP38" s="131"/>
      <c r="IQ38" s="131"/>
      <c r="IR38" s="131"/>
      <c r="IS38" s="131"/>
      <c r="IT38" s="131"/>
      <c r="IU38" s="131"/>
      <c r="IV38" s="131"/>
      <c r="IW38" s="131"/>
      <c r="IX38" s="131"/>
      <c r="IY38" s="131"/>
      <c r="IZ38" s="131"/>
      <c r="JA38" s="131"/>
      <c r="JB38" s="131"/>
      <c r="JC38" s="131"/>
      <c r="JD38" s="131"/>
      <c r="JE38" s="131"/>
      <c r="JF38" s="131"/>
      <c r="JG38" s="131"/>
      <c r="JH38" s="131"/>
      <c r="JI38" s="131"/>
      <c r="JJ38" s="131"/>
      <c r="JK38" s="131"/>
      <c r="JL38" s="131"/>
      <c r="JM38" s="131"/>
      <c r="JN38" s="131"/>
      <c r="JO38" s="131"/>
      <c r="JP38" s="131"/>
      <c r="JQ38" s="131"/>
      <c r="JR38" s="131"/>
      <c r="JS38" s="131"/>
      <c r="JT38" s="131"/>
      <c r="JU38" s="131"/>
      <c r="JV38" s="131"/>
      <c r="JW38" s="131"/>
      <c r="JX38" s="131"/>
      <c r="JY38" s="131"/>
      <c r="JZ38" s="131"/>
      <c r="KA38" s="131"/>
      <c r="KB38" s="131"/>
      <c r="KC38" s="131"/>
      <c r="KD38" s="131"/>
      <c r="KE38" s="131"/>
      <c r="KF38" s="131"/>
      <c r="KG38" s="131"/>
      <c r="KH38" s="131"/>
      <c r="KI38" s="131"/>
      <c r="KJ38" s="131"/>
      <c r="KK38" s="131"/>
      <c r="KL38" s="131"/>
      <c r="KM38" s="131"/>
      <c r="KN38" s="131"/>
      <c r="KO38" s="131"/>
      <c r="KP38" s="131"/>
      <c r="KQ38" s="131"/>
      <c r="KR38" s="131"/>
      <c r="KS38" s="131"/>
      <c r="KT38" s="131"/>
      <c r="KU38" s="131"/>
      <c r="KV38" s="131"/>
      <c r="KW38" s="131"/>
      <c r="KX38" s="131"/>
      <c r="KY38" s="131"/>
      <c r="KZ38" s="131"/>
      <c r="LA38" s="131"/>
      <c r="LB38" s="131"/>
      <c r="LC38" s="131"/>
      <c r="LD38" s="131"/>
      <c r="LE38" s="131"/>
      <c r="LF38" s="131"/>
      <c r="LG38" s="131"/>
      <c r="LH38" s="131"/>
      <c r="LI38" s="131"/>
      <c r="LJ38" s="131"/>
      <c r="LK38" s="131"/>
      <c r="LL38" s="131"/>
      <c r="LM38" s="131"/>
      <c r="LN38" s="131"/>
      <c r="LO38" s="131"/>
      <c r="LP38" s="131"/>
      <c r="LQ38" s="131"/>
      <c r="LR38" s="131"/>
      <c r="LS38" s="131"/>
      <c r="LT38" s="131"/>
      <c r="LU38" s="131"/>
      <c r="LV38" s="131"/>
      <c r="LW38" s="131"/>
      <c r="LX38" s="131"/>
      <c r="LY38" s="131"/>
      <c r="LZ38" s="131"/>
      <c r="MA38" s="131"/>
      <c r="MB38" s="131"/>
      <c r="MC38" s="131"/>
      <c r="MD38" s="131"/>
      <c r="ME38" s="131"/>
      <c r="MF38" s="131"/>
      <c r="MG38" s="131"/>
      <c r="MH38" s="131"/>
      <c r="MI38" s="131"/>
      <c r="MJ38" s="131"/>
      <c r="MK38" s="131"/>
      <c r="ML38" s="131"/>
      <c r="MM38" s="131"/>
      <c r="MN38" s="131"/>
      <c r="MO38" s="131"/>
      <c r="MP38" s="131"/>
      <c r="MQ38" s="131"/>
      <c r="MR38" s="131"/>
      <c r="MS38" s="131"/>
      <c r="MT38" s="131"/>
      <c r="MU38" s="131"/>
      <c r="MV38" s="131"/>
      <c r="MW38" s="131"/>
      <c r="MX38" s="131"/>
      <c r="MY38" s="131"/>
      <c r="MZ38" s="131"/>
      <c r="NA38" s="131"/>
      <c r="NB38" s="131"/>
      <c r="NC38" s="131"/>
      <c r="ND38" s="131"/>
      <c r="NE38" s="131"/>
      <c r="NF38" s="131"/>
      <c r="NG38" s="131"/>
      <c r="NH38" s="131"/>
      <c r="NI38" s="131"/>
      <c r="NJ38" s="131"/>
      <c r="NK38" s="131"/>
      <c r="NL38" s="131"/>
      <c r="NM38" s="131"/>
      <c r="NN38" s="131"/>
      <c r="NO38" s="131"/>
      <c r="NP38" s="131"/>
      <c r="NQ38" s="131"/>
      <c r="NR38" s="131"/>
      <c r="NS38" s="131"/>
      <c r="NT38" s="131"/>
      <c r="NU38" s="131"/>
      <c r="NV38" s="131"/>
      <c r="NW38" s="24">
        <f t="shared" si="9"/>
        <v>0</v>
      </c>
      <c r="NX38" s="56" t="s">
        <v>36</v>
      </c>
      <c r="NY38" s="127">
        <v>774</v>
      </c>
      <c r="NZ38" s="78">
        <f t="shared" si="2"/>
        <v>774</v>
      </c>
      <c r="OA38" s="78">
        <v>579</v>
      </c>
      <c r="OB38" s="127">
        <f t="shared" si="0"/>
        <v>0</v>
      </c>
      <c r="OC38" s="153">
        <v>774</v>
      </c>
      <c r="OD38" s="108">
        <f t="shared" si="10"/>
        <v>1.3367875647668395</v>
      </c>
      <c r="OE38" s="160" t="s">
        <v>517</v>
      </c>
    </row>
    <row r="39" spans="1:395" s="5" customFormat="1" ht="12.75" hidden="1" customHeight="1" x14ac:dyDescent="0.25">
      <c r="A39" s="62">
        <v>44515</v>
      </c>
      <c r="B39" s="116" t="s">
        <v>92</v>
      </c>
      <c r="C39" s="129"/>
      <c r="D39" s="129"/>
      <c r="E39" s="130"/>
      <c r="F39" s="130"/>
      <c r="G39" s="130"/>
      <c r="H39" s="130"/>
      <c r="I39" s="130"/>
      <c r="J39" s="130"/>
      <c r="K39" s="130"/>
      <c r="L39" s="130"/>
      <c r="M39" s="131"/>
      <c r="N39" s="131"/>
      <c r="O39" s="131"/>
      <c r="P39" s="131"/>
      <c r="Q39" s="131"/>
      <c r="R39" s="131"/>
      <c r="S39" s="131"/>
      <c r="T39" s="131"/>
      <c r="U39" s="131"/>
      <c r="V39" s="131"/>
      <c r="W39" s="131"/>
      <c r="X39" s="131"/>
      <c r="Y39" s="131"/>
      <c r="Z39" s="131"/>
      <c r="AA39" s="131"/>
      <c r="AB39" s="131"/>
      <c r="AC39" s="131"/>
      <c r="AD39" s="131"/>
      <c r="AE39" s="131"/>
      <c r="AF39" s="131"/>
      <c r="AG39" s="131"/>
      <c r="AH39" s="131"/>
      <c r="AI39" s="131"/>
      <c r="AJ39" s="131"/>
      <c r="AK39" s="131"/>
      <c r="AL39" s="131"/>
      <c r="AM39" s="131"/>
      <c r="AN39" s="131"/>
      <c r="AO39" s="131"/>
      <c r="AP39" s="131"/>
      <c r="AQ39" s="131"/>
      <c r="AR39" s="131"/>
      <c r="AS39" s="131"/>
      <c r="AT39" s="131"/>
      <c r="AU39" s="131"/>
      <c r="AV39" s="131"/>
      <c r="AW39" s="131"/>
      <c r="AX39" s="131"/>
      <c r="AY39" s="131"/>
      <c r="AZ39" s="131"/>
      <c r="BA39" s="131"/>
      <c r="BB39" s="131"/>
      <c r="BC39" s="131"/>
      <c r="BD39" s="131"/>
      <c r="BE39" s="131"/>
      <c r="BF39" s="131"/>
      <c r="BG39" s="131"/>
      <c r="BH39" s="131"/>
      <c r="BI39" s="131"/>
      <c r="BJ39" s="131"/>
      <c r="BK39" s="131"/>
      <c r="BL39" s="131"/>
      <c r="BM39" s="131"/>
      <c r="BN39" s="131"/>
      <c r="BO39" s="131"/>
      <c r="BP39" s="131"/>
      <c r="BQ39" s="131"/>
      <c r="BR39" s="131"/>
      <c r="BS39" s="131"/>
      <c r="BT39" s="131"/>
      <c r="BU39" s="131"/>
      <c r="BV39" s="131"/>
      <c r="BW39" s="131"/>
      <c r="BX39" s="131"/>
      <c r="BY39" s="131"/>
      <c r="BZ39" s="131"/>
      <c r="CA39" s="131"/>
      <c r="CB39" s="131"/>
      <c r="CC39" s="131"/>
      <c r="CD39" s="131"/>
      <c r="CE39" s="131"/>
      <c r="CF39" s="131"/>
      <c r="CG39" s="131"/>
      <c r="CH39" s="131"/>
      <c r="CI39" s="131"/>
      <c r="CJ39" s="131"/>
      <c r="CK39" s="131"/>
      <c r="CL39" s="131"/>
      <c r="CM39" s="131"/>
      <c r="CN39" s="131"/>
      <c r="CO39" s="131"/>
      <c r="CP39" s="131"/>
      <c r="CQ39" s="131"/>
      <c r="CR39" s="131"/>
      <c r="CS39" s="131"/>
      <c r="CT39" s="131"/>
      <c r="CU39" s="131"/>
      <c r="CV39" s="131"/>
      <c r="CW39" s="131"/>
      <c r="CX39" s="131"/>
      <c r="CY39" s="131"/>
      <c r="CZ39" s="131"/>
      <c r="DA39" s="131"/>
      <c r="DB39" s="131"/>
      <c r="DC39" s="131"/>
      <c r="DD39" s="131"/>
      <c r="DE39" s="131"/>
      <c r="DF39" s="131"/>
      <c r="DG39" s="131"/>
      <c r="DH39" s="131"/>
      <c r="DI39" s="131"/>
      <c r="DJ39" s="131"/>
      <c r="DK39" s="131"/>
      <c r="DL39" s="131"/>
      <c r="DM39" s="131"/>
      <c r="DN39" s="131"/>
      <c r="DO39" s="131"/>
      <c r="DP39" s="131"/>
      <c r="DQ39" s="131"/>
      <c r="DR39" s="131"/>
      <c r="DS39" s="131"/>
      <c r="DT39" s="131"/>
      <c r="DU39" s="131"/>
      <c r="DV39" s="131"/>
      <c r="DW39" s="131"/>
      <c r="DX39" s="131"/>
      <c r="DY39" s="131"/>
      <c r="DZ39" s="131"/>
      <c r="EA39" s="131"/>
      <c r="EB39" s="131"/>
      <c r="EC39" s="131"/>
      <c r="ED39" s="131"/>
      <c r="EE39" s="131"/>
      <c r="EF39" s="131"/>
      <c r="EG39" s="131"/>
      <c r="EH39" s="131"/>
      <c r="EI39" s="131"/>
      <c r="EJ39" s="131"/>
      <c r="EK39" s="131"/>
      <c r="EL39" s="131"/>
      <c r="EM39" s="131"/>
      <c r="EN39" s="131"/>
      <c r="EO39" s="131"/>
      <c r="EP39" s="131"/>
      <c r="EQ39" s="131"/>
      <c r="ER39" s="131"/>
      <c r="ES39" s="131"/>
      <c r="ET39" s="131"/>
      <c r="EU39" s="131"/>
      <c r="EV39" s="131"/>
      <c r="EW39" s="131"/>
      <c r="EX39" s="131"/>
      <c r="EY39" s="131"/>
      <c r="EZ39" s="131"/>
      <c r="FA39" s="131"/>
      <c r="FB39" s="131"/>
      <c r="FC39" s="131"/>
      <c r="FD39" s="131"/>
      <c r="FE39" s="131"/>
      <c r="FF39" s="131"/>
      <c r="FG39" s="131"/>
      <c r="FH39" s="131"/>
      <c r="FI39" s="131"/>
      <c r="FJ39" s="131"/>
      <c r="FK39" s="131"/>
      <c r="FL39" s="131"/>
      <c r="FM39" s="131"/>
      <c r="FN39" s="131"/>
      <c r="FO39" s="131"/>
      <c r="FP39" s="131"/>
      <c r="FQ39" s="131"/>
      <c r="FR39" s="131"/>
      <c r="FS39" s="131"/>
      <c r="FT39" s="131"/>
      <c r="FU39" s="131"/>
      <c r="FV39" s="131"/>
      <c r="FW39" s="131"/>
      <c r="FX39" s="131"/>
      <c r="FY39" s="131"/>
      <c r="FZ39" s="131"/>
      <c r="GA39" s="131"/>
      <c r="GB39" s="131"/>
      <c r="GC39" s="131"/>
      <c r="GD39" s="131"/>
      <c r="GE39" s="131"/>
      <c r="GF39" s="131"/>
      <c r="GG39" s="131"/>
      <c r="GH39" s="131"/>
      <c r="GI39" s="131"/>
      <c r="GJ39" s="131"/>
      <c r="GK39" s="131"/>
      <c r="GL39" s="131"/>
      <c r="GM39" s="131"/>
      <c r="GN39" s="131"/>
      <c r="GO39" s="131"/>
      <c r="GP39" s="131"/>
      <c r="GQ39" s="131"/>
      <c r="GR39" s="131"/>
      <c r="GS39" s="131"/>
      <c r="GT39" s="131"/>
      <c r="GU39" s="131"/>
      <c r="GV39" s="131"/>
      <c r="GW39" s="131"/>
      <c r="GX39" s="131"/>
      <c r="GY39" s="131"/>
      <c r="GZ39" s="131"/>
      <c r="HA39" s="131"/>
      <c r="HB39" s="131"/>
      <c r="HC39" s="131"/>
      <c r="HD39" s="131"/>
      <c r="HE39" s="131"/>
      <c r="HF39" s="131"/>
      <c r="HG39" s="131"/>
      <c r="HH39" s="131"/>
      <c r="HI39" s="131"/>
      <c r="HJ39" s="131"/>
      <c r="HK39" s="131"/>
      <c r="HL39" s="131"/>
      <c r="HM39" s="131"/>
      <c r="HN39" s="131"/>
      <c r="HO39" s="131"/>
      <c r="HP39" s="131"/>
      <c r="HQ39" s="131"/>
      <c r="HR39" s="131"/>
      <c r="HS39" s="131"/>
      <c r="HT39" s="131"/>
      <c r="HU39" s="131"/>
      <c r="HV39" s="131"/>
      <c r="HW39" s="131"/>
      <c r="HX39" s="131"/>
      <c r="HY39" s="131"/>
      <c r="HZ39" s="131"/>
      <c r="IA39" s="131"/>
      <c r="IB39" s="131"/>
      <c r="IC39" s="131"/>
      <c r="ID39" s="131"/>
      <c r="IE39" s="131"/>
      <c r="IF39" s="131"/>
      <c r="IG39" s="131"/>
      <c r="IH39" s="131"/>
      <c r="II39" s="131"/>
      <c r="IJ39" s="131"/>
      <c r="IK39" s="131"/>
      <c r="IL39" s="131"/>
      <c r="IM39" s="131"/>
      <c r="IN39" s="131"/>
      <c r="IO39" s="131"/>
      <c r="IP39" s="131"/>
      <c r="IQ39" s="131"/>
      <c r="IR39" s="131"/>
      <c r="IS39" s="131"/>
      <c r="IT39" s="131"/>
      <c r="IU39" s="131"/>
      <c r="IV39" s="131"/>
      <c r="IW39" s="131"/>
      <c r="IX39" s="131"/>
      <c r="IY39" s="131"/>
      <c r="IZ39" s="131"/>
      <c r="JA39" s="131"/>
      <c r="JB39" s="131"/>
      <c r="JC39" s="131"/>
      <c r="JD39" s="131"/>
      <c r="JE39" s="131"/>
      <c r="JF39" s="131"/>
      <c r="JG39" s="131"/>
      <c r="JH39" s="131"/>
      <c r="JI39" s="131"/>
      <c r="JJ39" s="131"/>
      <c r="JK39" s="131"/>
      <c r="JL39" s="131"/>
      <c r="JM39" s="131"/>
      <c r="JN39" s="131"/>
      <c r="JO39" s="131"/>
      <c r="JP39" s="131"/>
      <c r="JQ39" s="131"/>
      <c r="JR39" s="131"/>
      <c r="JS39" s="131"/>
      <c r="JT39" s="131"/>
      <c r="JU39" s="131"/>
      <c r="JV39" s="131"/>
      <c r="JW39" s="131"/>
      <c r="JX39" s="131"/>
      <c r="JY39" s="131"/>
      <c r="JZ39" s="131"/>
      <c r="KA39" s="131"/>
      <c r="KB39" s="131"/>
      <c r="KC39" s="131"/>
      <c r="KD39" s="131"/>
      <c r="KE39" s="131"/>
      <c r="KF39" s="131"/>
      <c r="KG39" s="131"/>
      <c r="KH39" s="131"/>
      <c r="KI39" s="131"/>
      <c r="KJ39" s="131"/>
      <c r="KK39" s="131"/>
      <c r="KL39" s="131"/>
      <c r="KM39" s="131"/>
      <c r="KN39" s="131"/>
      <c r="KO39" s="131"/>
      <c r="KP39" s="131"/>
      <c r="KQ39" s="131"/>
      <c r="KR39" s="131"/>
      <c r="KS39" s="131"/>
      <c r="KT39" s="131"/>
      <c r="KU39" s="131"/>
      <c r="KV39" s="131"/>
      <c r="KW39" s="131"/>
      <c r="KX39" s="131"/>
      <c r="KY39" s="131"/>
      <c r="KZ39" s="131"/>
      <c r="LA39" s="131"/>
      <c r="LB39" s="131"/>
      <c r="LC39" s="131"/>
      <c r="LD39" s="131"/>
      <c r="LE39" s="131"/>
      <c r="LF39" s="131"/>
      <c r="LG39" s="131"/>
      <c r="LH39" s="131"/>
      <c r="LI39" s="131"/>
      <c r="LJ39" s="131"/>
      <c r="LK39" s="131"/>
      <c r="LL39" s="131"/>
      <c r="LM39" s="131"/>
      <c r="LN39" s="131"/>
      <c r="LO39" s="131"/>
      <c r="LP39" s="131"/>
      <c r="LQ39" s="131"/>
      <c r="LR39" s="131"/>
      <c r="LS39" s="131"/>
      <c r="LT39" s="131"/>
      <c r="LU39" s="131"/>
      <c r="LV39" s="131"/>
      <c r="LW39" s="131"/>
      <c r="LX39" s="131"/>
      <c r="LY39" s="131"/>
      <c r="LZ39" s="131"/>
      <c r="MA39" s="131"/>
      <c r="MB39" s="131"/>
      <c r="MC39" s="131"/>
      <c r="MD39" s="131"/>
      <c r="ME39" s="131"/>
      <c r="MF39" s="131"/>
      <c r="MG39" s="131"/>
      <c r="MH39" s="131"/>
      <c r="MI39" s="131"/>
      <c r="MJ39" s="131"/>
      <c r="MK39" s="131"/>
      <c r="ML39" s="131"/>
      <c r="MM39" s="131"/>
      <c r="MN39" s="131"/>
      <c r="MO39" s="131"/>
      <c r="MP39" s="131"/>
      <c r="MQ39" s="131"/>
      <c r="MR39" s="131"/>
      <c r="MS39" s="131"/>
      <c r="MT39" s="131"/>
      <c r="MU39" s="131"/>
      <c r="MV39" s="131"/>
      <c r="MW39" s="131"/>
      <c r="MX39" s="131"/>
      <c r="MY39" s="131"/>
      <c r="MZ39" s="131"/>
      <c r="NA39" s="131"/>
      <c r="NB39" s="131"/>
      <c r="NC39" s="131"/>
      <c r="ND39" s="131"/>
      <c r="NE39" s="131"/>
      <c r="NF39" s="131"/>
      <c r="NG39" s="131"/>
      <c r="NH39" s="131"/>
      <c r="NI39" s="131"/>
      <c r="NJ39" s="131"/>
      <c r="NK39" s="131"/>
      <c r="NL39" s="131"/>
      <c r="NM39" s="131"/>
      <c r="NN39" s="131"/>
      <c r="NO39" s="131"/>
      <c r="NP39" s="131"/>
      <c r="NQ39" s="131"/>
      <c r="NR39" s="131"/>
      <c r="NS39" s="131"/>
      <c r="NT39" s="131"/>
      <c r="NU39" s="131"/>
      <c r="NV39" s="131"/>
      <c r="NW39" s="24">
        <f t="shared" si="9"/>
        <v>0</v>
      </c>
      <c r="NX39" s="56" t="s">
        <v>36</v>
      </c>
      <c r="NY39" s="127">
        <v>414.34</v>
      </c>
      <c r="NZ39" s="78">
        <f t="shared" si="2"/>
        <v>414.34</v>
      </c>
      <c r="OA39" s="78">
        <v>207.12</v>
      </c>
      <c r="OB39" s="127">
        <f t="shared" si="0"/>
        <v>0</v>
      </c>
      <c r="OC39" s="153">
        <v>414.34</v>
      </c>
      <c r="OD39" s="108">
        <f t="shared" si="10"/>
        <v>2.000482811896485</v>
      </c>
      <c r="OE39" s="160" t="s">
        <v>503</v>
      </c>
    </row>
    <row r="40" spans="1:395" s="5" customFormat="1" ht="12.75" hidden="1" customHeight="1" x14ac:dyDescent="0.25">
      <c r="A40" s="62">
        <v>44516</v>
      </c>
      <c r="B40" s="116" t="s">
        <v>182</v>
      </c>
      <c r="C40" s="129"/>
      <c r="D40" s="129"/>
      <c r="E40" s="130"/>
      <c r="F40" s="130"/>
      <c r="G40" s="130"/>
      <c r="H40" s="130"/>
      <c r="I40" s="130"/>
      <c r="J40" s="130"/>
      <c r="K40" s="130"/>
      <c r="L40" s="130"/>
      <c r="M40" s="131"/>
      <c r="N40" s="131"/>
      <c r="O40" s="131"/>
      <c r="P40" s="131"/>
      <c r="Q40" s="131"/>
      <c r="R40" s="131"/>
      <c r="S40" s="131"/>
      <c r="T40" s="131"/>
      <c r="U40" s="131"/>
      <c r="V40" s="131"/>
      <c r="W40" s="131"/>
      <c r="X40" s="131"/>
      <c r="Y40" s="131"/>
      <c r="Z40" s="131"/>
      <c r="AA40" s="131"/>
      <c r="AB40" s="131"/>
      <c r="AC40" s="131"/>
      <c r="AD40" s="131"/>
      <c r="AE40" s="131"/>
      <c r="AF40" s="131"/>
      <c r="AG40" s="131"/>
      <c r="AH40" s="131"/>
      <c r="AI40" s="131"/>
      <c r="AJ40" s="131"/>
      <c r="AK40" s="131"/>
      <c r="AL40" s="131"/>
      <c r="AM40" s="131"/>
      <c r="AN40" s="131"/>
      <c r="AO40" s="131"/>
      <c r="AP40" s="131"/>
      <c r="AQ40" s="131"/>
      <c r="AR40" s="131"/>
      <c r="AS40" s="131"/>
      <c r="AT40" s="131"/>
      <c r="AU40" s="131"/>
      <c r="AV40" s="131"/>
      <c r="AW40" s="131"/>
      <c r="AX40" s="131"/>
      <c r="AY40" s="131"/>
      <c r="AZ40" s="131"/>
      <c r="BA40" s="131"/>
      <c r="BB40" s="131"/>
      <c r="BC40" s="131"/>
      <c r="BD40" s="131"/>
      <c r="BE40" s="131"/>
      <c r="BF40" s="131"/>
      <c r="BG40" s="131"/>
      <c r="BH40" s="131"/>
      <c r="BI40" s="131"/>
      <c r="BJ40" s="131"/>
      <c r="BK40" s="131"/>
      <c r="BL40" s="131"/>
      <c r="BM40" s="131"/>
      <c r="BN40" s="131"/>
      <c r="BO40" s="131"/>
      <c r="BP40" s="131"/>
      <c r="BQ40" s="131"/>
      <c r="BR40" s="131"/>
      <c r="BS40" s="131"/>
      <c r="BT40" s="131"/>
      <c r="BU40" s="131"/>
      <c r="BV40" s="131"/>
      <c r="BW40" s="131"/>
      <c r="BX40" s="131"/>
      <c r="BY40" s="131"/>
      <c r="BZ40" s="131"/>
      <c r="CA40" s="131"/>
      <c r="CB40" s="131"/>
      <c r="CC40" s="131"/>
      <c r="CD40" s="131"/>
      <c r="CE40" s="131"/>
      <c r="CF40" s="131"/>
      <c r="CG40" s="131"/>
      <c r="CH40" s="131"/>
      <c r="CI40" s="131"/>
      <c r="CJ40" s="131"/>
      <c r="CK40" s="131"/>
      <c r="CL40" s="131"/>
      <c r="CM40" s="131"/>
      <c r="CN40" s="131"/>
      <c r="CO40" s="131"/>
      <c r="CP40" s="131"/>
      <c r="CQ40" s="131"/>
      <c r="CR40" s="131"/>
      <c r="CS40" s="131"/>
      <c r="CT40" s="131"/>
      <c r="CU40" s="131"/>
      <c r="CV40" s="131"/>
      <c r="CW40" s="131"/>
      <c r="CX40" s="131"/>
      <c r="CY40" s="131"/>
      <c r="CZ40" s="131"/>
      <c r="DA40" s="131"/>
      <c r="DB40" s="131"/>
      <c r="DC40" s="131"/>
      <c r="DD40" s="131"/>
      <c r="DE40" s="131"/>
      <c r="DF40" s="131"/>
      <c r="DG40" s="131"/>
      <c r="DH40" s="131"/>
      <c r="DI40" s="131"/>
      <c r="DJ40" s="131"/>
      <c r="DK40" s="131"/>
      <c r="DL40" s="131"/>
      <c r="DM40" s="131"/>
      <c r="DN40" s="131"/>
      <c r="DO40" s="131"/>
      <c r="DP40" s="131"/>
      <c r="DQ40" s="131"/>
      <c r="DR40" s="131"/>
      <c r="DS40" s="131"/>
      <c r="DT40" s="131"/>
      <c r="DU40" s="131"/>
      <c r="DV40" s="131"/>
      <c r="DW40" s="131"/>
      <c r="DX40" s="131"/>
      <c r="DY40" s="131"/>
      <c r="DZ40" s="131"/>
      <c r="EA40" s="131"/>
      <c r="EB40" s="131"/>
      <c r="EC40" s="131"/>
      <c r="ED40" s="131"/>
      <c r="EE40" s="131"/>
      <c r="EF40" s="131"/>
      <c r="EG40" s="131"/>
      <c r="EH40" s="131"/>
      <c r="EI40" s="131"/>
      <c r="EJ40" s="131"/>
      <c r="EK40" s="131"/>
      <c r="EL40" s="131"/>
      <c r="EM40" s="131"/>
      <c r="EN40" s="131"/>
      <c r="EO40" s="131"/>
      <c r="EP40" s="131"/>
      <c r="EQ40" s="131"/>
      <c r="ER40" s="131"/>
      <c r="ES40" s="131"/>
      <c r="ET40" s="131"/>
      <c r="EU40" s="131"/>
      <c r="EV40" s="131"/>
      <c r="EW40" s="131"/>
      <c r="EX40" s="131"/>
      <c r="EY40" s="131"/>
      <c r="EZ40" s="131"/>
      <c r="FA40" s="131"/>
      <c r="FB40" s="131"/>
      <c r="FC40" s="131"/>
      <c r="FD40" s="131"/>
      <c r="FE40" s="131"/>
      <c r="FF40" s="131"/>
      <c r="FG40" s="131"/>
      <c r="FH40" s="131"/>
      <c r="FI40" s="131"/>
      <c r="FJ40" s="131"/>
      <c r="FK40" s="131"/>
      <c r="FL40" s="131"/>
      <c r="FM40" s="131"/>
      <c r="FN40" s="131"/>
      <c r="FO40" s="131"/>
      <c r="FP40" s="131"/>
      <c r="FQ40" s="131"/>
      <c r="FR40" s="131"/>
      <c r="FS40" s="131"/>
      <c r="FT40" s="131"/>
      <c r="FU40" s="131"/>
      <c r="FV40" s="131"/>
      <c r="FW40" s="131"/>
      <c r="FX40" s="131"/>
      <c r="FY40" s="131"/>
      <c r="FZ40" s="131"/>
      <c r="GA40" s="131"/>
      <c r="GB40" s="131"/>
      <c r="GC40" s="131"/>
      <c r="GD40" s="131"/>
      <c r="GE40" s="131"/>
      <c r="GF40" s="131"/>
      <c r="GG40" s="131"/>
      <c r="GH40" s="131"/>
      <c r="GI40" s="131"/>
      <c r="GJ40" s="131"/>
      <c r="GK40" s="131"/>
      <c r="GL40" s="131"/>
      <c r="GM40" s="131"/>
      <c r="GN40" s="131"/>
      <c r="GO40" s="131"/>
      <c r="GP40" s="131"/>
      <c r="GQ40" s="131"/>
      <c r="GR40" s="131"/>
      <c r="GS40" s="131"/>
      <c r="GT40" s="131"/>
      <c r="GU40" s="131"/>
      <c r="GV40" s="131"/>
      <c r="GW40" s="131"/>
      <c r="GX40" s="131"/>
      <c r="GY40" s="131"/>
      <c r="GZ40" s="131"/>
      <c r="HA40" s="131"/>
      <c r="HB40" s="131"/>
      <c r="HC40" s="131"/>
      <c r="HD40" s="131"/>
      <c r="HE40" s="131"/>
      <c r="HF40" s="131"/>
      <c r="HG40" s="131"/>
      <c r="HH40" s="131"/>
      <c r="HI40" s="131"/>
      <c r="HJ40" s="131"/>
      <c r="HK40" s="131"/>
      <c r="HL40" s="131"/>
      <c r="HM40" s="131"/>
      <c r="HN40" s="131"/>
      <c r="HO40" s="131"/>
      <c r="HP40" s="131"/>
      <c r="HQ40" s="131"/>
      <c r="HR40" s="131"/>
      <c r="HS40" s="131"/>
      <c r="HT40" s="131"/>
      <c r="HU40" s="131"/>
      <c r="HV40" s="131"/>
      <c r="HW40" s="131"/>
      <c r="HX40" s="131"/>
      <c r="HY40" s="131"/>
      <c r="HZ40" s="131"/>
      <c r="IA40" s="131"/>
      <c r="IB40" s="131"/>
      <c r="IC40" s="131"/>
      <c r="ID40" s="131"/>
      <c r="IE40" s="131"/>
      <c r="IF40" s="131"/>
      <c r="IG40" s="131"/>
      <c r="IH40" s="131"/>
      <c r="II40" s="131"/>
      <c r="IJ40" s="131"/>
      <c r="IK40" s="131"/>
      <c r="IL40" s="131"/>
      <c r="IM40" s="131"/>
      <c r="IN40" s="131"/>
      <c r="IO40" s="131"/>
      <c r="IP40" s="131"/>
      <c r="IQ40" s="131"/>
      <c r="IR40" s="131"/>
      <c r="IS40" s="131"/>
      <c r="IT40" s="131"/>
      <c r="IU40" s="131"/>
      <c r="IV40" s="131"/>
      <c r="IW40" s="131"/>
      <c r="IX40" s="131"/>
      <c r="IY40" s="131"/>
      <c r="IZ40" s="131"/>
      <c r="JA40" s="131"/>
      <c r="JB40" s="131"/>
      <c r="JC40" s="131"/>
      <c r="JD40" s="131"/>
      <c r="JE40" s="131"/>
      <c r="JF40" s="131"/>
      <c r="JG40" s="131"/>
      <c r="JH40" s="131"/>
      <c r="JI40" s="131"/>
      <c r="JJ40" s="131"/>
      <c r="JK40" s="131"/>
      <c r="JL40" s="131"/>
      <c r="JM40" s="131"/>
      <c r="JN40" s="131"/>
      <c r="JO40" s="131"/>
      <c r="JP40" s="131"/>
      <c r="JQ40" s="131"/>
      <c r="JR40" s="131"/>
      <c r="JS40" s="131"/>
      <c r="JT40" s="131"/>
      <c r="JU40" s="131"/>
      <c r="JV40" s="131"/>
      <c r="JW40" s="131"/>
      <c r="JX40" s="131"/>
      <c r="JY40" s="131"/>
      <c r="JZ40" s="131"/>
      <c r="KA40" s="131"/>
      <c r="KB40" s="131"/>
      <c r="KC40" s="131"/>
      <c r="KD40" s="131"/>
      <c r="KE40" s="131"/>
      <c r="KF40" s="131"/>
      <c r="KG40" s="131"/>
      <c r="KH40" s="131"/>
      <c r="KI40" s="131"/>
      <c r="KJ40" s="131"/>
      <c r="KK40" s="131"/>
      <c r="KL40" s="131"/>
      <c r="KM40" s="131"/>
      <c r="KN40" s="131"/>
      <c r="KO40" s="131"/>
      <c r="KP40" s="131"/>
      <c r="KQ40" s="131"/>
      <c r="KR40" s="131"/>
      <c r="KS40" s="131"/>
      <c r="KT40" s="131"/>
      <c r="KU40" s="131"/>
      <c r="KV40" s="131"/>
      <c r="KW40" s="131"/>
      <c r="KX40" s="131"/>
      <c r="KY40" s="131"/>
      <c r="KZ40" s="131"/>
      <c r="LA40" s="131"/>
      <c r="LB40" s="131"/>
      <c r="LC40" s="131"/>
      <c r="LD40" s="131"/>
      <c r="LE40" s="131"/>
      <c r="LF40" s="131"/>
      <c r="LG40" s="131"/>
      <c r="LH40" s="131"/>
      <c r="LI40" s="131"/>
      <c r="LJ40" s="131"/>
      <c r="LK40" s="131"/>
      <c r="LL40" s="131"/>
      <c r="LM40" s="131"/>
      <c r="LN40" s="131"/>
      <c r="LO40" s="131"/>
      <c r="LP40" s="131"/>
      <c r="LQ40" s="131"/>
      <c r="LR40" s="131"/>
      <c r="LS40" s="131"/>
      <c r="LT40" s="131"/>
      <c r="LU40" s="131"/>
      <c r="LV40" s="131"/>
      <c r="LW40" s="131"/>
      <c r="LX40" s="131"/>
      <c r="LY40" s="131"/>
      <c r="LZ40" s="131"/>
      <c r="MA40" s="131"/>
      <c r="MB40" s="131"/>
      <c r="MC40" s="131"/>
      <c r="MD40" s="131"/>
      <c r="ME40" s="131"/>
      <c r="MF40" s="131"/>
      <c r="MG40" s="131"/>
      <c r="MH40" s="131"/>
      <c r="MI40" s="131"/>
      <c r="MJ40" s="131"/>
      <c r="MK40" s="131"/>
      <c r="ML40" s="131"/>
      <c r="MM40" s="131"/>
      <c r="MN40" s="131"/>
      <c r="MO40" s="131"/>
      <c r="MP40" s="131"/>
      <c r="MQ40" s="131"/>
      <c r="MR40" s="131"/>
      <c r="MS40" s="131"/>
      <c r="MT40" s="131"/>
      <c r="MU40" s="131"/>
      <c r="MV40" s="131"/>
      <c r="MW40" s="131"/>
      <c r="MX40" s="131"/>
      <c r="MY40" s="131"/>
      <c r="MZ40" s="131"/>
      <c r="NA40" s="131"/>
      <c r="NB40" s="131"/>
      <c r="NC40" s="131"/>
      <c r="ND40" s="131"/>
      <c r="NE40" s="131"/>
      <c r="NF40" s="131"/>
      <c r="NG40" s="131"/>
      <c r="NH40" s="131"/>
      <c r="NI40" s="131"/>
      <c r="NJ40" s="131"/>
      <c r="NK40" s="131"/>
      <c r="NL40" s="131"/>
      <c r="NM40" s="131"/>
      <c r="NN40" s="131"/>
      <c r="NO40" s="131"/>
      <c r="NP40" s="131"/>
      <c r="NQ40" s="131"/>
      <c r="NR40" s="131"/>
      <c r="NS40" s="131"/>
      <c r="NT40" s="131"/>
      <c r="NU40" s="131"/>
      <c r="NV40" s="131"/>
      <c r="NW40" s="24">
        <f t="shared" si="9"/>
        <v>0</v>
      </c>
      <c r="NX40" s="56" t="s">
        <v>36</v>
      </c>
      <c r="NY40" s="127">
        <v>738.94</v>
      </c>
      <c r="NZ40" s="78">
        <f t="shared" si="2"/>
        <v>738.94</v>
      </c>
      <c r="OA40" s="78">
        <v>1869.2999999999997</v>
      </c>
      <c r="OB40" s="127">
        <f t="shared" si="0"/>
        <v>0</v>
      </c>
      <c r="OC40" s="153">
        <v>738.94</v>
      </c>
      <c r="OD40" s="108">
        <f t="shared" si="10"/>
        <v>0.39530305461937632</v>
      </c>
      <c r="OE40" s="160" t="s">
        <v>518</v>
      </c>
    </row>
    <row r="41" spans="1:395" s="5" customFormat="1" ht="12.75" customHeight="1" x14ac:dyDescent="0.25">
      <c r="A41" s="62">
        <v>44516</v>
      </c>
      <c r="B41" s="116" t="s">
        <v>81</v>
      </c>
      <c r="C41" s="129"/>
      <c r="D41" s="129"/>
      <c r="E41" s="130"/>
      <c r="F41" s="130"/>
      <c r="G41" s="130"/>
      <c r="H41" s="130"/>
      <c r="I41" s="130"/>
      <c r="J41" s="130"/>
      <c r="K41" s="130"/>
      <c r="L41" s="130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131"/>
      <c r="BX41" s="131"/>
      <c r="BY41" s="131"/>
      <c r="BZ41" s="131"/>
      <c r="CA41" s="131"/>
      <c r="CB41" s="131"/>
      <c r="CC41" s="131"/>
      <c r="CD41" s="131"/>
      <c r="CE41" s="131"/>
      <c r="CF41" s="131"/>
      <c r="CG41" s="131"/>
      <c r="CH41" s="131"/>
      <c r="CI41" s="131"/>
      <c r="CJ41" s="131"/>
      <c r="CK41" s="131"/>
      <c r="CL41" s="131"/>
      <c r="CM41" s="131"/>
      <c r="CN41" s="131"/>
      <c r="CO41" s="131"/>
      <c r="CP41" s="131"/>
      <c r="CQ41" s="131"/>
      <c r="CR41" s="131"/>
      <c r="CS41" s="131"/>
      <c r="CT41" s="131"/>
      <c r="CU41" s="131"/>
      <c r="CV41" s="131"/>
      <c r="CW41" s="131"/>
      <c r="CX41" s="131"/>
      <c r="CY41" s="131"/>
      <c r="CZ41" s="131"/>
      <c r="DA41" s="131"/>
      <c r="DB41" s="131"/>
      <c r="DC41" s="131"/>
      <c r="DD41" s="131"/>
      <c r="DE41" s="131"/>
      <c r="DF41" s="131"/>
      <c r="DG41" s="131"/>
      <c r="DH41" s="131"/>
      <c r="DI41" s="131"/>
      <c r="DJ41" s="131"/>
      <c r="DK41" s="131"/>
      <c r="DL41" s="131"/>
      <c r="DM41" s="131"/>
      <c r="DN41" s="131"/>
      <c r="DO41" s="131"/>
      <c r="DP41" s="131"/>
      <c r="DQ41" s="131"/>
      <c r="DR41" s="131"/>
      <c r="DS41" s="131"/>
      <c r="DT41" s="131"/>
      <c r="DU41" s="131"/>
      <c r="DV41" s="131"/>
      <c r="DW41" s="131"/>
      <c r="DX41" s="131"/>
      <c r="DY41" s="131"/>
      <c r="DZ41" s="131"/>
      <c r="EA41" s="131"/>
      <c r="EB41" s="131"/>
      <c r="EC41" s="131"/>
      <c r="ED41" s="131"/>
      <c r="EE41" s="131"/>
      <c r="EF41" s="131"/>
      <c r="EG41" s="131"/>
      <c r="EH41" s="131"/>
      <c r="EI41" s="131"/>
      <c r="EJ41" s="131"/>
      <c r="EK41" s="131"/>
      <c r="EL41" s="131"/>
      <c r="EM41" s="131"/>
      <c r="EN41" s="131"/>
      <c r="EO41" s="131"/>
      <c r="EP41" s="131"/>
      <c r="EQ41" s="131"/>
      <c r="ER41" s="131"/>
      <c r="ES41" s="131"/>
      <c r="ET41" s="131"/>
      <c r="EU41" s="131"/>
      <c r="EV41" s="131"/>
      <c r="EW41" s="131"/>
      <c r="EX41" s="131"/>
      <c r="EY41" s="131"/>
      <c r="EZ41" s="131"/>
      <c r="FA41" s="131"/>
      <c r="FB41" s="131"/>
      <c r="FC41" s="131"/>
      <c r="FD41" s="131"/>
      <c r="FE41" s="131"/>
      <c r="FF41" s="131"/>
      <c r="FG41" s="131"/>
      <c r="FH41" s="131"/>
      <c r="FI41" s="131"/>
      <c r="FJ41" s="131"/>
      <c r="FK41" s="131"/>
      <c r="FL41" s="131"/>
      <c r="FM41" s="131"/>
      <c r="FN41" s="131"/>
      <c r="FO41" s="131"/>
      <c r="FP41" s="131"/>
      <c r="FQ41" s="131"/>
      <c r="FR41" s="131"/>
      <c r="FS41" s="131"/>
      <c r="FT41" s="131"/>
      <c r="FU41" s="131"/>
      <c r="FV41" s="131"/>
      <c r="FW41" s="131"/>
      <c r="FX41" s="131"/>
      <c r="FY41" s="131"/>
      <c r="FZ41" s="131"/>
      <c r="GA41" s="131"/>
      <c r="GB41" s="131"/>
      <c r="GC41" s="131"/>
      <c r="GD41" s="131"/>
      <c r="GE41" s="131"/>
      <c r="GF41" s="131"/>
      <c r="GG41" s="131"/>
      <c r="GH41" s="131"/>
      <c r="GI41" s="131"/>
      <c r="GJ41" s="131"/>
      <c r="GK41" s="131"/>
      <c r="GL41" s="131"/>
      <c r="GM41" s="131"/>
      <c r="GN41" s="131"/>
      <c r="GO41" s="131"/>
      <c r="GP41" s="131"/>
      <c r="GQ41" s="131"/>
      <c r="GR41" s="131"/>
      <c r="GS41" s="131"/>
      <c r="GT41" s="131"/>
      <c r="GU41" s="131"/>
      <c r="GV41" s="131"/>
      <c r="GW41" s="131"/>
      <c r="GX41" s="131"/>
      <c r="GY41" s="131"/>
      <c r="GZ41" s="131"/>
      <c r="HA41" s="131"/>
      <c r="HB41" s="131"/>
      <c r="HC41" s="131"/>
      <c r="HD41" s="131"/>
      <c r="HE41" s="131"/>
      <c r="HF41" s="131"/>
      <c r="HG41" s="131"/>
      <c r="HH41" s="131"/>
      <c r="HI41" s="131"/>
      <c r="HJ41" s="131"/>
      <c r="HK41" s="131"/>
      <c r="HL41" s="131"/>
      <c r="HM41" s="131"/>
      <c r="HN41" s="131"/>
      <c r="HO41" s="131"/>
      <c r="HP41" s="131"/>
      <c r="HQ41" s="131"/>
      <c r="HR41" s="131"/>
      <c r="HS41" s="131"/>
      <c r="HT41" s="131"/>
      <c r="HU41" s="131"/>
      <c r="HV41" s="131"/>
      <c r="HW41" s="131"/>
      <c r="HX41" s="131"/>
      <c r="HY41" s="131"/>
      <c r="HZ41" s="131"/>
      <c r="IA41" s="131"/>
      <c r="IB41" s="131"/>
      <c r="IC41" s="131"/>
      <c r="ID41" s="131"/>
      <c r="IE41" s="131"/>
      <c r="IF41" s="131"/>
      <c r="IG41" s="131"/>
      <c r="IH41" s="131"/>
      <c r="II41" s="131"/>
      <c r="IJ41" s="131"/>
      <c r="IK41" s="131"/>
      <c r="IL41" s="131"/>
      <c r="IM41" s="131"/>
      <c r="IN41" s="131"/>
      <c r="IO41" s="131"/>
      <c r="IP41" s="131"/>
      <c r="IQ41" s="131"/>
      <c r="IR41" s="131"/>
      <c r="IS41" s="131"/>
      <c r="IT41" s="131"/>
      <c r="IU41" s="131"/>
      <c r="IV41" s="131"/>
      <c r="IW41" s="131"/>
      <c r="IX41" s="131"/>
      <c r="IY41" s="131"/>
      <c r="IZ41" s="131"/>
      <c r="JA41" s="131"/>
      <c r="JB41" s="131"/>
      <c r="JC41" s="131"/>
      <c r="JD41" s="131"/>
      <c r="JE41" s="131"/>
      <c r="JF41" s="131"/>
      <c r="JG41" s="131"/>
      <c r="JH41" s="131"/>
      <c r="JI41" s="131"/>
      <c r="JJ41" s="131"/>
      <c r="JK41" s="131"/>
      <c r="JL41" s="131"/>
      <c r="JM41" s="131"/>
      <c r="JN41" s="131"/>
      <c r="JO41" s="131"/>
      <c r="JP41" s="131"/>
      <c r="JQ41" s="131"/>
      <c r="JR41" s="131"/>
      <c r="JS41" s="131"/>
      <c r="JT41" s="131"/>
      <c r="JU41" s="131"/>
      <c r="JV41" s="131"/>
      <c r="JW41" s="131"/>
      <c r="JX41" s="131"/>
      <c r="JY41" s="131"/>
      <c r="JZ41" s="131"/>
      <c r="KA41" s="131"/>
      <c r="KB41" s="131"/>
      <c r="KC41" s="131"/>
      <c r="KD41" s="131"/>
      <c r="KE41" s="131"/>
      <c r="KF41" s="131"/>
      <c r="KG41" s="131"/>
      <c r="KH41" s="131"/>
      <c r="KI41" s="131"/>
      <c r="KJ41" s="131"/>
      <c r="KK41" s="131"/>
      <c r="KL41" s="131"/>
      <c r="KM41" s="131"/>
      <c r="KN41" s="131"/>
      <c r="KO41" s="131"/>
      <c r="KP41" s="131"/>
      <c r="KQ41" s="131"/>
      <c r="KR41" s="131"/>
      <c r="KS41" s="131"/>
      <c r="KT41" s="131"/>
      <c r="KU41" s="131"/>
      <c r="KV41" s="131"/>
      <c r="KW41" s="131"/>
      <c r="KX41" s="131"/>
      <c r="KY41" s="131"/>
      <c r="KZ41" s="131"/>
      <c r="LA41" s="131"/>
      <c r="LB41" s="131"/>
      <c r="LC41" s="131"/>
      <c r="LD41" s="131"/>
      <c r="LE41" s="131"/>
      <c r="LF41" s="131"/>
      <c r="LG41" s="131"/>
      <c r="LH41" s="131"/>
      <c r="LI41" s="131"/>
      <c r="LJ41" s="131"/>
      <c r="LK41" s="131"/>
      <c r="LL41" s="131"/>
      <c r="LM41" s="131"/>
      <c r="LN41" s="131"/>
      <c r="LO41" s="131"/>
      <c r="LP41" s="131"/>
      <c r="LQ41" s="131"/>
      <c r="LR41" s="131"/>
      <c r="LS41" s="131"/>
      <c r="LT41" s="131"/>
      <c r="LU41" s="131"/>
      <c r="LV41" s="131"/>
      <c r="LW41" s="131"/>
      <c r="LX41" s="131"/>
      <c r="LY41" s="131"/>
      <c r="LZ41" s="131"/>
      <c r="MA41" s="131"/>
      <c r="MB41" s="131"/>
      <c r="MC41" s="131"/>
      <c r="MD41" s="131"/>
      <c r="ME41" s="131"/>
      <c r="MF41" s="131"/>
      <c r="MG41" s="131"/>
      <c r="MH41" s="131"/>
      <c r="MI41" s="131"/>
      <c r="MJ41" s="131"/>
      <c r="MK41" s="131"/>
      <c r="ML41" s="131"/>
      <c r="MM41" s="131"/>
      <c r="MN41" s="131"/>
      <c r="MO41" s="131"/>
      <c r="MP41" s="131"/>
      <c r="MQ41" s="131"/>
      <c r="MR41" s="131"/>
      <c r="MS41" s="131"/>
      <c r="MT41" s="131"/>
      <c r="MU41" s="131"/>
      <c r="MV41" s="131"/>
      <c r="MW41" s="131"/>
      <c r="MX41" s="131"/>
      <c r="MY41" s="131"/>
      <c r="MZ41" s="131"/>
      <c r="NA41" s="131"/>
      <c r="NB41" s="131"/>
      <c r="NC41" s="131"/>
      <c r="ND41" s="131"/>
      <c r="NE41" s="131"/>
      <c r="NF41" s="131"/>
      <c r="NG41" s="131"/>
      <c r="NH41" s="131"/>
      <c r="NI41" s="131"/>
      <c r="NJ41" s="131"/>
      <c r="NK41" s="131"/>
      <c r="NL41" s="131"/>
      <c r="NM41" s="131"/>
      <c r="NN41" s="131"/>
      <c r="NO41" s="131"/>
      <c r="NP41" s="131"/>
      <c r="NQ41" s="131"/>
      <c r="NR41" s="131"/>
      <c r="NS41" s="131"/>
      <c r="NT41" s="131"/>
      <c r="NU41" s="131"/>
      <c r="NV41" s="131"/>
      <c r="NW41" s="24">
        <f t="shared" si="9"/>
        <v>0</v>
      </c>
      <c r="NX41" s="56" t="s">
        <v>36</v>
      </c>
      <c r="NY41" s="127">
        <v>9176.18</v>
      </c>
      <c r="NZ41" s="78">
        <f t="shared" si="2"/>
        <v>0</v>
      </c>
      <c r="OA41" s="78">
        <v>5761.3200000000006</v>
      </c>
      <c r="OB41" s="127">
        <f t="shared" si="0"/>
        <v>9176.18</v>
      </c>
      <c r="OC41" s="153"/>
      <c r="OD41" s="108">
        <f t="shared" si="10"/>
        <v>1.5927218068081619</v>
      </c>
      <c r="OE41" s="160" t="s">
        <v>518</v>
      </c>
    </row>
    <row r="42" spans="1:395" s="5" customFormat="1" ht="12.75" customHeight="1" x14ac:dyDescent="0.25">
      <c r="A42" s="62">
        <v>44518</v>
      </c>
      <c r="B42" s="106" t="s">
        <v>143</v>
      </c>
      <c r="C42" s="129"/>
      <c r="D42" s="129"/>
      <c r="E42" s="130"/>
      <c r="F42" s="130"/>
      <c r="G42" s="130"/>
      <c r="H42" s="130"/>
      <c r="I42" s="130"/>
      <c r="J42" s="130"/>
      <c r="K42" s="130"/>
      <c r="L42" s="130"/>
      <c r="M42" s="131"/>
      <c r="N42" s="131"/>
      <c r="O42" s="131"/>
      <c r="P42" s="131"/>
      <c r="Q42" s="131"/>
      <c r="R42" s="131"/>
      <c r="S42" s="131"/>
      <c r="T42" s="131"/>
      <c r="U42" s="131"/>
      <c r="V42" s="131"/>
      <c r="W42" s="131"/>
      <c r="X42" s="131"/>
      <c r="Y42" s="131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  <c r="AN42" s="131"/>
      <c r="AO42" s="131"/>
      <c r="AP42" s="131"/>
      <c r="AQ42" s="131"/>
      <c r="AR42" s="131"/>
      <c r="AS42" s="131"/>
      <c r="AT42" s="131"/>
      <c r="AU42" s="131"/>
      <c r="AV42" s="131"/>
      <c r="AW42" s="131"/>
      <c r="AX42" s="131"/>
      <c r="AY42" s="131"/>
      <c r="AZ42" s="131"/>
      <c r="BA42" s="131"/>
      <c r="BB42" s="131"/>
      <c r="BC42" s="131"/>
      <c r="BD42" s="131"/>
      <c r="BE42" s="131"/>
      <c r="BF42" s="131"/>
      <c r="BG42" s="131"/>
      <c r="BH42" s="131"/>
      <c r="BI42" s="131"/>
      <c r="BJ42" s="131"/>
      <c r="BK42" s="131"/>
      <c r="BL42" s="131"/>
      <c r="BM42" s="131"/>
      <c r="BN42" s="131"/>
      <c r="BO42" s="131"/>
      <c r="BP42" s="131"/>
      <c r="BQ42" s="131"/>
      <c r="BR42" s="131"/>
      <c r="BS42" s="131"/>
      <c r="BT42" s="131"/>
      <c r="BU42" s="131"/>
      <c r="BV42" s="131"/>
      <c r="BW42" s="131"/>
      <c r="BX42" s="131"/>
      <c r="BY42" s="131"/>
      <c r="BZ42" s="131"/>
      <c r="CA42" s="131"/>
      <c r="CB42" s="131"/>
      <c r="CC42" s="131"/>
      <c r="CD42" s="131"/>
      <c r="CE42" s="131"/>
      <c r="CF42" s="131"/>
      <c r="CG42" s="131"/>
      <c r="CH42" s="131"/>
      <c r="CI42" s="131"/>
      <c r="CJ42" s="131"/>
      <c r="CK42" s="131"/>
      <c r="CL42" s="131"/>
      <c r="CM42" s="131"/>
      <c r="CN42" s="131"/>
      <c r="CO42" s="131"/>
      <c r="CP42" s="131"/>
      <c r="CQ42" s="131"/>
      <c r="CR42" s="131"/>
      <c r="CS42" s="131"/>
      <c r="CT42" s="131"/>
      <c r="CU42" s="131"/>
      <c r="CV42" s="131"/>
      <c r="CW42" s="131"/>
      <c r="CX42" s="131"/>
      <c r="CY42" s="131"/>
      <c r="CZ42" s="131"/>
      <c r="DA42" s="131"/>
      <c r="DB42" s="131"/>
      <c r="DC42" s="131"/>
      <c r="DD42" s="131"/>
      <c r="DE42" s="131"/>
      <c r="DF42" s="131"/>
      <c r="DG42" s="131"/>
      <c r="DH42" s="131"/>
      <c r="DI42" s="131"/>
      <c r="DJ42" s="131"/>
      <c r="DK42" s="131"/>
      <c r="DL42" s="131"/>
      <c r="DM42" s="131"/>
      <c r="DN42" s="131"/>
      <c r="DO42" s="131"/>
      <c r="DP42" s="131"/>
      <c r="DQ42" s="131"/>
      <c r="DR42" s="131"/>
      <c r="DS42" s="131"/>
      <c r="DT42" s="131"/>
      <c r="DU42" s="131"/>
      <c r="DV42" s="131"/>
      <c r="DW42" s="131"/>
      <c r="DX42" s="131"/>
      <c r="DY42" s="131"/>
      <c r="DZ42" s="131"/>
      <c r="EA42" s="131"/>
      <c r="EB42" s="131"/>
      <c r="EC42" s="131"/>
      <c r="ED42" s="131"/>
      <c r="EE42" s="131"/>
      <c r="EF42" s="131"/>
      <c r="EG42" s="131"/>
      <c r="EH42" s="131"/>
      <c r="EI42" s="131"/>
      <c r="EJ42" s="131"/>
      <c r="EK42" s="131"/>
      <c r="EL42" s="131"/>
      <c r="EM42" s="131"/>
      <c r="EN42" s="131"/>
      <c r="EO42" s="131"/>
      <c r="EP42" s="131"/>
      <c r="EQ42" s="131"/>
      <c r="ER42" s="131"/>
      <c r="ES42" s="131"/>
      <c r="ET42" s="131"/>
      <c r="EU42" s="131"/>
      <c r="EV42" s="131"/>
      <c r="EW42" s="131"/>
      <c r="EX42" s="131"/>
      <c r="EY42" s="131"/>
      <c r="EZ42" s="131"/>
      <c r="FA42" s="131"/>
      <c r="FB42" s="131"/>
      <c r="FC42" s="131"/>
      <c r="FD42" s="131"/>
      <c r="FE42" s="131"/>
      <c r="FF42" s="131"/>
      <c r="FG42" s="131"/>
      <c r="FH42" s="131"/>
      <c r="FI42" s="131"/>
      <c r="FJ42" s="131"/>
      <c r="FK42" s="131"/>
      <c r="FL42" s="131"/>
      <c r="FM42" s="131"/>
      <c r="FN42" s="131"/>
      <c r="FO42" s="131"/>
      <c r="FP42" s="131"/>
      <c r="FQ42" s="131"/>
      <c r="FR42" s="131"/>
      <c r="FS42" s="131"/>
      <c r="FT42" s="131"/>
      <c r="FU42" s="131"/>
      <c r="FV42" s="131"/>
      <c r="FW42" s="131"/>
      <c r="FX42" s="131"/>
      <c r="FY42" s="131"/>
      <c r="FZ42" s="131"/>
      <c r="GA42" s="131"/>
      <c r="GB42" s="131"/>
      <c r="GC42" s="131"/>
      <c r="GD42" s="131"/>
      <c r="GE42" s="131"/>
      <c r="GF42" s="131"/>
      <c r="GG42" s="131"/>
      <c r="GH42" s="131"/>
      <c r="GI42" s="131"/>
      <c r="GJ42" s="131"/>
      <c r="GK42" s="131"/>
      <c r="GL42" s="131"/>
      <c r="GM42" s="131"/>
      <c r="GN42" s="131"/>
      <c r="GO42" s="131"/>
      <c r="GP42" s="131"/>
      <c r="GQ42" s="131"/>
      <c r="GR42" s="131"/>
      <c r="GS42" s="131"/>
      <c r="GT42" s="131"/>
      <c r="GU42" s="131"/>
      <c r="GV42" s="131"/>
      <c r="GW42" s="131"/>
      <c r="GX42" s="131"/>
      <c r="GY42" s="131"/>
      <c r="GZ42" s="131"/>
      <c r="HA42" s="131"/>
      <c r="HB42" s="131"/>
      <c r="HC42" s="131"/>
      <c r="HD42" s="131"/>
      <c r="HE42" s="131"/>
      <c r="HF42" s="131"/>
      <c r="HG42" s="131"/>
      <c r="HH42" s="131"/>
      <c r="HI42" s="131"/>
      <c r="HJ42" s="131"/>
      <c r="HK42" s="131"/>
      <c r="HL42" s="131"/>
      <c r="HM42" s="131"/>
      <c r="HN42" s="131"/>
      <c r="HO42" s="131"/>
      <c r="HP42" s="131"/>
      <c r="HQ42" s="131"/>
      <c r="HR42" s="131"/>
      <c r="HS42" s="131"/>
      <c r="HT42" s="131"/>
      <c r="HU42" s="131"/>
      <c r="HV42" s="131"/>
      <c r="HW42" s="131"/>
      <c r="HX42" s="131"/>
      <c r="HY42" s="131"/>
      <c r="HZ42" s="131"/>
      <c r="IA42" s="131"/>
      <c r="IB42" s="131"/>
      <c r="IC42" s="131"/>
      <c r="ID42" s="131"/>
      <c r="IE42" s="131"/>
      <c r="IF42" s="131"/>
      <c r="IG42" s="131"/>
      <c r="IH42" s="131"/>
      <c r="II42" s="131"/>
      <c r="IJ42" s="131"/>
      <c r="IK42" s="131"/>
      <c r="IL42" s="131"/>
      <c r="IM42" s="131"/>
      <c r="IN42" s="131"/>
      <c r="IO42" s="131"/>
      <c r="IP42" s="131"/>
      <c r="IQ42" s="131"/>
      <c r="IR42" s="131"/>
      <c r="IS42" s="131"/>
      <c r="IT42" s="131"/>
      <c r="IU42" s="131"/>
      <c r="IV42" s="131"/>
      <c r="IW42" s="131"/>
      <c r="IX42" s="131"/>
      <c r="IY42" s="131"/>
      <c r="IZ42" s="131"/>
      <c r="JA42" s="131"/>
      <c r="JB42" s="131"/>
      <c r="JC42" s="131"/>
      <c r="JD42" s="131"/>
      <c r="JE42" s="131"/>
      <c r="JF42" s="131"/>
      <c r="JG42" s="131"/>
      <c r="JH42" s="131"/>
      <c r="JI42" s="131"/>
      <c r="JJ42" s="131"/>
      <c r="JK42" s="131"/>
      <c r="JL42" s="131"/>
      <c r="JM42" s="131"/>
      <c r="JN42" s="131"/>
      <c r="JO42" s="131"/>
      <c r="JP42" s="131"/>
      <c r="JQ42" s="131"/>
      <c r="JR42" s="131"/>
      <c r="JS42" s="131"/>
      <c r="JT42" s="131"/>
      <c r="JU42" s="131"/>
      <c r="JV42" s="131"/>
      <c r="JW42" s="131"/>
      <c r="JX42" s="131"/>
      <c r="JY42" s="131"/>
      <c r="JZ42" s="131"/>
      <c r="KA42" s="131"/>
      <c r="KB42" s="131"/>
      <c r="KC42" s="131"/>
      <c r="KD42" s="131"/>
      <c r="KE42" s="131"/>
      <c r="KF42" s="131"/>
      <c r="KG42" s="131"/>
      <c r="KH42" s="131"/>
      <c r="KI42" s="131"/>
      <c r="KJ42" s="131"/>
      <c r="KK42" s="131"/>
      <c r="KL42" s="131"/>
      <c r="KM42" s="131"/>
      <c r="KN42" s="131"/>
      <c r="KO42" s="131"/>
      <c r="KP42" s="131"/>
      <c r="KQ42" s="131"/>
      <c r="KR42" s="131"/>
      <c r="KS42" s="131"/>
      <c r="KT42" s="131"/>
      <c r="KU42" s="131"/>
      <c r="KV42" s="131"/>
      <c r="KW42" s="131"/>
      <c r="KX42" s="131"/>
      <c r="KY42" s="131"/>
      <c r="KZ42" s="131"/>
      <c r="LA42" s="131"/>
      <c r="LB42" s="131"/>
      <c r="LC42" s="131"/>
      <c r="LD42" s="131"/>
      <c r="LE42" s="131"/>
      <c r="LF42" s="131"/>
      <c r="LG42" s="131"/>
      <c r="LH42" s="131"/>
      <c r="LI42" s="131"/>
      <c r="LJ42" s="131"/>
      <c r="LK42" s="131"/>
      <c r="LL42" s="131"/>
      <c r="LM42" s="131"/>
      <c r="LN42" s="131"/>
      <c r="LO42" s="131"/>
      <c r="LP42" s="131"/>
      <c r="LQ42" s="131"/>
      <c r="LR42" s="131"/>
      <c r="LS42" s="131"/>
      <c r="LT42" s="131"/>
      <c r="LU42" s="131"/>
      <c r="LV42" s="131"/>
      <c r="LW42" s="131"/>
      <c r="LX42" s="131"/>
      <c r="LY42" s="131"/>
      <c r="LZ42" s="131"/>
      <c r="MA42" s="131"/>
      <c r="MB42" s="131"/>
      <c r="MC42" s="131"/>
      <c r="MD42" s="131"/>
      <c r="ME42" s="131"/>
      <c r="MF42" s="131"/>
      <c r="MG42" s="131"/>
      <c r="MH42" s="131"/>
      <c r="MI42" s="131"/>
      <c r="MJ42" s="131"/>
      <c r="MK42" s="131"/>
      <c r="ML42" s="131"/>
      <c r="MM42" s="131"/>
      <c r="MN42" s="131"/>
      <c r="MO42" s="131"/>
      <c r="MP42" s="131"/>
      <c r="MQ42" s="131"/>
      <c r="MR42" s="131"/>
      <c r="MS42" s="131"/>
      <c r="MT42" s="131"/>
      <c r="MU42" s="131"/>
      <c r="MV42" s="131"/>
      <c r="MW42" s="131"/>
      <c r="MX42" s="131"/>
      <c r="MY42" s="131"/>
      <c r="MZ42" s="131"/>
      <c r="NA42" s="131"/>
      <c r="NB42" s="131"/>
      <c r="NC42" s="131"/>
      <c r="ND42" s="131"/>
      <c r="NE42" s="131"/>
      <c r="NF42" s="131"/>
      <c r="NG42" s="131"/>
      <c r="NH42" s="131"/>
      <c r="NI42" s="131"/>
      <c r="NJ42" s="131"/>
      <c r="NK42" s="131"/>
      <c r="NL42" s="131"/>
      <c r="NM42" s="131"/>
      <c r="NN42" s="131"/>
      <c r="NO42" s="131"/>
      <c r="NP42" s="131"/>
      <c r="NQ42" s="131"/>
      <c r="NR42" s="131"/>
      <c r="NS42" s="131"/>
      <c r="NT42" s="131"/>
      <c r="NU42" s="131"/>
      <c r="NV42" s="131"/>
      <c r="NW42" s="24">
        <f t="shared" si="9"/>
        <v>0</v>
      </c>
      <c r="NX42" s="56" t="s">
        <v>36</v>
      </c>
      <c r="NY42" s="127">
        <v>910.99</v>
      </c>
      <c r="NZ42" s="78">
        <f t="shared" si="2"/>
        <v>0</v>
      </c>
      <c r="OA42" s="78">
        <v>944.13200000000006</v>
      </c>
      <c r="OB42" s="127">
        <f t="shared" si="0"/>
        <v>910.99</v>
      </c>
      <c r="OC42" s="153"/>
      <c r="OD42" s="108">
        <f t="shared" si="10"/>
        <v>0.96489685764278721</v>
      </c>
      <c r="OE42" s="160" t="s">
        <v>521</v>
      </c>
    </row>
    <row r="43" spans="1:395" s="5" customFormat="1" ht="12.75" customHeight="1" x14ac:dyDescent="0.25">
      <c r="A43" s="62">
        <v>44519</v>
      </c>
      <c r="B43" s="106" t="s">
        <v>202</v>
      </c>
      <c r="C43" s="129"/>
      <c r="D43" s="129"/>
      <c r="E43" s="130"/>
      <c r="F43" s="130"/>
      <c r="G43" s="130"/>
      <c r="H43" s="130"/>
      <c r="I43" s="130"/>
      <c r="J43" s="130"/>
      <c r="K43" s="130"/>
      <c r="L43" s="130"/>
      <c r="M43" s="131"/>
      <c r="N43" s="131"/>
      <c r="O43" s="131"/>
      <c r="P43" s="131"/>
      <c r="Q43" s="131"/>
      <c r="R43" s="131"/>
      <c r="S43" s="131"/>
      <c r="T43" s="131"/>
      <c r="U43" s="131"/>
      <c r="V43" s="131"/>
      <c r="W43" s="131"/>
      <c r="X43" s="131"/>
      <c r="Y43" s="131"/>
      <c r="Z43" s="131"/>
      <c r="AA43" s="131"/>
      <c r="AB43" s="131"/>
      <c r="AC43" s="131"/>
      <c r="AD43" s="131"/>
      <c r="AE43" s="131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  <c r="AP43" s="131"/>
      <c r="AQ43" s="131"/>
      <c r="AR43" s="131"/>
      <c r="AS43" s="131"/>
      <c r="AT43" s="131"/>
      <c r="AU43" s="131"/>
      <c r="AV43" s="131"/>
      <c r="AW43" s="131"/>
      <c r="AX43" s="131"/>
      <c r="AY43" s="131"/>
      <c r="AZ43" s="131"/>
      <c r="BA43" s="131"/>
      <c r="BB43" s="131"/>
      <c r="BC43" s="131"/>
      <c r="BD43" s="131"/>
      <c r="BE43" s="131"/>
      <c r="BF43" s="131"/>
      <c r="BG43" s="131"/>
      <c r="BH43" s="131"/>
      <c r="BI43" s="131"/>
      <c r="BJ43" s="131"/>
      <c r="BK43" s="131"/>
      <c r="BL43" s="131"/>
      <c r="BM43" s="131"/>
      <c r="BN43" s="131"/>
      <c r="BO43" s="131"/>
      <c r="BP43" s="131"/>
      <c r="BQ43" s="131"/>
      <c r="BR43" s="131"/>
      <c r="BS43" s="131"/>
      <c r="BT43" s="131"/>
      <c r="BU43" s="131"/>
      <c r="BV43" s="131"/>
      <c r="BW43" s="131"/>
      <c r="BX43" s="131"/>
      <c r="BY43" s="131"/>
      <c r="BZ43" s="131"/>
      <c r="CA43" s="131"/>
      <c r="CB43" s="131"/>
      <c r="CC43" s="131"/>
      <c r="CD43" s="131"/>
      <c r="CE43" s="131"/>
      <c r="CF43" s="131"/>
      <c r="CG43" s="131"/>
      <c r="CH43" s="131"/>
      <c r="CI43" s="131"/>
      <c r="CJ43" s="131"/>
      <c r="CK43" s="131"/>
      <c r="CL43" s="131"/>
      <c r="CM43" s="131"/>
      <c r="CN43" s="131"/>
      <c r="CO43" s="131"/>
      <c r="CP43" s="131"/>
      <c r="CQ43" s="131"/>
      <c r="CR43" s="131"/>
      <c r="CS43" s="131"/>
      <c r="CT43" s="131"/>
      <c r="CU43" s="131"/>
      <c r="CV43" s="131"/>
      <c r="CW43" s="131"/>
      <c r="CX43" s="131"/>
      <c r="CY43" s="131"/>
      <c r="CZ43" s="131"/>
      <c r="DA43" s="131"/>
      <c r="DB43" s="131"/>
      <c r="DC43" s="131"/>
      <c r="DD43" s="131"/>
      <c r="DE43" s="131"/>
      <c r="DF43" s="131"/>
      <c r="DG43" s="131"/>
      <c r="DH43" s="131"/>
      <c r="DI43" s="131"/>
      <c r="DJ43" s="131"/>
      <c r="DK43" s="131"/>
      <c r="DL43" s="131"/>
      <c r="DM43" s="131"/>
      <c r="DN43" s="131"/>
      <c r="DO43" s="131"/>
      <c r="DP43" s="131"/>
      <c r="DQ43" s="131"/>
      <c r="DR43" s="131"/>
      <c r="DS43" s="131"/>
      <c r="DT43" s="131"/>
      <c r="DU43" s="131"/>
      <c r="DV43" s="131"/>
      <c r="DW43" s="131"/>
      <c r="DX43" s="131"/>
      <c r="DY43" s="131"/>
      <c r="DZ43" s="131"/>
      <c r="EA43" s="131"/>
      <c r="EB43" s="131"/>
      <c r="EC43" s="131"/>
      <c r="ED43" s="131"/>
      <c r="EE43" s="131"/>
      <c r="EF43" s="131"/>
      <c r="EG43" s="131"/>
      <c r="EH43" s="131"/>
      <c r="EI43" s="131"/>
      <c r="EJ43" s="131"/>
      <c r="EK43" s="131"/>
      <c r="EL43" s="131"/>
      <c r="EM43" s="131"/>
      <c r="EN43" s="131"/>
      <c r="EO43" s="131"/>
      <c r="EP43" s="131"/>
      <c r="EQ43" s="131"/>
      <c r="ER43" s="131"/>
      <c r="ES43" s="131"/>
      <c r="ET43" s="131"/>
      <c r="EU43" s="131"/>
      <c r="EV43" s="131"/>
      <c r="EW43" s="131"/>
      <c r="EX43" s="131"/>
      <c r="EY43" s="131"/>
      <c r="EZ43" s="131"/>
      <c r="FA43" s="131"/>
      <c r="FB43" s="131"/>
      <c r="FC43" s="131"/>
      <c r="FD43" s="131"/>
      <c r="FE43" s="131"/>
      <c r="FF43" s="131"/>
      <c r="FG43" s="131"/>
      <c r="FH43" s="131"/>
      <c r="FI43" s="131"/>
      <c r="FJ43" s="131"/>
      <c r="FK43" s="131"/>
      <c r="FL43" s="131"/>
      <c r="FM43" s="131"/>
      <c r="FN43" s="131"/>
      <c r="FO43" s="131"/>
      <c r="FP43" s="131"/>
      <c r="FQ43" s="131"/>
      <c r="FR43" s="131"/>
      <c r="FS43" s="131"/>
      <c r="FT43" s="131"/>
      <c r="FU43" s="131"/>
      <c r="FV43" s="131"/>
      <c r="FW43" s="131"/>
      <c r="FX43" s="131"/>
      <c r="FY43" s="131"/>
      <c r="FZ43" s="131"/>
      <c r="GA43" s="131"/>
      <c r="GB43" s="131"/>
      <c r="GC43" s="131"/>
      <c r="GD43" s="131"/>
      <c r="GE43" s="131"/>
      <c r="GF43" s="131"/>
      <c r="GG43" s="131"/>
      <c r="GH43" s="131"/>
      <c r="GI43" s="131"/>
      <c r="GJ43" s="131"/>
      <c r="GK43" s="131"/>
      <c r="GL43" s="131"/>
      <c r="GM43" s="131"/>
      <c r="GN43" s="131"/>
      <c r="GO43" s="131"/>
      <c r="GP43" s="131"/>
      <c r="GQ43" s="131"/>
      <c r="GR43" s="131"/>
      <c r="GS43" s="131"/>
      <c r="GT43" s="131"/>
      <c r="GU43" s="131"/>
      <c r="GV43" s="131"/>
      <c r="GW43" s="131"/>
      <c r="GX43" s="131"/>
      <c r="GY43" s="131"/>
      <c r="GZ43" s="131"/>
      <c r="HA43" s="131"/>
      <c r="HB43" s="131"/>
      <c r="HC43" s="131"/>
      <c r="HD43" s="131"/>
      <c r="HE43" s="131"/>
      <c r="HF43" s="131"/>
      <c r="HG43" s="131"/>
      <c r="HH43" s="131"/>
      <c r="HI43" s="131"/>
      <c r="HJ43" s="131"/>
      <c r="HK43" s="131"/>
      <c r="HL43" s="131"/>
      <c r="HM43" s="131"/>
      <c r="HN43" s="131"/>
      <c r="HO43" s="131"/>
      <c r="HP43" s="131"/>
      <c r="HQ43" s="131"/>
      <c r="HR43" s="131"/>
      <c r="HS43" s="131"/>
      <c r="HT43" s="131"/>
      <c r="HU43" s="131"/>
      <c r="HV43" s="131"/>
      <c r="HW43" s="131"/>
      <c r="HX43" s="131"/>
      <c r="HY43" s="131"/>
      <c r="HZ43" s="131"/>
      <c r="IA43" s="131"/>
      <c r="IB43" s="131"/>
      <c r="IC43" s="131"/>
      <c r="ID43" s="131"/>
      <c r="IE43" s="131"/>
      <c r="IF43" s="131"/>
      <c r="IG43" s="131"/>
      <c r="IH43" s="131"/>
      <c r="II43" s="131"/>
      <c r="IJ43" s="131"/>
      <c r="IK43" s="131"/>
      <c r="IL43" s="131"/>
      <c r="IM43" s="131"/>
      <c r="IN43" s="131"/>
      <c r="IO43" s="131"/>
      <c r="IP43" s="131"/>
      <c r="IQ43" s="131"/>
      <c r="IR43" s="131"/>
      <c r="IS43" s="131"/>
      <c r="IT43" s="131"/>
      <c r="IU43" s="131"/>
      <c r="IV43" s="131"/>
      <c r="IW43" s="131"/>
      <c r="IX43" s="131"/>
      <c r="IY43" s="131"/>
      <c r="IZ43" s="131"/>
      <c r="JA43" s="131"/>
      <c r="JB43" s="131"/>
      <c r="JC43" s="131"/>
      <c r="JD43" s="131"/>
      <c r="JE43" s="131"/>
      <c r="JF43" s="131"/>
      <c r="JG43" s="131"/>
      <c r="JH43" s="131"/>
      <c r="JI43" s="131"/>
      <c r="JJ43" s="131"/>
      <c r="JK43" s="131"/>
      <c r="JL43" s="131"/>
      <c r="JM43" s="131"/>
      <c r="JN43" s="131"/>
      <c r="JO43" s="131"/>
      <c r="JP43" s="131"/>
      <c r="JQ43" s="131"/>
      <c r="JR43" s="131"/>
      <c r="JS43" s="131"/>
      <c r="JT43" s="131"/>
      <c r="JU43" s="131"/>
      <c r="JV43" s="131"/>
      <c r="JW43" s="131"/>
      <c r="JX43" s="131"/>
      <c r="JY43" s="131"/>
      <c r="JZ43" s="131"/>
      <c r="KA43" s="131"/>
      <c r="KB43" s="131"/>
      <c r="KC43" s="131"/>
      <c r="KD43" s="131"/>
      <c r="KE43" s="131"/>
      <c r="KF43" s="131"/>
      <c r="KG43" s="131"/>
      <c r="KH43" s="131"/>
      <c r="KI43" s="131"/>
      <c r="KJ43" s="131"/>
      <c r="KK43" s="131"/>
      <c r="KL43" s="131"/>
      <c r="KM43" s="131"/>
      <c r="KN43" s="131"/>
      <c r="KO43" s="131"/>
      <c r="KP43" s="131"/>
      <c r="KQ43" s="131"/>
      <c r="KR43" s="131"/>
      <c r="KS43" s="131"/>
      <c r="KT43" s="131"/>
      <c r="KU43" s="131"/>
      <c r="KV43" s="131"/>
      <c r="KW43" s="131"/>
      <c r="KX43" s="131"/>
      <c r="KY43" s="131"/>
      <c r="KZ43" s="131"/>
      <c r="LA43" s="131"/>
      <c r="LB43" s="131"/>
      <c r="LC43" s="131"/>
      <c r="LD43" s="131"/>
      <c r="LE43" s="131"/>
      <c r="LF43" s="131"/>
      <c r="LG43" s="131"/>
      <c r="LH43" s="131"/>
      <c r="LI43" s="131"/>
      <c r="LJ43" s="131"/>
      <c r="LK43" s="131"/>
      <c r="LL43" s="131"/>
      <c r="LM43" s="131"/>
      <c r="LN43" s="131"/>
      <c r="LO43" s="131"/>
      <c r="LP43" s="131"/>
      <c r="LQ43" s="131"/>
      <c r="LR43" s="131"/>
      <c r="LS43" s="131"/>
      <c r="LT43" s="131"/>
      <c r="LU43" s="131"/>
      <c r="LV43" s="131"/>
      <c r="LW43" s="131"/>
      <c r="LX43" s="131"/>
      <c r="LY43" s="131"/>
      <c r="LZ43" s="131"/>
      <c r="MA43" s="131"/>
      <c r="MB43" s="131"/>
      <c r="MC43" s="131"/>
      <c r="MD43" s="131"/>
      <c r="ME43" s="131"/>
      <c r="MF43" s="131"/>
      <c r="MG43" s="131"/>
      <c r="MH43" s="131"/>
      <c r="MI43" s="131"/>
      <c r="MJ43" s="131"/>
      <c r="MK43" s="131"/>
      <c r="ML43" s="131"/>
      <c r="MM43" s="131"/>
      <c r="MN43" s="131"/>
      <c r="MO43" s="131"/>
      <c r="MP43" s="131"/>
      <c r="MQ43" s="131"/>
      <c r="MR43" s="131"/>
      <c r="MS43" s="131"/>
      <c r="MT43" s="131"/>
      <c r="MU43" s="131"/>
      <c r="MV43" s="131"/>
      <c r="MW43" s="131"/>
      <c r="MX43" s="131"/>
      <c r="MY43" s="131"/>
      <c r="MZ43" s="131"/>
      <c r="NA43" s="131"/>
      <c r="NB43" s="131"/>
      <c r="NC43" s="131"/>
      <c r="ND43" s="131"/>
      <c r="NE43" s="131"/>
      <c r="NF43" s="131"/>
      <c r="NG43" s="131"/>
      <c r="NH43" s="131"/>
      <c r="NI43" s="131"/>
      <c r="NJ43" s="131"/>
      <c r="NK43" s="131"/>
      <c r="NL43" s="131"/>
      <c r="NM43" s="131"/>
      <c r="NN43" s="131"/>
      <c r="NO43" s="131"/>
      <c r="NP43" s="131"/>
      <c r="NQ43" s="131"/>
      <c r="NR43" s="131"/>
      <c r="NS43" s="131"/>
      <c r="NT43" s="131"/>
      <c r="NU43" s="131"/>
      <c r="NV43" s="131"/>
      <c r="NW43" s="24">
        <f t="shared" si="9"/>
        <v>0</v>
      </c>
      <c r="NX43" s="56" t="s">
        <v>36</v>
      </c>
      <c r="NY43" s="127">
        <v>5429.42</v>
      </c>
      <c r="NZ43" s="78">
        <f t="shared" si="2"/>
        <v>2303.12</v>
      </c>
      <c r="OA43" s="78">
        <v>3259.6</v>
      </c>
      <c r="OB43" s="127">
        <f t="shared" si="0"/>
        <v>3126.3</v>
      </c>
      <c r="OC43" s="153">
        <v>2303.12</v>
      </c>
      <c r="OD43" s="108">
        <f t="shared" si="10"/>
        <v>1.6656706344336729</v>
      </c>
      <c r="OE43" s="160" t="s">
        <v>522</v>
      </c>
    </row>
    <row r="44" spans="1:395" s="5" customFormat="1" ht="12.75" customHeight="1" x14ac:dyDescent="0.25">
      <c r="A44" s="62">
        <v>44522</v>
      </c>
      <c r="B44" s="116" t="s">
        <v>59</v>
      </c>
      <c r="C44" s="129"/>
      <c r="D44" s="129"/>
      <c r="E44" s="130"/>
      <c r="F44" s="130"/>
      <c r="G44" s="130"/>
      <c r="H44" s="130"/>
      <c r="I44" s="130"/>
      <c r="J44" s="130"/>
      <c r="K44" s="130"/>
      <c r="L44" s="130"/>
      <c r="M44" s="131"/>
      <c r="N44" s="131"/>
      <c r="O44" s="131"/>
      <c r="P44" s="131"/>
      <c r="Q44" s="131"/>
      <c r="R44" s="131"/>
      <c r="S44" s="131"/>
      <c r="T44" s="131"/>
      <c r="U44" s="131"/>
      <c r="V44" s="131"/>
      <c r="W44" s="131"/>
      <c r="X44" s="131"/>
      <c r="Y44" s="131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1"/>
      <c r="AP44" s="131"/>
      <c r="AQ44" s="131"/>
      <c r="AR44" s="131"/>
      <c r="AS44" s="131"/>
      <c r="AT44" s="131"/>
      <c r="AU44" s="131"/>
      <c r="AV44" s="131"/>
      <c r="AW44" s="131"/>
      <c r="AX44" s="131"/>
      <c r="AY44" s="131"/>
      <c r="AZ44" s="131"/>
      <c r="BA44" s="131"/>
      <c r="BB44" s="131"/>
      <c r="BC44" s="131"/>
      <c r="BD44" s="131"/>
      <c r="BE44" s="131"/>
      <c r="BF44" s="131"/>
      <c r="BG44" s="131"/>
      <c r="BH44" s="131"/>
      <c r="BI44" s="131"/>
      <c r="BJ44" s="131"/>
      <c r="BK44" s="131"/>
      <c r="BL44" s="131"/>
      <c r="BM44" s="131"/>
      <c r="BN44" s="131"/>
      <c r="BO44" s="131"/>
      <c r="BP44" s="131"/>
      <c r="BQ44" s="131"/>
      <c r="BR44" s="131"/>
      <c r="BS44" s="131"/>
      <c r="BT44" s="131"/>
      <c r="BU44" s="131"/>
      <c r="BV44" s="131"/>
      <c r="BW44" s="131"/>
      <c r="BX44" s="131"/>
      <c r="BY44" s="131"/>
      <c r="BZ44" s="131"/>
      <c r="CA44" s="131"/>
      <c r="CB44" s="131"/>
      <c r="CC44" s="131"/>
      <c r="CD44" s="131"/>
      <c r="CE44" s="131"/>
      <c r="CF44" s="131"/>
      <c r="CG44" s="131"/>
      <c r="CH44" s="131"/>
      <c r="CI44" s="131"/>
      <c r="CJ44" s="131"/>
      <c r="CK44" s="131"/>
      <c r="CL44" s="131"/>
      <c r="CM44" s="131"/>
      <c r="CN44" s="131"/>
      <c r="CO44" s="131"/>
      <c r="CP44" s="131"/>
      <c r="CQ44" s="131"/>
      <c r="CR44" s="131"/>
      <c r="CS44" s="131"/>
      <c r="CT44" s="131"/>
      <c r="CU44" s="131"/>
      <c r="CV44" s="131"/>
      <c r="CW44" s="131"/>
      <c r="CX44" s="131"/>
      <c r="CY44" s="131"/>
      <c r="CZ44" s="131"/>
      <c r="DA44" s="131"/>
      <c r="DB44" s="131"/>
      <c r="DC44" s="131"/>
      <c r="DD44" s="131"/>
      <c r="DE44" s="131"/>
      <c r="DF44" s="131"/>
      <c r="DG44" s="131"/>
      <c r="DH44" s="131"/>
      <c r="DI44" s="131"/>
      <c r="DJ44" s="131"/>
      <c r="DK44" s="131"/>
      <c r="DL44" s="131"/>
      <c r="DM44" s="131"/>
      <c r="DN44" s="131"/>
      <c r="DO44" s="131"/>
      <c r="DP44" s="131"/>
      <c r="DQ44" s="131"/>
      <c r="DR44" s="131"/>
      <c r="DS44" s="131"/>
      <c r="DT44" s="131"/>
      <c r="DU44" s="131"/>
      <c r="DV44" s="131"/>
      <c r="DW44" s="131"/>
      <c r="DX44" s="131"/>
      <c r="DY44" s="131"/>
      <c r="DZ44" s="131"/>
      <c r="EA44" s="131"/>
      <c r="EB44" s="131"/>
      <c r="EC44" s="131"/>
      <c r="ED44" s="131"/>
      <c r="EE44" s="131"/>
      <c r="EF44" s="131"/>
      <c r="EG44" s="131"/>
      <c r="EH44" s="131"/>
      <c r="EI44" s="131"/>
      <c r="EJ44" s="131"/>
      <c r="EK44" s="131"/>
      <c r="EL44" s="131"/>
      <c r="EM44" s="131"/>
      <c r="EN44" s="131"/>
      <c r="EO44" s="131"/>
      <c r="EP44" s="131"/>
      <c r="EQ44" s="131"/>
      <c r="ER44" s="131"/>
      <c r="ES44" s="131"/>
      <c r="ET44" s="131"/>
      <c r="EU44" s="131"/>
      <c r="EV44" s="131"/>
      <c r="EW44" s="131"/>
      <c r="EX44" s="131"/>
      <c r="EY44" s="131"/>
      <c r="EZ44" s="131"/>
      <c r="FA44" s="131"/>
      <c r="FB44" s="131"/>
      <c r="FC44" s="131"/>
      <c r="FD44" s="131"/>
      <c r="FE44" s="131"/>
      <c r="FF44" s="131"/>
      <c r="FG44" s="131"/>
      <c r="FH44" s="131"/>
      <c r="FI44" s="131"/>
      <c r="FJ44" s="131"/>
      <c r="FK44" s="131"/>
      <c r="FL44" s="131"/>
      <c r="FM44" s="131"/>
      <c r="FN44" s="131"/>
      <c r="FO44" s="131"/>
      <c r="FP44" s="131"/>
      <c r="FQ44" s="131"/>
      <c r="FR44" s="131"/>
      <c r="FS44" s="131"/>
      <c r="FT44" s="131"/>
      <c r="FU44" s="131"/>
      <c r="FV44" s="131"/>
      <c r="FW44" s="131"/>
      <c r="FX44" s="131"/>
      <c r="FY44" s="131"/>
      <c r="FZ44" s="131"/>
      <c r="GA44" s="131"/>
      <c r="GB44" s="131"/>
      <c r="GC44" s="131"/>
      <c r="GD44" s="131"/>
      <c r="GE44" s="131"/>
      <c r="GF44" s="131"/>
      <c r="GG44" s="131"/>
      <c r="GH44" s="131"/>
      <c r="GI44" s="131"/>
      <c r="GJ44" s="131"/>
      <c r="GK44" s="131"/>
      <c r="GL44" s="131"/>
      <c r="GM44" s="131"/>
      <c r="GN44" s="131"/>
      <c r="GO44" s="131"/>
      <c r="GP44" s="131"/>
      <c r="GQ44" s="131"/>
      <c r="GR44" s="131"/>
      <c r="GS44" s="131"/>
      <c r="GT44" s="131"/>
      <c r="GU44" s="131"/>
      <c r="GV44" s="131"/>
      <c r="GW44" s="131"/>
      <c r="GX44" s="131"/>
      <c r="GY44" s="131"/>
      <c r="GZ44" s="131"/>
      <c r="HA44" s="131"/>
      <c r="HB44" s="131"/>
      <c r="HC44" s="131"/>
      <c r="HD44" s="131"/>
      <c r="HE44" s="131"/>
      <c r="HF44" s="131"/>
      <c r="HG44" s="131"/>
      <c r="HH44" s="131"/>
      <c r="HI44" s="131"/>
      <c r="HJ44" s="131"/>
      <c r="HK44" s="131"/>
      <c r="HL44" s="131"/>
      <c r="HM44" s="131"/>
      <c r="HN44" s="131"/>
      <c r="HO44" s="131"/>
      <c r="HP44" s="131"/>
      <c r="HQ44" s="131"/>
      <c r="HR44" s="131"/>
      <c r="HS44" s="131"/>
      <c r="HT44" s="131"/>
      <c r="HU44" s="131"/>
      <c r="HV44" s="131"/>
      <c r="HW44" s="131"/>
      <c r="HX44" s="131"/>
      <c r="HY44" s="131"/>
      <c r="HZ44" s="131"/>
      <c r="IA44" s="131"/>
      <c r="IB44" s="131"/>
      <c r="IC44" s="131"/>
      <c r="ID44" s="131"/>
      <c r="IE44" s="131"/>
      <c r="IF44" s="131"/>
      <c r="IG44" s="131"/>
      <c r="IH44" s="131"/>
      <c r="II44" s="131"/>
      <c r="IJ44" s="131"/>
      <c r="IK44" s="131"/>
      <c r="IL44" s="131"/>
      <c r="IM44" s="131"/>
      <c r="IN44" s="131"/>
      <c r="IO44" s="131"/>
      <c r="IP44" s="131"/>
      <c r="IQ44" s="131"/>
      <c r="IR44" s="131"/>
      <c r="IS44" s="131"/>
      <c r="IT44" s="131"/>
      <c r="IU44" s="131"/>
      <c r="IV44" s="131"/>
      <c r="IW44" s="131"/>
      <c r="IX44" s="131"/>
      <c r="IY44" s="131"/>
      <c r="IZ44" s="131"/>
      <c r="JA44" s="131"/>
      <c r="JB44" s="131"/>
      <c r="JC44" s="131"/>
      <c r="JD44" s="131"/>
      <c r="JE44" s="131"/>
      <c r="JF44" s="131"/>
      <c r="JG44" s="131"/>
      <c r="JH44" s="131"/>
      <c r="JI44" s="131"/>
      <c r="JJ44" s="131"/>
      <c r="JK44" s="131"/>
      <c r="JL44" s="131"/>
      <c r="JM44" s="131"/>
      <c r="JN44" s="131"/>
      <c r="JO44" s="131"/>
      <c r="JP44" s="131"/>
      <c r="JQ44" s="131"/>
      <c r="JR44" s="131"/>
      <c r="JS44" s="131"/>
      <c r="JT44" s="131"/>
      <c r="JU44" s="131"/>
      <c r="JV44" s="131"/>
      <c r="JW44" s="131"/>
      <c r="JX44" s="131"/>
      <c r="JY44" s="131"/>
      <c r="JZ44" s="131"/>
      <c r="KA44" s="131"/>
      <c r="KB44" s="131"/>
      <c r="KC44" s="131"/>
      <c r="KD44" s="131"/>
      <c r="KE44" s="131"/>
      <c r="KF44" s="131"/>
      <c r="KG44" s="131"/>
      <c r="KH44" s="131"/>
      <c r="KI44" s="131"/>
      <c r="KJ44" s="131"/>
      <c r="KK44" s="131"/>
      <c r="KL44" s="131"/>
      <c r="KM44" s="131"/>
      <c r="KN44" s="131"/>
      <c r="KO44" s="131"/>
      <c r="KP44" s="131"/>
      <c r="KQ44" s="131"/>
      <c r="KR44" s="131"/>
      <c r="KS44" s="131"/>
      <c r="KT44" s="131"/>
      <c r="KU44" s="131"/>
      <c r="KV44" s="131"/>
      <c r="KW44" s="131"/>
      <c r="KX44" s="131"/>
      <c r="KY44" s="131"/>
      <c r="KZ44" s="131"/>
      <c r="LA44" s="131"/>
      <c r="LB44" s="131"/>
      <c r="LC44" s="131"/>
      <c r="LD44" s="131"/>
      <c r="LE44" s="131"/>
      <c r="LF44" s="131"/>
      <c r="LG44" s="131"/>
      <c r="LH44" s="131"/>
      <c r="LI44" s="131"/>
      <c r="LJ44" s="131"/>
      <c r="LK44" s="131"/>
      <c r="LL44" s="131"/>
      <c r="LM44" s="131"/>
      <c r="LN44" s="131"/>
      <c r="LO44" s="131"/>
      <c r="LP44" s="131"/>
      <c r="LQ44" s="131"/>
      <c r="LR44" s="131"/>
      <c r="LS44" s="131"/>
      <c r="LT44" s="131"/>
      <c r="LU44" s="131"/>
      <c r="LV44" s="131"/>
      <c r="LW44" s="131"/>
      <c r="LX44" s="131"/>
      <c r="LY44" s="131"/>
      <c r="LZ44" s="131"/>
      <c r="MA44" s="131"/>
      <c r="MB44" s="131"/>
      <c r="MC44" s="131"/>
      <c r="MD44" s="131"/>
      <c r="ME44" s="131"/>
      <c r="MF44" s="131"/>
      <c r="MG44" s="131"/>
      <c r="MH44" s="131"/>
      <c r="MI44" s="131"/>
      <c r="MJ44" s="131"/>
      <c r="MK44" s="131"/>
      <c r="ML44" s="131"/>
      <c r="MM44" s="131"/>
      <c r="MN44" s="131"/>
      <c r="MO44" s="131"/>
      <c r="MP44" s="131"/>
      <c r="MQ44" s="131"/>
      <c r="MR44" s="131"/>
      <c r="MS44" s="131"/>
      <c r="MT44" s="131"/>
      <c r="MU44" s="131"/>
      <c r="MV44" s="131"/>
      <c r="MW44" s="131"/>
      <c r="MX44" s="131"/>
      <c r="MY44" s="131"/>
      <c r="MZ44" s="131"/>
      <c r="NA44" s="131"/>
      <c r="NB44" s="131"/>
      <c r="NC44" s="131"/>
      <c r="ND44" s="131"/>
      <c r="NE44" s="131"/>
      <c r="NF44" s="131"/>
      <c r="NG44" s="131"/>
      <c r="NH44" s="131"/>
      <c r="NI44" s="131"/>
      <c r="NJ44" s="131"/>
      <c r="NK44" s="131"/>
      <c r="NL44" s="131"/>
      <c r="NM44" s="131"/>
      <c r="NN44" s="131"/>
      <c r="NO44" s="131"/>
      <c r="NP44" s="131"/>
      <c r="NQ44" s="131"/>
      <c r="NR44" s="131"/>
      <c r="NS44" s="131"/>
      <c r="NT44" s="131"/>
      <c r="NU44" s="131"/>
      <c r="NV44" s="131"/>
      <c r="NW44" s="24">
        <f t="shared" si="9"/>
        <v>0</v>
      </c>
      <c r="NX44" s="56" t="s">
        <v>36</v>
      </c>
      <c r="NY44" s="127">
        <v>617.35</v>
      </c>
      <c r="NZ44" s="78">
        <f t="shared" si="2"/>
        <v>0</v>
      </c>
      <c r="OA44" s="78">
        <v>267.58</v>
      </c>
      <c r="OB44" s="127">
        <f t="shared" si="0"/>
        <v>617.35</v>
      </c>
      <c r="OC44" s="153"/>
      <c r="OD44" s="108">
        <f t="shared" si="10"/>
        <v>2.3071604753718518</v>
      </c>
      <c r="OE44" s="160" t="s">
        <v>481</v>
      </c>
    </row>
    <row r="45" spans="1:395" s="5" customFormat="1" ht="12.75" customHeight="1" x14ac:dyDescent="0.25">
      <c r="A45" s="62">
        <v>44523</v>
      </c>
      <c r="B45" s="106" t="s">
        <v>388</v>
      </c>
      <c r="C45" s="129"/>
      <c r="D45" s="129"/>
      <c r="E45" s="130"/>
      <c r="F45" s="130"/>
      <c r="G45" s="130"/>
      <c r="H45" s="130"/>
      <c r="I45" s="130"/>
      <c r="J45" s="130"/>
      <c r="K45" s="130"/>
      <c r="L45" s="130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  <c r="AC45" s="131"/>
      <c r="AD45" s="131"/>
      <c r="AE45" s="131"/>
      <c r="AF45" s="131"/>
      <c r="AG45" s="131"/>
      <c r="AH45" s="131"/>
      <c r="AI45" s="131"/>
      <c r="AJ45" s="131"/>
      <c r="AK45" s="131"/>
      <c r="AL45" s="131"/>
      <c r="AM45" s="131"/>
      <c r="AN45" s="131"/>
      <c r="AO45" s="131"/>
      <c r="AP45" s="131"/>
      <c r="AQ45" s="131"/>
      <c r="AR45" s="131"/>
      <c r="AS45" s="131"/>
      <c r="AT45" s="131"/>
      <c r="AU45" s="131"/>
      <c r="AV45" s="131"/>
      <c r="AW45" s="131"/>
      <c r="AX45" s="131"/>
      <c r="AY45" s="131"/>
      <c r="AZ45" s="131"/>
      <c r="BA45" s="131"/>
      <c r="BB45" s="131"/>
      <c r="BC45" s="131"/>
      <c r="BD45" s="131"/>
      <c r="BE45" s="131"/>
      <c r="BF45" s="131"/>
      <c r="BG45" s="131"/>
      <c r="BH45" s="131"/>
      <c r="BI45" s="131"/>
      <c r="BJ45" s="131"/>
      <c r="BK45" s="131"/>
      <c r="BL45" s="131"/>
      <c r="BM45" s="131"/>
      <c r="BN45" s="131"/>
      <c r="BO45" s="131"/>
      <c r="BP45" s="131"/>
      <c r="BQ45" s="131"/>
      <c r="BR45" s="131"/>
      <c r="BS45" s="131"/>
      <c r="BT45" s="131"/>
      <c r="BU45" s="131"/>
      <c r="BV45" s="131"/>
      <c r="BW45" s="131"/>
      <c r="BX45" s="131"/>
      <c r="BY45" s="131"/>
      <c r="BZ45" s="131"/>
      <c r="CA45" s="131"/>
      <c r="CB45" s="131"/>
      <c r="CC45" s="131"/>
      <c r="CD45" s="131"/>
      <c r="CE45" s="131"/>
      <c r="CF45" s="131"/>
      <c r="CG45" s="131"/>
      <c r="CH45" s="131"/>
      <c r="CI45" s="131"/>
      <c r="CJ45" s="131"/>
      <c r="CK45" s="131"/>
      <c r="CL45" s="131"/>
      <c r="CM45" s="131"/>
      <c r="CN45" s="131"/>
      <c r="CO45" s="131"/>
      <c r="CP45" s="131"/>
      <c r="CQ45" s="131"/>
      <c r="CR45" s="131"/>
      <c r="CS45" s="131"/>
      <c r="CT45" s="131"/>
      <c r="CU45" s="131"/>
      <c r="CV45" s="131"/>
      <c r="CW45" s="131"/>
      <c r="CX45" s="131"/>
      <c r="CY45" s="131"/>
      <c r="CZ45" s="131"/>
      <c r="DA45" s="131"/>
      <c r="DB45" s="131"/>
      <c r="DC45" s="131"/>
      <c r="DD45" s="131"/>
      <c r="DE45" s="131"/>
      <c r="DF45" s="131"/>
      <c r="DG45" s="131"/>
      <c r="DH45" s="131"/>
      <c r="DI45" s="131"/>
      <c r="DJ45" s="131"/>
      <c r="DK45" s="131"/>
      <c r="DL45" s="131"/>
      <c r="DM45" s="131"/>
      <c r="DN45" s="131"/>
      <c r="DO45" s="131"/>
      <c r="DP45" s="131"/>
      <c r="DQ45" s="131"/>
      <c r="DR45" s="131"/>
      <c r="DS45" s="131"/>
      <c r="DT45" s="131"/>
      <c r="DU45" s="131"/>
      <c r="DV45" s="131"/>
      <c r="DW45" s="131"/>
      <c r="DX45" s="131"/>
      <c r="DY45" s="131"/>
      <c r="DZ45" s="131"/>
      <c r="EA45" s="131"/>
      <c r="EB45" s="131"/>
      <c r="EC45" s="131"/>
      <c r="ED45" s="131"/>
      <c r="EE45" s="131"/>
      <c r="EF45" s="131"/>
      <c r="EG45" s="131"/>
      <c r="EH45" s="131"/>
      <c r="EI45" s="131"/>
      <c r="EJ45" s="131"/>
      <c r="EK45" s="131"/>
      <c r="EL45" s="131"/>
      <c r="EM45" s="131"/>
      <c r="EN45" s="131"/>
      <c r="EO45" s="131"/>
      <c r="EP45" s="131"/>
      <c r="EQ45" s="131"/>
      <c r="ER45" s="131"/>
      <c r="ES45" s="131"/>
      <c r="ET45" s="131"/>
      <c r="EU45" s="131"/>
      <c r="EV45" s="131"/>
      <c r="EW45" s="131"/>
      <c r="EX45" s="131"/>
      <c r="EY45" s="131"/>
      <c r="EZ45" s="131"/>
      <c r="FA45" s="131"/>
      <c r="FB45" s="131"/>
      <c r="FC45" s="131"/>
      <c r="FD45" s="131"/>
      <c r="FE45" s="131"/>
      <c r="FF45" s="131"/>
      <c r="FG45" s="131"/>
      <c r="FH45" s="131"/>
      <c r="FI45" s="131"/>
      <c r="FJ45" s="131"/>
      <c r="FK45" s="131"/>
      <c r="FL45" s="131"/>
      <c r="FM45" s="131"/>
      <c r="FN45" s="131"/>
      <c r="FO45" s="131"/>
      <c r="FP45" s="131"/>
      <c r="FQ45" s="131"/>
      <c r="FR45" s="131"/>
      <c r="FS45" s="131"/>
      <c r="FT45" s="131"/>
      <c r="FU45" s="131"/>
      <c r="FV45" s="131"/>
      <c r="FW45" s="131"/>
      <c r="FX45" s="131"/>
      <c r="FY45" s="131"/>
      <c r="FZ45" s="131"/>
      <c r="GA45" s="131"/>
      <c r="GB45" s="131"/>
      <c r="GC45" s="131"/>
      <c r="GD45" s="131"/>
      <c r="GE45" s="131"/>
      <c r="GF45" s="131"/>
      <c r="GG45" s="131"/>
      <c r="GH45" s="131"/>
      <c r="GI45" s="131"/>
      <c r="GJ45" s="131"/>
      <c r="GK45" s="131"/>
      <c r="GL45" s="131"/>
      <c r="GM45" s="131"/>
      <c r="GN45" s="131"/>
      <c r="GO45" s="131"/>
      <c r="GP45" s="131"/>
      <c r="GQ45" s="131"/>
      <c r="GR45" s="131"/>
      <c r="GS45" s="131"/>
      <c r="GT45" s="131"/>
      <c r="GU45" s="131"/>
      <c r="GV45" s="131"/>
      <c r="GW45" s="131"/>
      <c r="GX45" s="131"/>
      <c r="GY45" s="131"/>
      <c r="GZ45" s="131"/>
      <c r="HA45" s="131"/>
      <c r="HB45" s="131"/>
      <c r="HC45" s="131"/>
      <c r="HD45" s="131"/>
      <c r="HE45" s="131"/>
      <c r="HF45" s="131"/>
      <c r="HG45" s="131"/>
      <c r="HH45" s="131"/>
      <c r="HI45" s="131"/>
      <c r="HJ45" s="131"/>
      <c r="HK45" s="131"/>
      <c r="HL45" s="131"/>
      <c r="HM45" s="131"/>
      <c r="HN45" s="131"/>
      <c r="HO45" s="131"/>
      <c r="HP45" s="131"/>
      <c r="HQ45" s="131"/>
      <c r="HR45" s="131"/>
      <c r="HS45" s="131"/>
      <c r="HT45" s="131"/>
      <c r="HU45" s="131"/>
      <c r="HV45" s="131"/>
      <c r="HW45" s="131"/>
      <c r="HX45" s="131"/>
      <c r="HY45" s="131"/>
      <c r="HZ45" s="131"/>
      <c r="IA45" s="131"/>
      <c r="IB45" s="131"/>
      <c r="IC45" s="131"/>
      <c r="ID45" s="131"/>
      <c r="IE45" s="131"/>
      <c r="IF45" s="131"/>
      <c r="IG45" s="131"/>
      <c r="IH45" s="131"/>
      <c r="II45" s="131"/>
      <c r="IJ45" s="131"/>
      <c r="IK45" s="131"/>
      <c r="IL45" s="131"/>
      <c r="IM45" s="131"/>
      <c r="IN45" s="131"/>
      <c r="IO45" s="131"/>
      <c r="IP45" s="131"/>
      <c r="IQ45" s="131"/>
      <c r="IR45" s="131"/>
      <c r="IS45" s="131"/>
      <c r="IT45" s="131"/>
      <c r="IU45" s="131"/>
      <c r="IV45" s="131"/>
      <c r="IW45" s="131"/>
      <c r="IX45" s="131"/>
      <c r="IY45" s="131"/>
      <c r="IZ45" s="131"/>
      <c r="JA45" s="131"/>
      <c r="JB45" s="131"/>
      <c r="JC45" s="131"/>
      <c r="JD45" s="131"/>
      <c r="JE45" s="131"/>
      <c r="JF45" s="131"/>
      <c r="JG45" s="131"/>
      <c r="JH45" s="131"/>
      <c r="JI45" s="131"/>
      <c r="JJ45" s="131"/>
      <c r="JK45" s="131"/>
      <c r="JL45" s="131"/>
      <c r="JM45" s="131"/>
      <c r="JN45" s="131"/>
      <c r="JO45" s="131"/>
      <c r="JP45" s="131"/>
      <c r="JQ45" s="131"/>
      <c r="JR45" s="131"/>
      <c r="JS45" s="131"/>
      <c r="JT45" s="131"/>
      <c r="JU45" s="131"/>
      <c r="JV45" s="131"/>
      <c r="JW45" s="131"/>
      <c r="JX45" s="131"/>
      <c r="JY45" s="131"/>
      <c r="JZ45" s="131"/>
      <c r="KA45" s="131"/>
      <c r="KB45" s="131"/>
      <c r="KC45" s="131"/>
      <c r="KD45" s="131"/>
      <c r="KE45" s="131"/>
      <c r="KF45" s="131"/>
      <c r="KG45" s="131"/>
      <c r="KH45" s="131"/>
      <c r="KI45" s="131"/>
      <c r="KJ45" s="131"/>
      <c r="KK45" s="131"/>
      <c r="KL45" s="131"/>
      <c r="KM45" s="131"/>
      <c r="KN45" s="131"/>
      <c r="KO45" s="131"/>
      <c r="KP45" s="131"/>
      <c r="KQ45" s="131"/>
      <c r="KR45" s="131"/>
      <c r="KS45" s="131"/>
      <c r="KT45" s="131"/>
      <c r="KU45" s="131"/>
      <c r="KV45" s="131"/>
      <c r="KW45" s="131"/>
      <c r="KX45" s="131"/>
      <c r="KY45" s="131"/>
      <c r="KZ45" s="131"/>
      <c r="LA45" s="131"/>
      <c r="LB45" s="131"/>
      <c r="LC45" s="131"/>
      <c r="LD45" s="131"/>
      <c r="LE45" s="131"/>
      <c r="LF45" s="131"/>
      <c r="LG45" s="131"/>
      <c r="LH45" s="131"/>
      <c r="LI45" s="131"/>
      <c r="LJ45" s="131"/>
      <c r="LK45" s="131"/>
      <c r="LL45" s="131"/>
      <c r="LM45" s="131"/>
      <c r="LN45" s="131"/>
      <c r="LO45" s="131"/>
      <c r="LP45" s="131"/>
      <c r="LQ45" s="131"/>
      <c r="LR45" s="131"/>
      <c r="LS45" s="131"/>
      <c r="LT45" s="131"/>
      <c r="LU45" s="131"/>
      <c r="LV45" s="131"/>
      <c r="LW45" s="131"/>
      <c r="LX45" s="131"/>
      <c r="LY45" s="131"/>
      <c r="LZ45" s="131"/>
      <c r="MA45" s="131"/>
      <c r="MB45" s="131"/>
      <c r="MC45" s="131"/>
      <c r="MD45" s="131"/>
      <c r="ME45" s="131"/>
      <c r="MF45" s="131"/>
      <c r="MG45" s="131"/>
      <c r="MH45" s="131"/>
      <c r="MI45" s="131"/>
      <c r="MJ45" s="131"/>
      <c r="MK45" s="131"/>
      <c r="ML45" s="131"/>
      <c r="MM45" s="131"/>
      <c r="MN45" s="131"/>
      <c r="MO45" s="131"/>
      <c r="MP45" s="131"/>
      <c r="MQ45" s="131"/>
      <c r="MR45" s="131"/>
      <c r="MS45" s="131"/>
      <c r="MT45" s="131"/>
      <c r="MU45" s="131"/>
      <c r="MV45" s="131"/>
      <c r="MW45" s="131"/>
      <c r="MX45" s="131"/>
      <c r="MY45" s="131"/>
      <c r="MZ45" s="131"/>
      <c r="NA45" s="131"/>
      <c r="NB45" s="131"/>
      <c r="NC45" s="131"/>
      <c r="ND45" s="131"/>
      <c r="NE45" s="131"/>
      <c r="NF45" s="131"/>
      <c r="NG45" s="131"/>
      <c r="NH45" s="131"/>
      <c r="NI45" s="131"/>
      <c r="NJ45" s="131"/>
      <c r="NK45" s="131"/>
      <c r="NL45" s="131"/>
      <c r="NM45" s="131"/>
      <c r="NN45" s="131"/>
      <c r="NO45" s="131"/>
      <c r="NP45" s="131"/>
      <c r="NQ45" s="131"/>
      <c r="NR45" s="131"/>
      <c r="NS45" s="131"/>
      <c r="NT45" s="131"/>
      <c r="NU45" s="131"/>
      <c r="NV45" s="131"/>
      <c r="NW45" s="24">
        <f t="shared" si="9"/>
        <v>0</v>
      </c>
      <c r="NX45" s="56" t="s">
        <v>36</v>
      </c>
      <c r="NY45" s="127">
        <v>1777.83</v>
      </c>
      <c r="NZ45" s="78">
        <f t="shared" si="2"/>
        <v>0</v>
      </c>
      <c r="OA45" s="78">
        <v>1059.3</v>
      </c>
      <c r="OB45" s="127">
        <f t="shared" si="0"/>
        <v>1777.83</v>
      </c>
      <c r="OC45" s="153"/>
      <c r="OD45" s="108">
        <f t="shared" si="10"/>
        <v>1.6783064287737186</v>
      </c>
      <c r="OE45" s="160" t="s">
        <v>524</v>
      </c>
    </row>
    <row r="46" spans="1:395" s="5" customFormat="1" ht="12.75" customHeight="1" x14ac:dyDescent="0.25">
      <c r="A46" s="62">
        <v>44523</v>
      </c>
      <c r="B46" s="106" t="s">
        <v>45</v>
      </c>
      <c r="C46" s="129"/>
      <c r="D46" s="129"/>
      <c r="E46" s="130"/>
      <c r="F46" s="130"/>
      <c r="G46" s="130"/>
      <c r="H46" s="130"/>
      <c r="I46" s="130"/>
      <c r="J46" s="130"/>
      <c r="K46" s="130"/>
      <c r="L46" s="130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31"/>
      <c r="AF46" s="131"/>
      <c r="AG46" s="131"/>
      <c r="AH46" s="131"/>
      <c r="AI46" s="131"/>
      <c r="AJ46" s="131"/>
      <c r="AK46" s="131"/>
      <c r="AL46" s="131"/>
      <c r="AM46" s="131"/>
      <c r="AN46" s="131"/>
      <c r="AO46" s="131"/>
      <c r="AP46" s="131"/>
      <c r="AQ46" s="131"/>
      <c r="AR46" s="131"/>
      <c r="AS46" s="131"/>
      <c r="AT46" s="131"/>
      <c r="AU46" s="131"/>
      <c r="AV46" s="131"/>
      <c r="AW46" s="131"/>
      <c r="AX46" s="131"/>
      <c r="AY46" s="131"/>
      <c r="AZ46" s="131"/>
      <c r="BA46" s="131"/>
      <c r="BB46" s="131"/>
      <c r="BC46" s="131"/>
      <c r="BD46" s="131"/>
      <c r="BE46" s="131"/>
      <c r="BF46" s="131"/>
      <c r="BG46" s="131"/>
      <c r="BH46" s="131"/>
      <c r="BI46" s="131"/>
      <c r="BJ46" s="131"/>
      <c r="BK46" s="131"/>
      <c r="BL46" s="131"/>
      <c r="BM46" s="131"/>
      <c r="BN46" s="131"/>
      <c r="BO46" s="131"/>
      <c r="BP46" s="131"/>
      <c r="BQ46" s="131"/>
      <c r="BR46" s="131"/>
      <c r="BS46" s="131"/>
      <c r="BT46" s="131"/>
      <c r="BU46" s="131"/>
      <c r="BV46" s="131"/>
      <c r="BW46" s="131"/>
      <c r="BX46" s="131"/>
      <c r="BY46" s="131"/>
      <c r="BZ46" s="131"/>
      <c r="CA46" s="131"/>
      <c r="CB46" s="131"/>
      <c r="CC46" s="131"/>
      <c r="CD46" s="131"/>
      <c r="CE46" s="131"/>
      <c r="CF46" s="131"/>
      <c r="CG46" s="131"/>
      <c r="CH46" s="131"/>
      <c r="CI46" s="131"/>
      <c r="CJ46" s="131"/>
      <c r="CK46" s="131"/>
      <c r="CL46" s="131"/>
      <c r="CM46" s="131"/>
      <c r="CN46" s="131"/>
      <c r="CO46" s="131"/>
      <c r="CP46" s="131"/>
      <c r="CQ46" s="131"/>
      <c r="CR46" s="131"/>
      <c r="CS46" s="131"/>
      <c r="CT46" s="131"/>
      <c r="CU46" s="131"/>
      <c r="CV46" s="131"/>
      <c r="CW46" s="131"/>
      <c r="CX46" s="131"/>
      <c r="CY46" s="131"/>
      <c r="CZ46" s="131"/>
      <c r="DA46" s="131"/>
      <c r="DB46" s="131"/>
      <c r="DC46" s="131"/>
      <c r="DD46" s="131"/>
      <c r="DE46" s="131"/>
      <c r="DF46" s="131"/>
      <c r="DG46" s="131"/>
      <c r="DH46" s="131"/>
      <c r="DI46" s="131"/>
      <c r="DJ46" s="131"/>
      <c r="DK46" s="131"/>
      <c r="DL46" s="131"/>
      <c r="DM46" s="131"/>
      <c r="DN46" s="131"/>
      <c r="DO46" s="131"/>
      <c r="DP46" s="131"/>
      <c r="DQ46" s="131"/>
      <c r="DR46" s="131"/>
      <c r="DS46" s="131"/>
      <c r="DT46" s="131"/>
      <c r="DU46" s="131"/>
      <c r="DV46" s="131"/>
      <c r="DW46" s="131"/>
      <c r="DX46" s="131"/>
      <c r="DY46" s="131"/>
      <c r="DZ46" s="131"/>
      <c r="EA46" s="131"/>
      <c r="EB46" s="131"/>
      <c r="EC46" s="131"/>
      <c r="ED46" s="131"/>
      <c r="EE46" s="131"/>
      <c r="EF46" s="131"/>
      <c r="EG46" s="131"/>
      <c r="EH46" s="131"/>
      <c r="EI46" s="131"/>
      <c r="EJ46" s="131"/>
      <c r="EK46" s="131"/>
      <c r="EL46" s="131"/>
      <c r="EM46" s="131"/>
      <c r="EN46" s="131"/>
      <c r="EO46" s="131"/>
      <c r="EP46" s="131"/>
      <c r="EQ46" s="131"/>
      <c r="ER46" s="131"/>
      <c r="ES46" s="131"/>
      <c r="ET46" s="131"/>
      <c r="EU46" s="131"/>
      <c r="EV46" s="131"/>
      <c r="EW46" s="131"/>
      <c r="EX46" s="131"/>
      <c r="EY46" s="131"/>
      <c r="EZ46" s="131"/>
      <c r="FA46" s="131"/>
      <c r="FB46" s="131"/>
      <c r="FC46" s="131"/>
      <c r="FD46" s="131"/>
      <c r="FE46" s="131"/>
      <c r="FF46" s="131"/>
      <c r="FG46" s="131"/>
      <c r="FH46" s="131"/>
      <c r="FI46" s="131"/>
      <c r="FJ46" s="131"/>
      <c r="FK46" s="131"/>
      <c r="FL46" s="131"/>
      <c r="FM46" s="131"/>
      <c r="FN46" s="131"/>
      <c r="FO46" s="131"/>
      <c r="FP46" s="131"/>
      <c r="FQ46" s="131"/>
      <c r="FR46" s="131"/>
      <c r="FS46" s="131"/>
      <c r="FT46" s="131"/>
      <c r="FU46" s="131"/>
      <c r="FV46" s="131"/>
      <c r="FW46" s="131"/>
      <c r="FX46" s="131"/>
      <c r="FY46" s="131"/>
      <c r="FZ46" s="131"/>
      <c r="GA46" s="131"/>
      <c r="GB46" s="131"/>
      <c r="GC46" s="131"/>
      <c r="GD46" s="131"/>
      <c r="GE46" s="131"/>
      <c r="GF46" s="131"/>
      <c r="GG46" s="131"/>
      <c r="GH46" s="131"/>
      <c r="GI46" s="131"/>
      <c r="GJ46" s="131"/>
      <c r="GK46" s="131"/>
      <c r="GL46" s="131"/>
      <c r="GM46" s="131"/>
      <c r="GN46" s="131"/>
      <c r="GO46" s="131"/>
      <c r="GP46" s="131"/>
      <c r="GQ46" s="131"/>
      <c r="GR46" s="131"/>
      <c r="GS46" s="131"/>
      <c r="GT46" s="131"/>
      <c r="GU46" s="131"/>
      <c r="GV46" s="131"/>
      <c r="GW46" s="131"/>
      <c r="GX46" s="131"/>
      <c r="GY46" s="131"/>
      <c r="GZ46" s="131"/>
      <c r="HA46" s="131"/>
      <c r="HB46" s="131"/>
      <c r="HC46" s="131"/>
      <c r="HD46" s="131"/>
      <c r="HE46" s="131"/>
      <c r="HF46" s="131"/>
      <c r="HG46" s="131"/>
      <c r="HH46" s="131"/>
      <c r="HI46" s="131"/>
      <c r="HJ46" s="131"/>
      <c r="HK46" s="131"/>
      <c r="HL46" s="131"/>
      <c r="HM46" s="131"/>
      <c r="HN46" s="131"/>
      <c r="HO46" s="131"/>
      <c r="HP46" s="131"/>
      <c r="HQ46" s="131"/>
      <c r="HR46" s="131"/>
      <c r="HS46" s="131"/>
      <c r="HT46" s="131"/>
      <c r="HU46" s="131"/>
      <c r="HV46" s="131"/>
      <c r="HW46" s="131"/>
      <c r="HX46" s="131"/>
      <c r="HY46" s="131"/>
      <c r="HZ46" s="131"/>
      <c r="IA46" s="131"/>
      <c r="IB46" s="131"/>
      <c r="IC46" s="131"/>
      <c r="ID46" s="131"/>
      <c r="IE46" s="131"/>
      <c r="IF46" s="131"/>
      <c r="IG46" s="131"/>
      <c r="IH46" s="131"/>
      <c r="II46" s="131"/>
      <c r="IJ46" s="131"/>
      <c r="IK46" s="131"/>
      <c r="IL46" s="131"/>
      <c r="IM46" s="131"/>
      <c r="IN46" s="131"/>
      <c r="IO46" s="131"/>
      <c r="IP46" s="131"/>
      <c r="IQ46" s="131"/>
      <c r="IR46" s="131"/>
      <c r="IS46" s="131"/>
      <c r="IT46" s="131"/>
      <c r="IU46" s="131"/>
      <c r="IV46" s="131"/>
      <c r="IW46" s="131"/>
      <c r="IX46" s="131"/>
      <c r="IY46" s="131"/>
      <c r="IZ46" s="131"/>
      <c r="JA46" s="131"/>
      <c r="JB46" s="131"/>
      <c r="JC46" s="131"/>
      <c r="JD46" s="131"/>
      <c r="JE46" s="131"/>
      <c r="JF46" s="131"/>
      <c r="JG46" s="131"/>
      <c r="JH46" s="131"/>
      <c r="JI46" s="131"/>
      <c r="JJ46" s="131"/>
      <c r="JK46" s="131"/>
      <c r="JL46" s="131"/>
      <c r="JM46" s="131"/>
      <c r="JN46" s="131"/>
      <c r="JO46" s="131"/>
      <c r="JP46" s="131"/>
      <c r="JQ46" s="131"/>
      <c r="JR46" s="131"/>
      <c r="JS46" s="131"/>
      <c r="JT46" s="131"/>
      <c r="JU46" s="131"/>
      <c r="JV46" s="131"/>
      <c r="JW46" s="131"/>
      <c r="JX46" s="131"/>
      <c r="JY46" s="131"/>
      <c r="JZ46" s="131"/>
      <c r="KA46" s="131"/>
      <c r="KB46" s="131"/>
      <c r="KC46" s="131"/>
      <c r="KD46" s="131"/>
      <c r="KE46" s="131"/>
      <c r="KF46" s="131"/>
      <c r="KG46" s="131"/>
      <c r="KH46" s="131"/>
      <c r="KI46" s="131"/>
      <c r="KJ46" s="131"/>
      <c r="KK46" s="131"/>
      <c r="KL46" s="131"/>
      <c r="KM46" s="131"/>
      <c r="KN46" s="131"/>
      <c r="KO46" s="131"/>
      <c r="KP46" s="131"/>
      <c r="KQ46" s="131"/>
      <c r="KR46" s="131"/>
      <c r="KS46" s="131"/>
      <c r="KT46" s="131"/>
      <c r="KU46" s="131"/>
      <c r="KV46" s="131"/>
      <c r="KW46" s="131"/>
      <c r="KX46" s="131"/>
      <c r="KY46" s="131"/>
      <c r="KZ46" s="131"/>
      <c r="LA46" s="131"/>
      <c r="LB46" s="131"/>
      <c r="LC46" s="131"/>
      <c r="LD46" s="131"/>
      <c r="LE46" s="131"/>
      <c r="LF46" s="131"/>
      <c r="LG46" s="131"/>
      <c r="LH46" s="131"/>
      <c r="LI46" s="131"/>
      <c r="LJ46" s="131"/>
      <c r="LK46" s="131"/>
      <c r="LL46" s="131"/>
      <c r="LM46" s="131"/>
      <c r="LN46" s="131"/>
      <c r="LO46" s="131"/>
      <c r="LP46" s="131"/>
      <c r="LQ46" s="131"/>
      <c r="LR46" s="131"/>
      <c r="LS46" s="131"/>
      <c r="LT46" s="131"/>
      <c r="LU46" s="131"/>
      <c r="LV46" s="131"/>
      <c r="LW46" s="131"/>
      <c r="LX46" s="131"/>
      <c r="LY46" s="131"/>
      <c r="LZ46" s="131"/>
      <c r="MA46" s="131"/>
      <c r="MB46" s="131"/>
      <c r="MC46" s="131"/>
      <c r="MD46" s="131"/>
      <c r="ME46" s="131"/>
      <c r="MF46" s="131"/>
      <c r="MG46" s="131"/>
      <c r="MH46" s="131"/>
      <c r="MI46" s="131"/>
      <c r="MJ46" s="131"/>
      <c r="MK46" s="131"/>
      <c r="ML46" s="131"/>
      <c r="MM46" s="131"/>
      <c r="MN46" s="131"/>
      <c r="MO46" s="131"/>
      <c r="MP46" s="131"/>
      <c r="MQ46" s="131"/>
      <c r="MR46" s="131"/>
      <c r="MS46" s="131"/>
      <c r="MT46" s="131"/>
      <c r="MU46" s="131"/>
      <c r="MV46" s="131"/>
      <c r="MW46" s="131"/>
      <c r="MX46" s="131"/>
      <c r="MY46" s="131"/>
      <c r="MZ46" s="131"/>
      <c r="NA46" s="131"/>
      <c r="NB46" s="131"/>
      <c r="NC46" s="131"/>
      <c r="ND46" s="131"/>
      <c r="NE46" s="131"/>
      <c r="NF46" s="131"/>
      <c r="NG46" s="131"/>
      <c r="NH46" s="131"/>
      <c r="NI46" s="131"/>
      <c r="NJ46" s="131"/>
      <c r="NK46" s="131"/>
      <c r="NL46" s="131"/>
      <c r="NM46" s="131"/>
      <c r="NN46" s="131"/>
      <c r="NO46" s="131"/>
      <c r="NP46" s="131"/>
      <c r="NQ46" s="131"/>
      <c r="NR46" s="131"/>
      <c r="NS46" s="131"/>
      <c r="NT46" s="131"/>
      <c r="NU46" s="131"/>
      <c r="NV46" s="131"/>
      <c r="NW46" s="24">
        <f t="shared" si="9"/>
        <v>0</v>
      </c>
      <c r="NX46" s="56" t="s">
        <v>36</v>
      </c>
      <c r="NY46" s="127">
        <v>2125.92</v>
      </c>
      <c r="NZ46" s="78">
        <f t="shared" si="2"/>
        <v>0</v>
      </c>
      <c r="OA46" s="78">
        <v>1179</v>
      </c>
      <c r="OB46" s="127">
        <f t="shared" si="0"/>
        <v>2125.92</v>
      </c>
      <c r="OC46" s="153"/>
      <c r="OD46" s="108">
        <f t="shared" si="10"/>
        <v>1.8031552162849873</v>
      </c>
      <c r="OE46" s="160" t="s">
        <v>523</v>
      </c>
    </row>
    <row r="47" spans="1:395" s="5" customFormat="1" ht="12.75" hidden="1" customHeight="1" x14ac:dyDescent="0.25">
      <c r="A47" s="62">
        <v>44523</v>
      </c>
      <c r="B47" s="106" t="s">
        <v>380</v>
      </c>
      <c r="C47" s="129"/>
      <c r="D47" s="129"/>
      <c r="E47" s="130"/>
      <c r="F47" s="130"/>
      <c r="G47" s="130"/>
      <c r="H47" s="130"/>
      <c r="I47" s="130"/>
      <c r="J47" s="130"/>
      <c r="K47" s="130"/>
      <c r="L47" s="130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31"/>
      <c r="AF47" s="131"/>
      <c r="AG47" s="131"/>
      <c r="AH47" s="131"/>
      <c r="AI47" s="131"/>
      <c r="AJ47" s="131"/>
      <c r="AK47" s="131"/>
      <c r="AL47" s="131"/>
      <c r="AM47" s="131"/>
      <c r="AN47" s="131"/>
      <c r="AO47" s="131"/>
      <c r="AP47" s="131"/>
      <c r="AQ47" s="131"/>
      <c r="AR47" s="131"/>
      <c r="AS47" s="131"/>
      <c r="AT47" s="131"/>
      <c r="AU47" s="131"/>
      <c r="AV47" s="131"/>
      <c r="AW47" s="131"/>
      <c r="AX47" s="131"/>
      <c r="AY47" s="131"/>
      <c r="AZ47" s="131"/>
      <c r="BA47" s="131"/>
      <c r="BB47" s="131"/>
      <c r="BC47" s="131"/>
      <c r="BD47" s="131"/>
      <c r="BE47" s="131"/>
      <c r="BF47" s="131"/>
      <c r="BG47" s="131"/>
      <c r="BH47" s="131"/>
      <c r="BI47" s="131"/>
      <c r="BJ47" s="131"/>
      <c r="BK47" s="131"/>
      <c r="BL47" s="131"/>
      <c r="BM47" s="131"/>
      <c r="BN47" s="131"/>
      <c r="BO47" s="131"/>
      <c r="BP47" s="131"/>
      <c r="BQ47" s="131"/>
      <c r="BR47" s="131"/>
      <c r="BS47" s="131"/>
      <c r="BT47" s="131"/>
      <c r="BU47" s="131"/>
      <c r="BV47" s="131"/>
      <c r="BW47" s="131"/>
      <c r="BX47" s="131"/>
      <c r="BY47" s="131"/>
      <c r="BZ47" s="131"/>
      <c r="CA47" s="131"/>
      <c r="CB47" s="131"/>
      <c r="CC47" s="131"/>
      <c r="CD47" s="131"/>
      <c r="CE47" s="131"/>
      <c r="CF47" s="131"/>
      <c r="CG47" s="131"/>
      <c r="CH47" s="131"/>
      <c r="CI47" s="131"/>
      <c r="CJ47" s="131"/>
      <c r="CK47" s="131"/>
      <c r="CL47" s="131"/>
      <c r="CM47" s="131"/>
      <c r="CN47" s="131"/>
      <c r="CO47" s="131"/>
      <c r="CP47" s="131"/>
      <c r="CQ47" s="131"/>
      <c r="CR47" s="131"/>
      <c r="CS47" s="131"/>
      <c r="CT47" s="131"/>
      <c r="CU47" s="131"/>
      <c r="CV47" s="131"/>
      <c r="CW47" s="131"/>
      <c r="CX47" s="131"/>
      <c r="CY47" s="131"/>
      <c r="CZ47" s="131"/>
      <c r="DA47" s="131"/>
      <c r="DB47" s="131"/>
      <c r="DC47" s="131"/>
      <c r="DD47" s="131"/>
      <c r="DE47" s="131"/>
      <c r="DF47" s="131"/>
      <c r="DG47" s="131"/>
      <c r="DH47" s="131"/>
      <c r="DI47" s="131"/>
      <c r="DJ47" s="131"/>
      <c r="DK47" s="131"/>
      <c r="DL47" s="131"/>
      <c r="DM47" s="131"/>
      <c r="DN47" s="131"/>
      <c r="DO47" s="131"/>
      <c r="DP47" s="131"/>
      <c r="DQ47" s="131"/>
      <c r="DR47" s="131"/>
      <c r="DS47" s="131"/>
      <c r="DT47" s="131"/>
      <c r="DU47" s="131"/>
      <c r="DV47" s="131"/>
      <c r="DW47" s="131"/>
      <c r="DX47" s="131"/>
      <c r="DY47" s="131"/>
      <c r="DZ47" s="131"/>
      <c r="EA47" s="131"/>
      <c r="EB47" s="131"/>
      <c r="EC47" s="131"/>
      <c r="ED47" s="131"/>
      <c r="EE47" s="131"/>
      <c r="EF47" s="131"/>
      <c r="EG47" s="131"/>
      <c r="EH47" s="131"/>
      <c r="EI47" s="131"/>
      <c r="EJ47" s="131"/>
      <c r="EK47" s="131"/>
      <c r="EL47" s="131"/>
      <c r="EM47" s="131"/>
      <c r="EN47" s="131"/>
      <c r="EO47" s="131"/>
      <c r="EP47" s="131"/>
      <c r="EQ47" s="131"/>
      <c r="ER47" s="131"/>
      <c r="ES47" s="131"/>
      <c r="ET47" s="131"/>
      <c r="EU47" s="131"/>
      <c r="EV47" s="131"/>
      <c r="EW47" s="131"/>
      <c r="EX47" s="131"/>
      <c r="EY47" s="131"/>
      <c r="EZ47" s="131"/>
      <c r="FA47" s="131"/>
      <c r="FB47" s="131"/>
      <c r="FC47" s="131"/>
      <c r="FD47" s="131"/>
      <c r="FE47" s="131"/>
      <c r="FF47" s="131"/>
      <c r="FG47" s="131"/>
      <c r="FH47" s="131"/>
      <c r="FI47" s="131"/>
      <c r="FJ47" s="131"/>
      <c r="FK47" s="131"/>
      <c r="FL47" s="131"/>
      <c r="FM47" s="131"/>
      <c r="FN47" s="131"/>
      <c r="FO47" s="131"/>
      <c r="FP47" s="131"/>
      <c r="FQ47" s="131"/>
      <c r="FR47" s="131"/>
      <c r="FS47" s="131"/>
      <c r="FT47" s="131"/>
      <c r="FU47" s="131"/>
      <c r="FV47" s="131"/>
      <c r="FW47" s="131"/>
      <c r="FX47" s="131"/>
      <c r="FY47" s="131"/>
      <c r="FZ47" s="131"/>
      <c r="GA47" s="131"/>
      <c r="GB47" s="131"/>
      <c r="GC47" s="131"/>
      <c r="GD47" s="131"/>
      <c r="GE47" s="131"/>
      <c r="GF47" s="131"/>
      <c r="GG47" s="131"/>
      <c r="GH47" s="131"/>
      <c r="GI47" s="131"/>
      <c r="GJ47" s="131"/>
      <c r="GK47" s="131"/>
      <c r="GL47" s="131"/>
      <c r="GM47" s="131"/>
      <c r="GN47" s="131"/>
      <c r="GO47" s="131"/>
      <c r="GP47" s="131"/>
      <c r="GQ47" s="131"/>
      <c r="GR47" s="131"/>
      <c r="GS47" s="131"/>
      <c r="GT47" s="131"/>
      <c r="GU47" s="131"/>
      <c r="GV47" s="131"/>
      <c r="GW47" s="131"/>
      <c r="GX47" s="131"/>
      <c r="GY47" s="131"/>
      <c r="GZ47" s="131"/>
      <c r="HA47" s="131"/>
      <c r="HB47" s="131"/>
      <c r="HC47" s="131"/>
      <c r="HD47" s="131"/>
      <c r="HE47" s="131"/>
      <c r="HF47" s="131"/>
      <c r="HG47" s="131"/>
      <c r="HH47" s="131"/>
      <c r="HI47" s="131"/>
      <c r="HJ47" s="131"/>
      <c r="HK47" s="131"/>
      <c r="HL47" s="131"/>
      <c r="HM47" s="131"/>
      <c r="HN47" s="131"/>
      <c r="HO47" s="131"/>
      <c r="HP47" s="131"/>
      <c r="HQ47" s="131"/>
      <c r="HR47" s="131"/>
      <c r="HS47" s="131"/>
      <c r="HT47" s="131"/>
      <c r="HU47" s="131"/>
      <c r="HV47" s="131"/>
      <c r="HW47" s="131"/>
      <c r="HX47" s="131"/>
      <c r="HY47" s="131"/>
      <c r="HZ47" s="131"/>
      <c r="IA47" s="131"/>
      <c r="IB47" s="131"/>
      <c r="IC47" s="131"/>
      <c r="ID47" s="131"/>
      <c r="IE47" s="131"/>
      <c r="IF47" s="131"/>
      <c r="IG47" s="131"/>
      <c r="IH47" s="131"/>
      <c r="II47" s="131"/>
      <c r="IJ47" s="131"/>
      <c r="IK47" s="131"/>
      <c r="IL47" s="131"/>
      <c r="IM47" s="131"/>
      <c r="IN47" s="131"/>
      <c r="IO47" s="131"/>
      <c r="IP47" s="131"/>
      <c r="IQ47" s="131"/>
      <c r="IR47" s="131"/>
      <c r="IS47" s="131"/>
      <c r="IT47" s="131"/>
      <c r="IU47" s="131"/>
      <c r="IV47" s="131"/>
      <c r="IW47" s="131"/>
      <c r="IX47" s="131"/>
      <c r="IY47" s="131"/>
      <c r="IZ47" s="131"/>
      <c r="JA47" s="131"/>
      <c r="JB47" s="131"/>
      <c r="JC47" s="131"/>
      <c r="JD47" s="131"/>
      <c r="JE47" s="131"/>
      <c r="JF47" s="131"/>
      <c r="JG47" s="131"/>
      <c r="JH47" s="131"/>
      <c r="JI47" s="131"/>
      <c r="JJ47" s="131"/>
      <c r="JK47" s="131"/>
      <c r="JL47" s="131"/>
      <c r="JM47" s="131"/>
      <c r="JN47" s="131"/>
      <c r="JO47" s="131"/>
      <c r="JP47" s="131"/>
      <c r="JQ47" s="131"/>
      <c r="JR47" s="131"/>
      <c r="JS47" s="131"/>
      <c r="JT47" s="131"/>
      <c r="JU47" s="131"/>
      <c r="JV47" s="131"/>
      <c r="JW47" s="131"/>
      <c r="JX47" s="131"/>
      <c r="JY47" s="131"/>
      <c r="JZ47" s="131"/>
      <c r="KA47" s="131"/>
      <c r="KB47" s="131"/>
      <c r="KC47" s="131"/>
      <c r="KD47" s="131"/>
      <c r="KE47" s="131"/>
      <c r="KF47" s="131"/>
      <c r="KG47" s="131"/>
      <c r="KH47" s="131"/>
      <c r="KI47" s="131"/>
      <c r="KJ47" s="131"/>
      <c r="KK47" s="131"/>
      <c r="KL47" s="131"/>
      <c r="KM47" s="131"/>
      <c r="KN47" s="131"/>
      <c r="KO47" s="131"/>
      <c r="KP47" s="131"/>
      <c r="KQ47" s="131"/>
      <c r="KR47" s="131"/>
      <c r="KS47" s="131"/>
      <c r="KT47" s="131"/>
      <c r="KU47" s="131"/>
      <c r="KV47" s="131"/>
      <c r="KW47" s="131"/>
      <c r="KX47" s="131"/>
      <c r="KY47" s="131"/>
      <c r="KZ47" s="131"/>
      <c r="LA47" s="131"/>
      <c r="LB47" s="131"/>
      <c r="LC47" s="131"/>
      <c r="LD47" s="131"/>
      <c r="LE47" s="131"/>
      <c r="LF47" s="131"/>
      <c r="LG47" s="131"/>
      <c r="LH47" s="131"/>
      <c r="LI47" s="131"/>
      <c r="LJ47" s="131"/>
      <c r="LK47" s="131"/>
      <c r="LL47" s="131"/>
      <c r="LM47" s="131"/>
      <c r="LN47" s="131"/>
      <c r="LO47" s="131"/>
      <c r="LP47" s="131"/>
      <c r="LQ47" s="131"/>
      <c r="LR47" s="131"/>
      <c r="LS47" s="131"/>
      <c r="LT47" s="131"/>
      <c r="LU47" s="131"/>
      <c r="LV47" s="131"/>
      <c r="LW47" s="131"/>
      <c r="LX47" s="131"/>
      <c r="LY47" s="131"/>
      <c r="LZ47" s="131"/>
      <c r="MA47" s="131"/>
      <c r="MB47" s="131"/>
      <c r="MC47" s="131"/>
      <c r="MD47" s="131"/>
      <c r="ME47" s="131"/>
      <c r="MF47" s="131"/>
      <c r="MG47" s="131"/>
      <c r="MH47" s="131"/>
      <c r="MI47" s="131"/>
      <c r="MJ47" s="131"/>
      <c r="MK47" s="131"/>
      <c r="ML47" s="131"/>
      <c r="MM47" s="131"/>
      <c r="MN47" s="131"/>
      <c r="MO47" s="131"/>
      <c r="MP47" s="131"/>
      <c r="MQ47" s="131"/>
      <c r="MR47" s="131"/>
      <c r="MS47" s="131"/>
      <c r="MT47" s="131"/>
      <c r="MU47" s="131"/>
      <c r="MV47" s="131"/>
      <c r="MW47" s="131"/>
      <c r="MX47" s="131"/>
      <c r="MY47" s="131"/>
      <c r="MZ47" s="131"/>
      <c r="NA47" s="131"/>
      <c r="NB47" s="131"/>
      <c r="NC47" s="131"/>
      <c r="ND47" s="131"/>
      <c r="NE47" s="131"/>
      <c r="NF47" s="131"/>
      <c r="NG47" s="131"/>
      <c r="NH47" s="131"/>
      <c r="NI47" s="131"/>
      <c r="NJ47" s="131"/>
      <c r="NK47" s="131"/>
      <c r="NL47" s="131"/>
      <c r="NM47" s="131"/>
      <c r="NN47" s="131"/>
      <c r="NO47" s="131"/>
      <c r="NP47" s="131"/>
      <c r="NQ47" s="131"/>
      <c r="NR47" s="131"/>
      <c r="NS47" s="131"/>
      <c r="NT47" s="131"/>
      <c r="NU47" s="131"/>
      <c r="NV47" s="131"/>
      <c r="NW47" s="24">
        <f t="shared" si="9"/>
        <v>0</v>
      </c>
      <c r="NX47" s="56" t="s">
        <v>36</v>
      </c>
      <c r="NY47" s="127">
        <v>1022.88</v>
      </c>
      <c r="NZ47" s="78">
        <f t="shared" si="2"/>
        <v>1022.88</v>
      </c>
      <c r="OA47" s="78">
        <v>1961.6000000000001</v>
      </c>
      <c r="OB47" s="127">
        <f t="shared" si="0"/>
        <v>0</v>
      </c>
      <c r="OC47" s="153">
        <v>1022.88</v>
      </c>
      <c r="OD47" s="108">
        <f t="shared" si="10"/>
        <v>0.52145187601957577</v>
      </c>
      <c r="OE47" s="160" t="s">
        <v>505</v>
      </c>
    </row>
    <row r="48" spans="1:395" s="5" customFormat="1" ht="12.75" customHeight="1" x14ac:dyDescent="0.25">
      <c r="A48" s="62">
        <v>44524</v>
      </c>
      <c r="B48" s="106" t="s">
        <v>146</v>
      </c>
      <c r="C48" s="129"/>
      <c r="D48" s="129"/>
      <c r="E48" s="130"/>
      <c r="F48" s="130"/>
      <c r="G48" s="130"/>
      <c r="H48" s="130"/>
      <c r="I48" s="130"/>
      <c r="J48" s="130"/>
      <c r="K48" s="130"/>
      <c r="L48" s="130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1"/>
      <c r="AD48" s="131"/>
      <c r="AE48" s="131"/>
      <c r="AF48" s="131"/>
      <c r="AG48" s="131"/>
      <c r="AH48" s="131"/>
      <c r="AI48" s="131"/>
      <c r="AJ48" s="131"/>
      <c r="AK48" s="131"/>
      <c r="AL48" s="131"/>
      <c r="AM48" s="131"/>
      <c r="AN48" s="131"/>
      <c r="AO48" s="131"/>
      <c r="AP48" s="131"/>
      <c r="AQ48" s="131"/>
      <c r="AR48" s="131"/>
      <c r="AS48" s="131"/>
      <c r="AT48" s="131"/>
      <c r="AU48" s="131"/>
      <c r="AV48" s="131"/>
      <c r="AW48" s="131"/>
      <c r="AX48" s="131"/>
      <c r="AY48" s="131"/>
      <c r="AZ48" s="131"/>
      <c r="BA48" s="131"/>
      <c r="BB48" s="131"/>
      <c r="BC48" s="131"/>
      <c r="BD48" s="131"/>
      <c r="BE48" s="131"/>
      <c r="BF48" s="131"/>
      <c r="BG48" s="131"/>
      <c r="BH48" s="131"/>
      <c r="BI48" s="131"/>
      <c r="BJ48" s="131"/>
      <c r="BK48" s="131"/>
      <c r="BL48" s="131"/>
      <c r="BM48" s="131"/>
      <c r="BN48" s="131"/>
      <c r="BO48" s="131"/>
      <c r="BP48" s="131"/>
      <c r="BQ48" s="131"/>
      <c r="BR48" s="131"/>
      <c r="BS48" s="131"/>
      <c r="BT48" s="131"/>
      <c r="BU48" s="131"/>
      <c r="BV48" s="131"/>
      <c r="BW48" s="131"/>
      <c r="BX48" s="131"/>
      <c r="BY48" s="131"/>
      <c r="BZ48" s="131"/>
      <c r="CA48" s="131"/>
      <c r="CB48" s="131"/>
      <c r="CC48" s="131"/>
      <c r="CD48" s="131"/>
      <c r="CE48" s="131"/>
      <c r="CF48" s="131"/>
      <c r="CG48" s="131"/>
      <c r="CH48" s="131"/>
      <c r="CI48" s="131"/>
      <c r="CJ48" s="131"/>
      <c r="CK48" s="131"/>
      <c r="CL48" s="131"/>
      <c r="CM48" s="131"/>
      <c r="CN48" s="131"/>
      <c r="CO48" s="131"/>
      <c r="CP48" s="131"/>
      <c r="CQ48" s="131"/>
      <c r="CR48" s="131"/>
      <c r="CS48" s="131"/>
      <c r="CT48" s="131"/>
      <c r="CU48" s="131"/>
      <c r="CV48" s="131"/>
      <c r="CW48" s="131"/>
      <c r="CX48" s="131"/>
      <c r="CY48" s="131"/>
      <c r="CZ48" s="131"/>
      <c r="DA48" s="131"/>
      <c r="DB48" s="131"/>
      <c r="DC48" s="131"/>
      <c r="DD48" s="131"/>
      <c r="DE48" s="131"/>
      <c r="DF48" s="131"/>
      <c r="DG48" s="131"/>
      <c r="DH48" s="131"/>
      <c r="DI48" s="131"/>
      <c r="DJ48" s="131"/>
      <c r="DK48" s="131"/>
      <c r="DL48" s="131"/>
      <c r="DM48" s="131"/>
      <c r="DN48" s="131"/>
      <c r="DO48" s="131"/>
      <c r="DP48" s="131"/>
      <c r="DQ48" s="131"/>
      <c r="DR48" s="131"/>
      <c r="DS48" s="131"/>
      <c r="DT48" s="131"/>
      <c r="DU48" s="131"/>
      <c r="DV48" s="131"/>
      <c r="DW48" s="131"/>
      <c r="DX48" s="131"/>
      <c r="DY48" s="131"/>
      <c r="DZ48" s="131"/>
      <c r="EA48" s="131"/>
      <c r="EB48" s="131"/>
      <c r="EC48" s="131"/>
      <c r="ED48" s="131"/>
      <c r="EE48" s="131"/>
      <c r="EF48" s="131"/>
      <c r="EG48" s="131"/>
      <c r="EH48" s="131"/>
      <c r="EI48" s="131"/>
      <c r="EJ48" s="131"/>
      <c r="EK48" s="131"/>
      <c r="EL48" s="131"/>
      <c r="EM48" s="131"/>
      <c r="EN48" s="131"/>
      <c r="EO48" s="131"/>
      <c r="EP48" s="131"/>
      <c r="EQ48" s="131"/>
      <c r="ER48" s="131"/>
      <c r="ES48" s="131"/>
      <c r="ET48" s="131"/>
      <c r="EU48" s="131"/>
      <c r="EV48" s="131"/>
      <c r="EW48" s="131"/>
      <c r="EX48" s="131"/>
      <c r="EY48" s="131"/>
      <c r="EZ48" s="131"/>
      <c r="FA48" s="131"/>
      <c r="FB48" s="131"/>
      <c r="FC48" s="131"/>
      <c r="FD48" s="131"/>
      <c r="FE48" s="131"/>
      <c r="FF48" s="131"/>
      <c r="FG48" s="131"/>
      <c r="FH48" s="131"/>
      <c r="FI48" s="131"/>
      <c r="FJ48" s="131"/>
      <c r="FK48" s="131"/>
      <c r="FL48" s="131"/>
      <c r="FM48" s="131"/>
      <c r="FN48" s="131"/>
      <c r="FO48" s="131"/>
      <c r="FP48" s="131"/>
      <c r="FQ48" s="131"/>
      <c r="FR48" s="131"/>
      <c r="FS48" s="131"/>
      <c r="FT48" s="131"/>
      <c r="FU48" s="131"/>
      <c r="FV48" s="131"/>
      <c r="FW48" s="131"/>
      <c r="FX48" s="131"/>
      <c r="FY48" s="131"/>
      <c r="FZ48" s="131"/>
      <c r="GA48" s="131"/>
      <c r="GB48" s="131"/>
      <c r="GC48" s="131"/>
      <c r="GD48" s="131"/>
      <c r="GE48" s="131"/>
      <c r="GF48" s="131"/>
      <c r="GG48" s="131"/>
      <c r="GH48" s="131"/>
      <c r="GI48" s="131"/>
      <c r="GJ48" s="131"/>
      <c r="GK48" s="131"/>
      <c r="GL48" s="131"/>
      <c r="GM48" s="131"/>
      <c r="GN48" s="131"/>
      <c r="GO48" s="131"/>
      <c r="GP48" s="131"/>
      <c r="GQ48" s="131"/>
      <c r="GR48" s="131"/>
      <c r="GS48" s="131"/>
      <c r="GT48" s="131"/>
      <c r="GU48" s="131"/>
      <c r="GV48" s="131"/>
      <c r="GW48" s="131"/>
      <c r="GX48" s="131"/>
      <c r="GY48" s="131"/>
      <c r="GZ48" s="131"/>
      <c r="HA48" s="131"/>
      <c r="HB48" s="131"/>
      <c r="HC48" s="131"/>
      <c r="HD48" s="131"/>
      <c r="HE48" s="131"/>
      <c r="HF48" s="131"/>
      <c r="HG48" s="131"/>
      <c r="HH48" s="131"/>
      <c r="HI48" s="131"/>
      <c r="HJ48" s="131"/>
      <c r="HK48" s="131"/>
      <c r="HL48" s="131"/>
      <c r="HM48" s="131"/>
      <c r="HN48" s="131"/>
      <c r="HO48" s="131"/>
      <c r="HP48" s="131"/>
      <c r="HQ48" s="131"/>
      <c r="HR48" s="131"/>
      <c r="HS48" s="131"/>
      <c r="HT48" s="131"/>
      <c r="HU48" s="131"/>
      <c r="HV48" s="131"/>
      <c r="HW48" s="131"/>
      <c r="HX48" s="131"/>
      <c r="HY48" s="131"/>
      <c r="HZ48" s="131"/>
      <c r="IA48" s="131"/>
      <c r="IB48" s="131"/>
      <c r="IC48" s="131"/>
      <c r="ID48" s="131"/>
      <c r="IE48" s="131"/>
      <c r="IF48" s="131"/>
      <c r="IG48" s="131"/>
      <c r="IH48" s="131"/>
      <c r="II48" s="131"/>
      <c r="IJ48" s="131"/>
      <c r="IK48" s="131"/>
      <c r="IL48" s="131"/>
      <c r="IM48" s="131"/>
      <c r="IN48" s="131"/>
      <c r="IO48" s="131"/>
      <c r="IP48" s="131"/>
      <c r="IQ48" s="131"/>
      <c r="IR48" s="131"/>
      <c r="IS48" s="131"/>
      <c r="IT48" s="131"/>
      <c r="IU48" s="131"/>
      <c r="IV48" s="131"/>
      <c r="IW48" s="131"/>
      <c r="IX48" s="131"/>
      <c r="IY48" s="131"/>
      <c r="IZ48" s="131"/>
      <c r="JA48" s="131"/>
      <c r="JB48" s="131"/>
      <c r="JC48" s="131"/>
      <c r="JD48" s="131"/>
      <c r="JE48" s="131"/>
      <c r="JF48" s="131"/>
      <c r="JG48" s="131"/>
      <c r="JH48" s="131"/>
      <c r="JI48" s="131"/>
      <c r="JJ48" s="131"/>
      <c r="JK48" s="131"/>
      <c r="JL48" s="131"/>
      <c r="JM48" s="131"/>
      <c r="JN48" s="131"/>
      <c r="JO48" s="131"/>
      <c r="JP48" s="131"/>
      <c r="JQ48" s="131"/>
      <c r="JR48" s="131"/>
      <c r="JS48" s="131"/>
      <c r="JT48" s="131"/>
      <c r="JU48" s="131"/>
      <c r="JV48" s="131"/>
      <c r="JW48" s="131"/>
      <c r="JX48" s="131"/>
      <c r="JY48" s="131"/>
      <c r="JZ48" s="131"/>
      <c r="KA48" s="131"/>
      <c r="KB48" s="131"/>
      <c r="KC48" s="131"/>
      <c r="KD48" s="131"/>
      <c r="KE48" s="131"/>
      <c r="KF48" s="131"/>
      <c r="KG48" s="131"/>
      <c r="KH48" s="131"/>
      <c r="KI48" s="131"/>
      <c r="KJ48" s="131"/>
      <c r="KK48" s="131"/>
      <c r="KL48" s="131"/>
      <c r="KM48" s="131"/>
      <c r="KN48" s="131"/>
      <c r="KO48" s="131"/>
      <c r="KP48" s="131"/>
      <c r="KQ48" s="131"/>
      <c r="KR48" s="131"/>
      <c r="KS48" s="131"/>
      <c r="KT48" s="131"/>
      <c r="KU48" s="131"/>
      <c r="KV48" s="131"/>
      <c r="KW48" s="131"/>
      <c r="KX48" s="131"/>
      <c r="KY48" s="131"/>
      <c r="KZ48" s="131"/>
      <c r="LA48" s="131"/>
      <c r="LB48" s="131"/>
      <c r="LC48" s="131"/>
      <c r="LD48" s="131"/>
      <c r="LE48" s="131"/>
      <c r="LF48" s="131"/>
      <c r="LG48" s="131"/>
      <c r="LH48" s="131"/>
      <c r="LI48" s="131"/>
      <c r="LJ48" s="131"/>
      <c r="LK48" s="131"/>
      <c r="LL48" s="131"/>
      <c r="LM48" s="131"/>
      <c r="LN48" s="131"/>
      <c r="LO48" s="131"/>
      <c r="LP48" s="131"/>
      <c r="LQ48" s="131"/>
      <c r="LR48" s="131"/>
      <c r="LS48" s="131"/>
      <c r="LT48" s="131"/>
      <c r="LU48" s="131"/>
      <c r="LV48" s="131"/>
      <c r="LW48" s="131"/>
      <c r="LX48" s="131"/>
      <c r="LY48" s="131"/>
      <c r="LZ48" s="131"/>
      <c r="MA48" s="131"/>
      <c r="MB48" s="131"/>
      <c r="MC48" s="131"/>
      <c r="MD48" s="131"/>
      <c r="ME48" s="131"/>
      <c r="MF48" s="131"/>
      <c r="MG48" s="131"/>
      <c r="MH48" s="131"/>
      <c r="MI48" s="131"/>
      <c r="MJ48" s="131"/>
      <c r="MK48" s="131"/>
      <c r="ML48" s="131"/>
      <c r="MM48" s="131"/>
      <c r="MN48" s="131"/>
      <c r="MO48" s="131"/>
      <c r="MP48" s="131"/>
      <c r="MQ48" s="131"/>
      <c r="MR48" s="131"/>
      <c r="MS48" s="131"/>
      <c r="MT48" s="131"/>
      <c r="MU48" s="131"/>
      <c r="MV48" s="131"/>
      <c r="MW48" s="131"/>
      <c r="MX48" s="131"/>
      <c r="MY48" s="131"/>
      <c r="MZ48" s="131"/>
      <c r="NA48" s="131"/>
      <c r="NB48" s="131"/>
      <c r="NC48" s="131"/>
      <c r="ND48" s="131"/>
      <c r="NE48" s="131"/>
      <c r="NF48" s="131"/>
      <c r="NG48" s="131"/>
      <c r="NH48" s="131"/>
      <c r="NI48" s="131"/>
      <c r="NJ48" s="131"/>
      <c r="NK48" s="131"/>
      <c r="NL48" s="131"/>
      <c r="NM48" s="131"/>
      <c r="NN48" s="131"/>
      <c r="NO48" s="131"/>
      <c r="NP48" s="131"/>
      <c r="NQ48" s="131"/>
      <c r="NR48" s="131"/>
      <c r="NS48" s="131"/>
      <c r="NT48" s="131"/>
      <c r="NU48" s="131"/>
      <c r="NV48" s="131"/>
      <c r="NW48" s="24">
        <f t="shared" si="9"/>
        <v>0</v>
      </c>
      <c r="NX48" s="56" t="s">
        <v>36</v>
      </c>
      <c r="NY48" s="127">
        <v>58.81</v>
      </c>
      <c r="NZ48" s="78">
        <f t="shared" si="2"/>
        <v>0</v>
      </c>
      <c r="OA48" s="78">
        <v>39.4</v>
      </c>
      <c r="OB48" s="127">
        <f t="shared" si="0"/>
        <v>58.81</v>
      </c>
      <c r="OC48" s="153"/>
      <c r="OD48" s="108">
        <f t="shared" si="10"/>
        <v>1.4926395939086297</v>
      </c>
      <c r="OE48" s="160" t="s">
        <v>525</v>
      </c>
    </row>
    <row r="49" spans="1:395" s="5" customFormat="1" ht="12.75" customHeight="1" x14ac:dyDescent="0.25">
      <c r="A49" s="62">
        <v>44524</v>
      </c>
      <c r="B49" s="116" t="s">
        <v>77</v>
      </c>
      <c r="C49" s="129"/>
      <c r="D49" s="129"/>
      <c r="E49" s="130"/>
      <c r="F49" s="130"/>
      <c r="G49" s="130"/>
      <c r="H49" s="130"/>
      <c r="I49" s="130"/>
      <c r="J49" s="130"/>
      <c r="K49" s="130"/>
      <c r="L49" s="130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31"/>
      <c r="AF49" s="131"/>
      <c r="AG49" s="131"/>
      <c r="AH49" s="131"/>
      <c r="AI49" s="131"/>
      <c r="AJ49" s="131"/>
      <c r="AK49" s="131"/>
      <c r="AL49" s="131"/>
      <c r="AM49" s="131"/>
      <c r="AN49" s="131"/>
      <c r="AO49" s="131"/>
      <c r="AP49" s="131"/>
      <c r="AQ49" s="131"/>
      <c r="AR49" s="131"/>
      <c r="AS49" s="131"/>
      <c r="AT49" s="131"/>
      <c r="AU49" s="131"/>
      <c r="AV49" s="131"/>
      <c r="AW49" s="131"/>
      <c r="AX49" s="131"/>
      <c r="AY49" s="131"/>
      <c r="AZ49" s="131"/>
      <c r="BA49" s="131"/>
      <c r="BB49" s="131"/>
      <c r="BC49" s="131"/>
      <c r="BD49" s="131"/>
      <c r="BE49" s="131"/>
      <c r="BF49" s="131"/>
      <c r="BG49" s="131"/>
      <c r="BH49" s="131"/>
      <c r="BI49" s="131"/>
      <c r="BJ49" s="131"/>
      <c r="BK49" s="131"/>
      <c r="BL49" s="131"/>
      <c r="BM49" s="131"/>
      <c r="BN49" s="131"/>
      <c r="BO49" s="131"/>
      <c r="BP49" s="131"/>
      <c r="BQ49" s="131"/>
      <c r="BR49" s="131"/>
      <c r="BS49" s="131"/>
      <c r="BT49" s="131"/>
      <c r="BU49" s="131"/>
      <c r="BV49" s="131"/>
      <c r="BW49" s="131"/>
      <c r="BX49" s="131"/>
      <c r="BY49" s="131"/>
      <c r="BZ49" s="131"/>
      <c r="CA49" s="131"/>
      <c r="CB49" s="131"/>
      <c r="CC49" s="131"/>
      <c r="CD49" s="131"/>
      <c r="CE49" s="131"/>
      <c r="CF49" s="131"/>
      <c r="CG49" s="131"/>
      <c r="CH49" s="131"/>
      <c r="CI49" s="131"/>
      <c r="CJ49" s="131"/>
      <c r="CK49" s="131"/>
      <c r="CL49" s="131"/>
      <c r="CM49" s="131"/>
      <c r="CN49" s="131"/>
      <c r="CO49" s="131"/>
      <c r="CP49" s="131"/>
      <c r="CQ49" s="131"/>
      <c r="CR49" s="131"/>
      <c r="CS49" s="131"/>
      <c r="CT49" s="131"/>
      <c r="CU49" s="131"/>
      <c r="CV49" s="131"/>
      <c r="CW49" s="131"/>
      <c r="CX49" s="131"/>
      <c r="CY49" s="131"/>
      <c r="CZ49" s="131"/>
      <c r="DA49" s="131"/>
      <c r="DB49" s="131"/>
      <c r="DC49" s="131"/>
      <c r="DD49" s="131"/>
      <c r="DE49" s="131"/>
      <c r="DF49" s="131"/>
      <c r="DG49" s="131"/>
      <c r="DH49" s="131"/>
      <c r="DI49" s="131"/>
      <c r="DJ49" s="131"/>
      <c r="DK49" s="131"/>
      <c r="DL49" s="131"/>
      <c r="DM49" s="131"/>
      <c r="DN49" s="131"/>
      <c r="DO49" s="131"/>
      <c r="DP49" s="131"/>
      <c r="DQ49" s="131"/>
      <c r="DR49" s="131"/>
      <c r="DS49" s="131"/>
      <c r="DT49" s="131"/>
      <c r="DU49" s="131"/>
      <c r="DV49" s="131"/>
      <c r="DW49" s="131"/>
      <c r="DX49" s="131"/>
      <c r="DY49" s="131"/>
      <c r="DZ49" s="131"/>
      <c r="EA49" s="131"/>
      <c r="EB49" s="131"/>
      <c r="EC49" s="131"/>
      <c r="ED49" s="131"/>
      <c r="EE49" s="131"/>
      <c r="EF49" s="131"/>
      <c r="EG49" s="131"/>
      <c r="EH49" s="131"/>
      <c r="EI49" s="131"/>
      <c r="EJ49" s="131"/>
      <c r="EK49" s="131"/>
      <c r="EL49" s="131"/>
      <c r="EM49" s="131"/>
      <c r="EN49" s="131"/>
      <c r="EO49" s="131"/>
      <c r="EP49" s="131"/>
      <c r="EQ49" s="131"/>
      <c r="ER49" s="131"/>
      <c r="ES49" s="131"/>
      <c r="ET49" s="131"/>
      <c r="EU49" s="131"/>
      <c r="EV49" s="131"/>
      <c r="EW49" s="131"/>
      <c r="EX49" s="131"/>
      <c r="EY49" s="131"/>
      <c r="EZ49" s="131"/>
      <c r="FA49" s="131"/>
      <c r="FB49" s="131"/>
      <c r="FC49" s="131"/>
      <c r="FD49" s="131"/>
      <c r="FE49" s="131"/>
      <c r="FF49" s="131"/>
      <c r="FG49" s="131"/>
      <c r="FH49" s="131"/>
      <c r="FI49" s="131"/>
      <c r="FJ49" s="131"/>
      <c r="FK49" s="131"/>
      <c r="FL49" s="131"/>
      <c r="FM49" s="131"/>
      <c r="FN49" s="131"/>
      <c r="FO49" s="131"/>
      <c r="FP49" s="131"/>
      <c r="FQ49" s="131"/>
      <c r="FR49" s="131"/>
      <c r="FS49" s="131"/>
      <c r="FT49" s="131"/>
      <c r="FU49" s="131"/>
      <c r="FV49" s="131"/>
      <c r="FW49" s="131"/>
      <c r="FX49" s="131"/>
      <c r="FY49" s="131"/>
      <c r="FZ49" s="131"/>
      <c r="GA49" s="131"/>
      <c r="GB49" s="131"/>
      <c r="GC49" s="131"/>
      <c r="GD49" s="131"/>
      <c r="GE49" s="131"/>
      <c r="GF49" s="131"/>
      <c r="GG49" s="131"/>
      <c r="GH49" s="131"/>
      <c r="GI49" s="131"/>
      <c r="GJ49" s="131"/>
      <c r="GK49" s="131"/>
      <c r="GL49" s="131"/>
      <c r="GM49" s="131"/>
      <c r="GN49" s="131"/>
      <c r="GO49" s="131"/>
      <c r="GP49" s="131"/>
      <c r="GQ49" s="131"/>
      <c r="GR49" s="131"/>
      <c r="GS49" s="131"/>
      <c r="GT49" s="131"/>
      <c r="GU49" s="131"/>
      <c r="GV49" s="131"/>
      <c r="GW49" s="131"/>
      <c r="GX49" s="131"/>
      <c r="GY49" s="131"/>
      <c r="GZ49" s="131"/>
      <c r="HA49" s="131"/>
      <c r="HB49" s="131"/>
      <c r="HC49" s="131"/>
      <c r="HD49" s="131"/>
      <c r="HE49" s="131"/>
      <c r="HF49" s="131"/>
      <c r="HG49" s="131"/>
      <c r="HH49" s="131"/>
      <c r="HI49" s="131"/>
      <c r="HJ49" s="131"/>
      <c r="HK49" s="131"/>
      <c r="HL49" s="131"/>
      <c r="HM49" s="131"/>
      <c r="HN49" s="131"/>
      <c r="HO49" s="131"/>
      <c r="HP49" s="131"/>
      <c r="HQ49" s="131"/>
      <c r="HR49" s="131"/>
      <c r="HS49" s="131"/>
      <c r="HT49" s="131"/>
      <c r="HU49" s="131"/>
      <c r="HV49" s="131"/>
      <c r="HW49" s="131"/>
      <c r="HX49" s="131"/>
      <c r="HY49" s="131"/>
      <c r="HZ49" s="131"/>
      <c r="IA49" s="131"/>
      <c r="IB49" s="131"/>
      <c r="IC49" s="131"/>
      <c r="ID49" s="131"/>
      <c r="IE49" s="131"/>
      <c r="IF49" s="131"/>
      <c r="IG49" s="131"/>
      <c r="IH49" s="131"/>
      <c r="II49" s="131"/>
      <c r="IJ49" s="131"/>
      <c r="IK49" s="131"/>
      <c r="IL49" s="131"/>
      <c r="IM49" s="131"/>
      <c r="IN49" s="131"/>
      <c r="IO49" s="131"/>
      <c r="IP49" s="131"/>
      <c r="IQ49" s="131"/>
      <c r="IR49" s="131"/>
      <c r="IS49" s="131"/>
      <c r="IT49" s="131"/>
      <c r="IU49" s="131"/>
      <c r="IV49" s="131"/>
      <c r="IW49" s="131"/>
      <c r="IX49" s="131"/>
      <c r="IY49" s="131"/>
      <c r="IZ49" s="131"/>
      <c r="JA49" s="131"/>
      <c r="JB49" s="131"/>
      <c r="JC49" s="131"/>
      <c r="JD49" s="131"/>
      <c r="JE49" s="131"/>
      <c r="JF49" s="131"/>
      <c r="JG49" s="131"/>
      <c r="JH49" s="131"/>
      <c r="JI49" s="131"/>
      <c r="JJ49" s="131"/>
      <c r="JK49" s="131"/>
      <c r="JL49" s="131"/>
      <c r="JM49" s="131"/>
      <c r="JN49" s="131"/>
      <c r="JO49" s="131"/>
      <c r="JP49" s="131"/>
      <c r="JQ49" s="131"/>
      <c r="JR49" s="131"/>
      <c r="JS49" s="131"/>
      <c r="JT49" s="131"/>
      <c r="JU49" s="131"/>
      <c r="JV49" s="131"/>
      <c r="JW49" s="131"/>
      <c r="JX49" s="131"/>
      <c r="JY49" s="131"/>
      <c r="JZ49" s="131"/>
      <c r="KA49" s="131"/>
      <c r="KB49" s="131"/>
      <c r="KC49" s="131"/>
      <c r="KD49" s="131"/>
      <c r="KE49" s="131"/>
      <c r="KF49" s="131"/>
      <c r="KG49" s="131"/>
      <c r="KH49" s="131"/>
      <c r="KI49" s="131"/>
      <c r="KJ49" s="131"/>
      <c r="KK49" s="131"/>
      <c r="KL49" s="131"/>
      <c r="KM49" s="131"/>
      <c r="KN49" s="131"/>
      <c r="KO49" s="131"/>
      <c r="KP49" s="131"/>
      <c r="KQ49" s="131"/>
      <c r="KR49" s="131"/>
      <c r="KS49" s="131"/>
      <c r="KT49" s="131"/>
      <c r="KU49" s="131"/>
      <c r="KV49" s="131"/>
      <c r="KW49" s="131"/>
      <c r="KX49" s="131"/>
      <c r="KY49" s="131"/>
      <c r="KZ49" s="131"/>
      <c r="LA49" s="131"/>
      <c r="LB49" s="131"/>
      <c r="LC49" s="131"/>
      <c r="LD49" s="131"/>
      <c r="LE49" s="131"/>
      <c r="LF49" s="131"/>
      <c r="LG49" s="131"/>
      <c r="LH49" s="131"/>
      <c r="LI49" s="131"/>
      <c r="LJ49" s="131"/>
      <c r="LK49" s="131"/>
      <c r="LL49" s="131"/>
      <c r="LM49" s="131"/>
      <c r="LN49" s="131"/>
      <c r="LO49" s="131"/>
      <c r="LP49" s="131"/>
      <c r="LQ49" s="131"/>
      <c r="LR49" s="131"/>
      <c r="LS49" s="131"/>
      <c r="LT49" s="131"/>
      <c r="LU49" s="131"/>
      <c r="LV49" s="131"/>
      <c r="LW49" s="131"/>
      <c r="LX49" s="131"/>
      <c r="LY49" s="131"/>
      <c r="LZ49" s="131"/>
      <c r="MA49" s="131"/>
      <c r="MB49" s="131"/>
      <c r="MC49" s="131"/>
      <c r="MD49" s="131"/>
      <c r="ME49" s="131"/>
      <c r="MF49" s="131"/>
      <c r="MG49" s="131"/>
      <c r="MH49" s="131"/>
      <c r="MI49" s="131"/>
      <c r="MJ49" s="131"/>
      <c r="MK49" s="131"/>
      <c r="ML49" s="131"/>
      <c r="MM49" s="131"/>
      <c r="MN49" s="131"/>
      <c r="MO49" s="131"/>
      <c r="MP49" s="131"/>
      <c r="MQ49" s="131"/>
      <c r="MR49" s="131"/>
      <c r="MS49" s="131"/>
      <c r="MT49" s="131"/>
      <c r="MU49" s="131"/>
      <c r="MV49" s="131"/>
      <c r="MW49" s="131"/>
      <c r="MX49" s="131"/>
      <c r="MY49" s="131"/>
      <c r="MZ49" s="131"/>
      <c r="NA49" s="131"/>
      <c r="NB49" s="131"/>
      <c r="NC49" s="131"/>
      <c r="ND49" s="131"/>
      <c r="NE49" s="131"/>
      <c r="NF49" s="131"/>
      <c r="NG49" s="131"/>
      <c r="NH49" s="131"/>
      <c r="NI49" s="131"/>
      <c r="NJ49" s="131"/>
      <c r="NK49" s="131"/>
      <c r="NL49" s="131"/>
      <c r="NM49" s="131"/>
      <c r="NN49" s="131"/>
      <c r="NO49" s="131"/>
      <c r="NP49" s="131"/>
      <c r="NQ49" s="131"/>
      <c r="NR49" s="131"/>
      <c r="NS49" s="131"/>
      <c r="NT49" s="131"/>
      <c r="NU49" s="131"/>
      <c r="NV49" s="131"/>
      <c r="NW49" s="24">
        <f t="shared" si="9"/>
        <v>0</v>
      </c>
      <c r="NX49" s="56" t="s">
        <v>36</v>
      </c>
      <c r="NY49" s="127">
        <v>179.16</v>
      </c>
      <c r="NZ49" s="78">
        <f t="shared" si="2"/>
        <v>0</v>
      </c>
      <c r="OA49" s="78">
        <v>78.191999999999993</v>
      </c>
      <c r="OB49" s="127">
        <f t="shared" si="0"/>
        <v>179.16</v>
      </c>
      <c r="OC49" s="153"/>
      <c r="OD49" s="108">
        <f t="shared" si="10"/>
        <v>2.2912829957028853</v>
      </c>
      <c r="OE49" s="160" t="s">
        <v>515</v>
      </c>
    </row>
    <row r="50" spans="1:395" s="5" customFormat="1" ht="12.75" hidden="1" customHeight="1" x14ac:dyDescent="0.25">
      <c r="A50" s="62">
        <v>44524</v>
      </c>
      <c r="B50" s="106" t="s">
        <v>143</v>
      </c>
      <c r="C50" s="129"/>
      <c r="D50" s="129"/>
      <c r="E50" s="130"/>
      <c r="F50" s="130"/>
      <c r="G50" s="130"/>
      <c r="H50" s="130"/>
      <c r="I50" s="130"/>
      <c r="J50" s="130"/>
      <c r="K50" s="130"/>
      <c r="L50" s="130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1"/>
      <c r="AO50" s="131"/>
      <c r="AP50" s="131"/>
      <c r="AQ50" s="131"/>
      <c r="AR50" s="131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1"/>
      <c r="BD50" s="131"/>
      <c r="BE50" s="131"/>
      <c r="BF50" s="131"/>
      <c r="BG50" s="131"/>
      <c r="BH50" s="131"/>
      <c r="BI50" s="131"/>
      <c r="BJ50" s="131"/>
      <c r="BK50" s="131"/>
      <c r="BL50" s="131"/>
      <c r="BM50" s="131"/>
      <c r="BN50" s="131"/>
      <c r="BO50" s="131"/>
      <c r="BP50" s="131"/>
      <c r="BQ50" s="131"/>
      <c r="BR50" s="131"/>
      <c r="BS50" s="131"/>
      <c r="BT50" s="131"/>
      <c r="BU50" s="131"/>
      <c r="BV50" s="131"/>
      <c r="BW50" s="131"/>
      <c r="BX50" s="131"/>
      <c r="BY50" s="131"/>
      <c r="BZ50" s="131"/>
      <c r="CA50" s="131"/>
      <c r="CB50" s="131"/>
      <c r="CC50" s="131"/>
      <c r="CD50" s="131"/>
      <c r="CE50" s="131"/>
      <c r="CF50" s="131"/>
      <c r="CG50" s="131"/>
      <c r="CH50" s="131"/>
      <c r="CI50" s="131"/>
      <c r="CJ50" s="131"/>
      <c r="CK50" s="131"/>
      <c r="CL50" s="131"/>
      <c r="CM50" s="131"/>
      <c r="CN50" s="131"/>
      <c r="CO50" s="131"/>
      <c r="CP50" s="131"/>
      <c r="CQ50" s="131"/>
      <c r="CR50" s="131"/>
      <c r="CS50" s="131"/>
      <c r="CT50" s="131"/>
      <c r="CU50" s="131"/>
      <c r="CV50" s="131"/>
      <c r="CW50" s="131"/>
      <c r="CX50" s="131"/>
      <c r="CY50" s="131"/>
      <c r="CZ50" s="131"/>
      <c r="DA50" s="131"/>
      <c r="DB50" s="131"/>
      <c r="DC50" s="131"/>
      <c r="DD50" s="131"/>
      <c r="DE50" s="131"/>
      <c r="DF50" s="131"/>
      <c r="DG50" s="131"/>
      <c r="DH50" s="131"/>
      <c r="DI50" s="131"/>
      <c r="DJ50" s="131"/>
      <c r="DK50" s="131"/>
      <c r="DL50" s="131"/>
      <c r="DM50" s="131"/>
      <c r="DN50" s="131"/>
      <c r="DO50" s="131"/>
      <c r="DP50" s="131"/>
      <c r="DQ50" s="131"/>
      <c r="DR50" s="131"/>
      <c r="DS50" s="131"/>
      <c r="DT50" s="131"/>
      <c r="DU50" s="131"/>
      <c r="DV50" s="131"/>
      <c r="DW50" s="131"/>
      <c r="DX50" s="131"/>
      <c r="DY50" s="131"/>
      <c r="DZ50" s="131"/>
      <c r="EA50" s="131"/>
      <c r="EB50" s="131"/>
      <c r="EC50" s="131"/>
      <c r="ED50" s="131"/>
      <c r="EE50" s="131"/>
      <c r="EF50" s="131"/>
      <c r="EG50" s="131"/>
      <c r="EH50" s="131"/>
      <c r="EI50" s="131"/>
      <c r="EJ50" s="131"/>
      <c r="EK50" s="131"/>
      <c r="EL50" s="131"/>
      <c r="EM50" s="131"/>
      <c r="EN50" s="131"/>
      <c r="EO50" s="131"/>
      <c r="EP50" s="131"/>
      <c r="EQ50" s="131"/>
      <c r="ER50" s="131"/>
      <c r="ES50" s="131"/>
      <c r="ET50" s="131"/>
      <c r="EU50" s="131"/>
      <c r="EV50" s="131"/>
      <c r="EW50" s="131"/>
      <c r="EX50" s="131"/>
      <c r="EY50" s="131"/>
      <c r="EZ50" s="131"/>
      <c r="FA50" s="131"/>
      <c r="FB50" s="131"/>
      <c r="FC50" s="131"/>
      <c r="FD50" s="131"/>
      <c r="FE50" s="131"/>
      <c r="FF50" s="131"/>
      <c r="FG50" s="131"/>
      <c r="FH50" s="131"/>
      <c r="FI50" s="131"/>
      <c r="FJ50" s="131"/>
      <c r="FK50" s="131"/>
      <c r="FL50" s="131"/>
      <c r="FM50" s="131"/>
      <c r="FN50" s="131"/>
      <c r="FO50" s="131"/>
      <c r="FP50" s="131"/>
      <c r="FQ50" s="131"/>
      <c r="FR50" s="131"/>
      <c r="FS50" s="131"/>
      <c r="FT50" s="131"/>
      <c r="FU50" s="131"/>
      <c r="FV50" s="131"/>
      <c r="FW50" s="131"/>
      <c r="FX50" s="131"/>
      <c r="FY50" s="131"/>
      <c r="FZ50" s="131"/>
      <c r="GA50" s="131"/>
      <c r="GB50" s="131"/>
      <c r="GC50" s="131"/>
      <c r="GD50" s="131"/>
      <c r="GE50" s="131"/>
      <c r="GF50" s="131"/>
      <c r="GG50" s="131"/>
      <c r="GH50" s="131"/>
      <c r="GI50" s="131"/>
      <c r="GJ50" s="131"/>
      <c r="GK50" s="131"/>
      <c r="GL50" s="131"/>
      <c r="GM50" s="131"/>
      <c r="GN50" s="131"/>
      <c r="GO50" s="131"/>
      <c r="GP50" s="131"/>
      <c r="GQ50" s="131"/>
      <c r="GR50" s="131"/>
      <c r="GS50" s="131"/>
      <c r="GT50" s="131"/>
      <c r="GU50" s="131"/>
      <c r="GV50" s="131"/>
      <c r="GW50" s="131"/>
      <c r="GX50" s="131"/>
      <c r="GY50" s="131"/>
      <c r="GZ50" s="131"/>
      <c r="HA50" s="131"/>
      <c r="HB50" s="131"/>
      <c r="HC50" s="131"/>
      <c r="HD50" s="131"/>
      <c r="HE50" s="131"/>
      <c r="HF50" s="131"/>
      <c r="HG50" s="131"/>
      <c r="HH50" s="131"/>
      <c r="HI50" s="131"/>
      <c r="HJ50" s="131"/>
      <c r="HK50" s="131"/>
      <c r="HL50" s="131"/>
      <c r="HM50" s="131"/>
      <c r="HN50" s="131"/>
      <c r="HO50" s="131"/>
      <c r="HP50" s="131"/>
      <c r="HQ50" s="131"/>
      <c r="HR50" s="131"/>
      <c r="HS50" s="131"/>
      <c r="HT50" s="131"/>
      <c r="HU50" s="131"/>
      <c r="HV50" s="131"/>
      <c r="HW50" s="131"/>
      <c r="HX50" s="131"/>
      <c r="HY50" s="131"/>
      <c r="HZ50" s="131"/>
      <c r="IA50" s="131"/>
      <c r="IB50" s="131"/>
      <c r="IC50" s="131"/>
      <c r="ID50" s="131"/>
      <c r="IE50" s="131"/>
      <c r="IF50" s="131"/>
      <c r="IG50" s="131"/>
      <c r="IH50" s="131"/>
      <c r="II50" s="131"/>
      <c r="IJ50" s="131"/>
      <c r="IK50" s="131"/>
      <c r="IL50" s="131"/>
      <c r="IM50" s="131"/>
      <c r="IN50" s="131"/>
      <c r="IO50" s="131"/>
      <c r="IP50" s="131"/>
      <c r="IQ50" s="131"/>
      <c r="IR50" s="131"/>
      <c r="IS50" s="131"/>
      <c r="IT50" s="131"/>
      <c r="IU50" s="131"/>
      <c r="IV50" s="131"/>
      <c r="IW50" s="131"/>
      <c r="IX50" s="131"/>
      <c r="IY50" s="131"/>
      <c r="IZ50" s="131"/>
      <c r="JA50" s="131"/>
      <c r="JB50" s="131"/>
      <c r="JC50" s="131"/>
      <c r="JD50" s="131"/>
      <c r="JE50" s="131"/>
      <c r="JF50" s="131"/>
      <c r="JG50" s="131"/>
      <c r="JH50" s="131"/>
      <c r="JI50" s="131"/>
      <c r="JJ50" s="131"/>
      <c r="JK50" s="131"/>
      <c r="JL50" s="131"/>
      <c r="JM50" s="131"/>
      <c r="JN50" s="131"/>
      <c r="JO50" s="131"/>
      <c r="JP50" s="131"/>
      <c r="JQ50" s="131"/>
      <c r="JR50" s="131"/>
      <c r="JS50" s="131"/>
      <c r="JT50" s="131"/>
      <c r="JU50" s="131"/>
      <c r="JV50" s="131"/>
      <c r="JW50" s="131"/>
      <c r="JX50" s="131"/>
      <c r="JY50" s="131"/>
      <c r="JZ50" s="131"/>
      <c r="KA50" s="131"/>
      <c r="KB50" s="131"/>
      <c r="KC50" s="131"/>
      <c r="KD50" s="131"/>
      <c r="KE50" s="131"/>
      <c r="KF50" s="131"/>
      <c r="KG50" s="131"/>
      <c r="KH50" s="131"/>
      <c r="KI50" s="131"/>
      <c r="KJ50" s="131"/>
      <c r="KK50" s="131"/>
      <c r="KL50" s="131"/>
      <c r="KM50" s="131"/>
      <c r="KN50" s="131"/>
      <c r="KO50" s="131"/>
      <c r="KP50" s="131"/>
      <c r="KQ50" s="131"/>
      <c r="KR50" s="131"/>
      <c r="KS50" s="131"/>
      <c r="KT50" s="131"/>
      <c r="KU50" s="131"/>
      <c r="KV50" s="131"/>
      <c r="KW50" s="131"/>
      <c r="KX50" s="131"/>
      <c r="KY50" s="131"/>
      <c r="KZ50" s="131"/>
      <c r="LA50" s="131"/>
      <c r="LB50" s="131"/>
      <c r="LC50" s="131"/>
      <c r="LD50" s="131"/>
      <c r="LE50" s="131"/>
      <c r="LF50" s="131"/>
      <c r="LG50" s="131"/>
      <c r="LH50" s="131"/>
      <c r="LI50" s="131"/>
      <c r="LJ50" s="131"/>
      <c r="LK50" s="131"/>
      <c r="LL50" s="131"/>
      <c r="LM50" s="131"/>
      <c r="LN50" s="131"/>
      <c r="LO50" s="131"/>
      <c r="LP50" s="131"/>
      <c r="LQ50" s="131"/>
      <c r="LR50" s="131"/>
      <c r="LS50" s="131"/>
      <c r="LT50" s="131"/>
      <c r="LU50" s="131"/>
      <c r="LV50" s="131"/>
      <c r="LW50" s="131"/>
      <c r="LX50" s="131"/>
      <c r="LY50" s="131"/>
      <c r="LZ50" s="131"/>
      <c r="MA50" s="131"/>
      <c r="MB50" s="131"/>
      <c r="MC50" s="131"/>
      <c r="MD50" s="131"/>
      <c r="ME50" s="131"/>
      <c r="MF50" s="131"/>
      <c r="MG50" s="131"/>
      <c r="MH50" s="131"/>
      <c r="MI50" s="131"/>
      <c r="MJ50" s="131"/>
      <c r="MK50" s="131"/>
      <c r="ML50" s="131"/>
      <c r="MM50" s="131"/>
      <c r="MN50" s="131"/>
      <c r="MO50" s="131"/>
      <c r="MP50" s="131"/>
      <c r="MQ50" s="131"/>
      <c r="MR50" s="131"/>
      <c r="MS50" s="131"/>
      <c r="MT50" s="131"/>
      <c r="MU50" s="131"/>
      <c r="MV50" s="131"/>
      <c r="MW50" s="131"/>
      <c r="MX50" s="131"/>
      <c r="MY50" s="131"/>
      <c r="MZ50" s="131"/>
      <c r="NA50" s="131"/>
      <c r="NB50" s="131"/>
      <c r="NC50" s="131"/>
      <c r="ND50" s="131"/>
      <c r="NE50" s="131"/>
      <c r="NF50" s="131"/>
      <c r="NG50" s="131"/>
      <c r="NH50" s="131"/>
      <c r="NI50" s="131"/>
      <c r="NJ50" s="131"/>
      <c r="NK50" s="131"/>
      <c r="NL50" s="131"/>
      <c r="NM50" s="131"/>
      <c r="NN50" s="131"/>
      <c r="NO50" s="131"/>
      <c r="NP50" s="131"/>
      <c r="NQ50" s="131"/>
      <c r="NR50" s="131"/>
      <c r="NS50" s="131"/>
      <c r="NT50" s="131"/>
      <c r="NU50" s="131"/>
      <c r="NV50" s="131"/>
      <c r="NW50" s="24">
        <f t="shared" si="9"/>
        <v>0</v>
      </c>
      <c r="NX50" s="56" t="s">
        <v>36</v>
      </c>
      <c r="NY50" s="127">
        <v>351.71</v>
      </c>
      <c r="NZ50" s="78">
        <f t="shared" si="2"/>
        <v>351.71</v>
      </c>
      <c r="OA50" s="78">
        <v>248.75000000000003</v>
      </c>
      <c r="OB50" s="127">
        <f t="shared" si="0"/>
        <v>0</v>
      </c>
      <c r="OC50" s="153">
        <v>351.71</v>
      </c>
      <c r="OD50" s="108">
        <f t="shared" si="10"/>
        <v>1.4139095477386932</v>
      </c>
      <c r="OE50" s="160" t="s">
        <v>526</v>
      </c>
    </row>
    <row r="51" spans="1:395" s="5" customFormat="1" ht="12.75" customHeight="1" x14ac:dyDescent="0.25">
      <c r="A51" s="62">
        <v>44525</v>
      </c>
      <c r="B51" s="156" t="s">
        <v>81</v>
      </c>
      <c r="C51" s="129"/>
      <c r="D51" s="129"/>
      <c r="E51" s="130"/>
      <c r="F51" s="130"/>
      <c r="G51" s="130"/>
      <c r="H51" s="130"/>
      <c r="I51" s="130"/>
      <c r="J51" s="130"/>
      <c r="K51" s="130"/>
      <c r="L51" s="130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  <c r="AP51" s="131"/>
      <c r="AQ51" s="131"/>
      <c r="AR51" s="131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1"/>
      <c r="BD51" s="131"/>
      <c r="BE51" s="131"/>
      <c r="BF51" s="131"/>
      <c r="BG51" s="131"/>
      <c r="BH51" s="131"/>
      <c r="BI51" s="131"/>
      <c r="BJ51" s="131"/>
      <c r="BK51" s="131"/>
      <c r="BL51" s="131"/>
      <c r="BM51" s="131"/>
      <c r="BN51" s="131"/>
      <c r="BO51" s="131"/>
      <c r="BP51" s="131"/>
      <c r="BQ51" s="131"/>
      <c r="BR51" s="131"/>
      <c r="BS51" s="131"/>
      <c r="BT51" s="131"/>
      <c r="BU51" s="131"/>
      <c r="BV51" s="131"/>
      <c r="BW51" s="131"/>
      <c r="BX51" s="131"/>
      <c r="BY51" s="131"/>
      <c r="BZ51" s="131"/>
      <c r="CA51" s="131"/>
      <c r="CB51" s="131"/>
      <c r="CC51" s="131"/>
      <c r="CD51" s="131"/>
      <c r="CE51" s="131"/>
      <c r="CF51" s="131"/>
      <c r="CG51" s="131"/>
      <c r="CH51" s="131"/>
      <c r="CI51" s="131"/>
      <c r="CJ51" s="131"/>
      <c r="CK51" s="131"/>
      <c r="CL51" s="131"/>
      <c r="CM51" s="131"/>
      <c r="CN51" s="131"/>
      <c r="CO51" s="131"/>
      <c r="CP51" s="131"/>
      <c r="CQ51" s="131"/>
      <c r="CR51" s="131"/>
      <c r="CS51" s="131"/>
      <c r="CT51" s="131"/>
      <c r="CU51" s="131"/>
      <c r="CV51" s="131"/>
      <c r="CW51" s="131"/>
      <c r="CX51" s="131"/>
      <c r="CY51" s="131"/>
      <c r="CZ51" s="131"/>
      <c r="DA51" s="131"/>
      <c r="DB51" s="131"/>
      <c r="DC51" s="131"/>
      <c r="DD51" s="131"/>
      <c r="DE51" s="131"/>
      <c r="DF51" s="131"/>
      <c r="DG51" s="131"/>
      <c r="DH51" s="131"/>
      <c r="DI51" s="131"/>
      <c r="DJ51" s="131"/>
      <c r="DK51" s="131"/>
      <c r="DL51" s="131"/>
      <c r="DM51" s="131"/>
      <c r="DN51" s="131"/>
      <c r="DO51" s="131"/>
      <c r="DP51" s="131"/>
      <c r="DQ51" s="131"/>
      <c r="DR51" s="131"/>
      <c r="DS51" s="131"/>
      <c r="DT51" s="131"/>
      <c r="DU51" s="131"/>
      <c r="DV51" s="131"/>
      <c r="DW51" s="131"/>
      <c r="DX51" s="131"/>
      <c r="DY51" s="131"/>
      <c r="DZ51" s="131"/>
      <c r="EA51" s="131"/>
      <c r="EB51" s="131"/>
      <c r="EC51" s="131"/>
      <c r="ED51" s="131"/>
      <c r="EE51" s="131"/>
      <c r="EF51" s="131"/>
      <c r="EG51" s="131"/>
      <c r="EH51" s="131"/>
      <c r="EI51" s="131"/>
      <c r="EJ51" s="131"/>
      <c r="EK51" s="131"/>
      <c r="EL51" s="131"/>
      <c r="EM51" s="131"/>
      <c r="EN51" s="131"/>
      <c r="EO51" s="131"/>
      <c r="EP51" s="131"/>
      <c r="EQ51" s="131"/>
      <c r="ER51" s="131"/>
      <c r="ES51" s="131"/>
      <c r="ET51" s="131"/>
      <c r="EU51" s="131"/>
      <c r="EV51" s="131"/>
      <c r="EW51" s="131"/>
      <c r="EX51" s="131"/>
      <c r="EY51" s="131"/>
      <c r="EZ51" s="131"/>
      <c r="FA51" s="131"/>
      <c r="FB51" s="131"/>
      <c r="FC51" s="131"/>
      <c r="FD51" s="131"/>
      <c r="FE51" s="131"/>
      <c r="FF51" s="131"/>
      <c r="FG51" s="131"/>
      <c r="FH51" s="131"/>
      <c r="FI51" s="131"/>
      <c r="FJ51" s="131"/>
      <c r="FK51" s="131"/>
      <c r="FL51" s="131"/>
      <c r="FM51" s="131"/>
      <c r="FN51" s="131"/>
      <c r="FO51" s="131"/>
      <c r="FP51" s="131"/>
      <c r="FQ51" s="131"/>
      <c r="FR51" s="131"/>
      <c r="FS51" s="131"/>
      <c r="FT51" s="131"/>
      <c r="FU51" s="131"/>
      <c r="FV51" s="131"/>
      <c r="FW51" s="131"/>
      <c r="FX51" s="131"/>
      <c r="FY51" s="131"/>
      <c r="FZ51" s="131"/>
      <c r="GA51" s="131"/>
      <c r="GB51" s="131"/>
      <c r="GC51" s="131"/>
      <c r="GD51" s="131"/>
      <c r="GE51" s="131"/>
      <c r="GF51" s="131"/>
      <c r="GG51" s="131"/>
      <c r="GH51" s="131"/>
      <c r="GI51" s="131"/>
      <c r="GJ51" s="131"/>
      <c r="GK51" s="131"/>
      <c r="GL51" s="131"/>
      <c r="GM51" s="131"/>
      <c r="GN51" s="131"/>
      <c r="GO51" s="131"/>
      <c r="GP51" s="131"/>
      <c r="GQ51" s="131"/>
      <c r="GR51" s="131"/>
      <c r="GS51" s="131"/>
      <c r="GT51" s="131"/>
      <c r="GU51" s="131"/>
      <c r="GV51" s="131"/>
      <c r="GW51" s="131"/>
      <c r="GX51" s="131"/>
      <c r="GY51" s="131"/>
      <c r="GZ51" s="131"/>
      <c r="HA51" s="131"/>
      <c r="HB51" s="131"/>
      <c r="HC51" s="131"/>
      <c r="HD51" s="131"/>
      <c r="HE51" s="131"/>
      <c r="HF51" s="131"/>
      <c r="HG51" s="131"/>
      <c r="HH51" s="131"/>
      <c r="HI51" s="131"/>
      <c r="HJ51" s="131"/>
      <c r="HK51" s="131"/>
      <c r="HL51" s="131"/>
      <c r="HM51" s="131"/>
      <c r="HN51" s="131"/>
      <c r="HO51" s="131"/>
      <c r="HP51" s="131"/>
      <c r="HQ51" s="131"/>
      <c r="HR51" s="131"/>
      <c r="HS51" s="131"/>
      <c r="HT51" s="131"/>
      <c r="HU51" s="131"/>
      <c r="HV51" s="131"/>
      <c r="HW51" s="131"/>
      <c r="HX51" s="131"/>
      <c r="HY51" s="131"/>
      <c r="HZ51" s="131"/>
      <c r="IA51" s="131"/>
      <c r="IB51" s="131"/>
      <c r="IC51" s="131"/>
      <c r="ID51" s="131"/>
      <c r="IE51" s="131"/>
      <c r="IF51" s="131"/>
      <c r="IG51" s="131"/>
      <c r="IH51" s="131"/>
      <c r="II51" s="131"/>
      <c r="IJ51" s="131"/>
      <c r="IK51" s="131"/>
      <c r="IL51" s="131"/>
      <c r="IM51" s="131"/>
      <c r="IN51" s="131"/>
      <c r="IO51" s="131"/>
      <c r="IP51" s="131"/>
      <c r="IQ51" s="131"/>
      <c r="IR51" s="131"/>
      <c r="IS51" s="131"/>
      <c r="IT51" s="131"/>
      <c r="IU51" s="131"/>
      <c r="IV51" s="131"/>
      <c r="IW51" s="131"/>
      <c r="IX51" s="131"/>
      <c r="IY51" s="131"/>
      <c r="IZ51" s="131"/>
      <c r="JA51" s="131"/>
      <c r="JB51" s="131"/>
      <c r="JC51" s="131"/>
      <c r="JD51" s="131"/>
      <c r="JE51" s="131"/>
      <c r="JF51" s="131"/>
      <c r="JG51" s="131"/>
      <c r="JH51" s="131"/>
      <c r="JI51" s="131"/>
      <c r="JJ51" s="131"/>
      <c r="JK51" s="131"/>
      <c r="JL51" s="131"/>
      <c r="JM51" s="131"/>
      <c r="JN51" s="131"/>
      <c r="JO51" s="131"/>
      <c r="JP51" s="131"/>
      <c r="JQ51" s="131"/>
      <c r="JR51" s="131"/>
      <c r="JS51" s="131"/>
      <c r="JT51" s="131"/>
      <c r="JU51" s="131"/>
      <c r="JV51" s="131"/>
      <c r="JW51" s="131"/>
      <c r="JX51" s="131"/>
      <c r="JY51" s="131"/>
      <c r="JZ51" s="131"/>
      <c r="KA51" s="131"/>
      <c r="KB51" s="131"/>
      <c r="KC51" s="131"/>
      <c r="KD51" s="131"/>
      <c r="KE51" s="131"/>
      <c r="KF51" s="131"/>
      <c r="KG51" s="131"/>
      <c r="KH51" s="131"/>
      <c r="KI51" s="131"/>
      <c r="KJ51" s="131"/>
      <c r="KK51" s="131"/>
      <c r="KL51" s="131"/>
      <c r="KM51" s="131"/>
      <c r="KN51" s="131"/>
      <c r="KO51" s="131"/>
      <c r="KP51" s="131"/>
      <c r="KQ51" s="131"/>
      <c r="KR51" s="131"/>
      <c r="KS51" s="131"/>
      <c r="KT51" s="131"/>
      <c r="KU51" s="131"/>
      <c r="KV51" s="131"/>
      <c r="KW51" s="131"/>
      <c r="KX51" s="131"/>
      <c r="KY51" s="131"/>
      <c r="KZ51" s="131"/>
      <c r="LA51" s="131"/>
      <c r="LB51" s="131"/>
      <c r="LC51" s="131"/>
      <c r="LD51" s="131"/>
      <c r="LE51" s="131"/>
      <c r="LF51" s="131"/>
      <c r="LG51" s="131"/>
      <c r="LH51" s="131"/>
      <c r="LI51" s="131"/>
      <c r="LJ51" s="131"/>
      <c r="LK51" s="131"/>
      <c r="LL51" s="131"/>
      <c r="LM51" s="131"/>
      <c r="LN51" s="131"/>
      <c r="LO51" s="131"/>
      <c r="LP51" s="131"/>
      <c r="LQ51" s="131"/>
      <c r="LR51" s="131"/>
      <c r="LS51" s="131"/>
      <c r="LT51" s="131"/>
      <c r="LU51" s="131"/>
      <c r="LV51" s="131"/>
      <c r="LW51" s="131"/>
      <c r="LX51" s="131"/>
      <c r="LY51" s="131"/>
      <c r="LZ51" s="131"/>
      <c r="MA51" s="131"/>
      <c r="MB51" s="131"/>
      <c r="MC51" s="131"/>
      <c r="MD51" s="131"/>
      <c r="ME51" s="131"/>
      <c r="MF51" s="131"/>
      <c r="MG51" s="131"/>
      <c r="MH51" s="131"/>
      <c r="MI51" s="131"/>
      <c r="MJ51" s="131"/>
      <c r="MK51" s="131"/>
      <c r="ML51" s="131"/>
      <c r="MM51" s="131"/>
      <c r="MN51" s="131"/>
      <c r="MO51" s="131"/>
      <c r="MP51" s="131"/>
      <c r="MQ51" s="131"/>
      <c r="MR51" s="131"/>
      <c r="MS51" s="131"/>
      <c r="MT51" s="131"/>
      <c r="MU51" s="131"/>
      <c r="MV51" s="131"/>
      <c r="MW51" s="131"/>
      <c r="MX51" s="131"/>
      <c r="MY51" s="131"/>
      <c r="MZ51" s="131"/>
      <c r="NA51" s="131"/>
      <c r="NB51" s="131"/>
      <c r="NC51" s="131"/>
      <c r="ND51" s="131"/>
      <c r="NE51" s="131"/>
      <c r="NF51" s="131"/>
      <c r="NG51" s="131"/>
      <c r="NH51" s="131"/>
      <c r="NI51" s="131"/>
      <c r="NJ51" s="131"/>
      <c r="NK51" s="131"/>
      <c r="NL51" s="131"/>
      <c r="NM51" s="131"/>
      <c r="NN51" s="131"/>
      <c r="NO51" s="131"/>
      <c r="NP51" s="131"/>
      <c r="NQ51" s="131"/>
      <c r="NR51" s="131"/>
      <c r="NS51" s="131"/>
      <c r="NT51" s="131"/>
      <c r="NU51" s="131"/>
      <c r="NV51" s="131"/>
      <c r="NW51" s="24">
        <f t="shared" si="9"/>
        <v>0</v>
      </c>
      <c r="NX51" s="56" t="s">
        <v>36</v>
      </c>
      <c r="NY51" s="127">
        <v>5260.08</v>
      </c>
      <c r="NZ51" s="78">
        <f t="shared" si="2"/>
        <v>0</v>
      </c>
      <c r="OA51" s="78">
        <v>3790.0999999999995</v>
      </c>
      <c r="OB51" s="127">
        <f t="shared" si="0"/>
        <v>5260.08</v>
      </c>
      <c r="OC51" s="153"/>
      <c r="OD51" s="108">
        <f t="shared" si="10"/>
        <v>1.3878472863512838</v>
      </c>
      <c r="OE51" s="160" t="s">
        <v>506</v>
      </c>
    </row>
    <row r="52" spans="1:395" s="5" customFormat="1" ht="12.75" hidden="1" customHeight="1" x14ac:dyDescent="0.25">
      <c r="A52" s="62">
        <v>44525</v>
      </c>
      <c r="B52" s="116" t="s">
        <v>94</v>
      </c>
      <c r="C52" s="129"/>
      <c r="D52" s="129"/>
      <c r="E52" s="130"/>
      <c r="F52" s="130"/>
      <c r="G52" s="130"/>
      <c r="H52" s="130"/>
      <c r="I52" s="130"/>
      <c r="J52" s="130"/>
      <c r="K52" s="130"/>
      <c r="L52" s="130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  <c r="AH52" s="131"/>
      <c r="AI52" s="131"/>
      <c r="AJ52" s="131"/>
      <c r="AK52" s="131"/>
      <c r="AL52" s="131"/>
      <c r="AM52" s="131"/>
      <c r="AN52" s="131"/>
      <c r="AO52" s="131"/>
      <c r="AP52" s="131"/>
      <c r="AQ52" s="131"/>
      <c r="AR52" s="131"/>
      <c r="AS52" s="131"/>
      <c r="AT52" s="131"/>
      <c r="AU52" s="131"/>
      <c r="AV52" s="131"/>
      <c r="AW52" s="131"/>
      <c r="AX52" s="131"/>
      <c r="AY52" s="131"/>
      <c r="AZ52" s="131"/>
      <c r="BA52" s="131"/>
      <c r="BB52" s="131"/>
      <c r="BC52" s="131"/>
      <c r="BD52" s="131"/>
      <c r="BE52" s="131"/>
      <c r="BF52" s="131"/>
      <c r="BG52" s="131"/>
      <c r="BH52" s="131"/>
      <c r="BI52" s="131"/>
      <c r="BJ52" s="131"/>
      <c r="BK52" s="131"/>
      <c r="BL52" s="131"/>
      <c r="BM52" s="131"/>
      <c r="BN52" s="131"/>
      <c r="BO52" s="131"/>
      <c r="BP52" s="131"/>
      <c r="BQ52" s="131"/>
      <c r="BR52" s="131"/>
      <c r="BS52" s="131"/>
      <c r="BT52" s="131"/>
      <c r="BU52" s="131"/>
      <c r="BV52" s="131"/>
      <c r="BW52" s="131"/>
      <c r="BX52" s="131"/>
      <c r="BY52" s="131"/>
      <c r="BZ52" s="131"/>
      <c r="CA52" s="131"/>
      <c r="CB52" s="131"/>
      <c r="CC52" s="131"/>
      <c r="CD52" s="131"/>
      <c r="CE52" s="131"/>
      <c r="CF52" s="131"/>
      <c r="CG52" s="131"/>
      <c r="CH52" s="131"/>
      <c r="CI52" s="131"/>
      <c r="CJ52" s="131"/>
      <c r="CK52" s="131"/>
      <c r="CL52" s="131"/>
      <c r="CM52" s="131"/>
      <c r="CN52" s="131"/>
      <c r="CO52" s="131"/>
      <c r="CP52" s="131"/>
      <c r="CQ52" s="131"/>
      <c r="CR52" s="131"/>
      <c r="CS52" s="131"/>
      <c r="CT52" s="131"/>
      <c r="CU52" s="131"/>
      <c r="CV52" s="131"/>
      <c r="CW52" s="131"/>
      <c r="CX52" s="131"/>
      <c r="CY52" s="131"/>
      <c r="CZ52" s="131"/>
      <c r="DA52" s="131"/>
      <c r="DB52" s="131"/>
      <c r="DC52" s="131"/>
      <c r="DD52" s="131"/>
      <c r="DE52" s="131"/>
      <c r="DF52" s="131"/>
      <c r="DG52" s="131"/>
      <c r="DH52" s="131"/>
      <c r="DI52" s="131"/>
      <c r="DJ52" s="131"/>
      <c r="DK52" s="131"/>
      <c r="DL52" s="131"/>
      <c r="DM52" s="131"/>
      <c r="DN52" s="131"/>
      <c r="DO52" s="131"/>
      <c r="DP52" s="131"/>
      <c r="DQ52" s="131"/>
      <c r="DR52" s="131"/>
      <c r="DS52" s="131"/>
      <c r="DT52" s="131"/>
      <c r="DU52" s="131"/>
      <c r="DV52" s="131"/>
      <c r="DW52" s="131"/>
      <c r="DX52" s="131"/>
      <c r="DY52" s="131"/>
      <c r="DZ52" s="131"/>
      <c r="EA52" s="131"/>
      <c r="EB52" s="131"/>
      <c r="EC52" s="131"/>
      <c r="ED52" s="131"/>
      <c r="EE52" s="131"/>
      <c r="EF52" s="131"/>
      <c r="EG52" s="131"/>
      <c r="EH52" s="131"/>
      <c r="EI52" s="131"/>
      <c r="EJ52" s="131"/>
      <c r="EK52" s="131"/>
      <c r="EL52" s="131"/>
      <c r="EM52" s="131"/>
      <c r="EN52" s="131"/>
      <c r="EO52" s="131"/>
      <c r="EP52" s="131"/>
      <c r="EQ52" s="131"/>
      <c r="ER52" s="131"/>
      <c r="ES52" s="131"/>
      <c r="ET52" s="131"/>
      <c r="EU52" s="131"/>
      <c r="EV52" s="131"/>
      <c r="EW52" s="131"/>
      <c r="EX52" s="131"/>
      <c r="EY52" s="131"/>
      <c r="EZ52" s="131"/>
      <c r="FA52" s="131"/>
      <c r="FB52" s="131"/>
      <c r="FC52" s="131"/>
      <c r="FD52" s="131"/>
      <c r="FE52" s="131"/>
      <c r="FF52" s="131"/>
      <c r="FG52" s="131"/>
      <c r="FH52" s="131"/>
      <c r="FI52" s="131"/>
      <c r="FJ52" s="131"/>
      <c r="FK52" s="131"/>
      <c r="FL52" s="131"/>
      <c r="FM52" s="131"/>
      <c r="FN52" s="131"/>
      <c r="FO52" s="131"/>
      <c r="FP52" s="131"/>
      <c r="FQ52" s="131"/>
      <c r="FR52" s="131"/>
      <c r="FS52" s="131"/>
      <c r="FT52" s="131"/>
      <c r="FU52" s="131"/>
      <c r="FV52" s="131"/>
      <c r="FW52" s="131"/>
      <c r="FX52" s="131"/>
      <c r="FY52" s="131"/>
      <c r="FZ52" s="131"/>
      <c r="GA52" s="131"/>
      <c r="GB52" s="131"/>
      <c r="GC52" s="131"/>
      <c r="GD52" s="131"/>
      <c r="GE52" s="131"/>
      <c r="GF52" s="131"/>
      <c r="GG52" s="131"/>
      <c r="GH52" s="131"/>
      <c r="GI52" s="131"/>
      <c r="GJ52" s="131"/>
      <c r="GK52" s="131"/>
      <c r="GL52" s="131"/>
      <c r="GM52" s="131"/>
      <c r="GN52" s="131"/>
      <c r="GO52" s="131"/>
      <c r="GP52" s="131"/>
      <c r="GQ52" s="131"/>
      <c r="GR52" s="131"/>
      <c r="GS52" s="131"/>
      <c r="GT52" s="131"/>
      <c r="GU52" s="131"/>
      <c r="GV52" s="131"/>
      <c r="GW52" s="131"/>
      <c r="GX52" s="131"/>
      <c r="GY52" s="131"/>
      <c r="GZ52" s="131"/>
      <c r="HA52" s="131"/>
      <c r="HB52" s="131"/>
      <c r="HC52" s="131"/>
      <c r="HD52" s="131"/>
      <c r="HE52" s="131"/>
      <c r="HF52" s="131"/>
      <c r="HG52" s="131"/>
      <c r="HH52" s="131"/>
      <c r="HI52" s="131"/>
      <c r="HJ52" s="131"/>
      <c r="HK52" s="131"/>
      <c r="HL52" s="131"/>
      <c r="HM52" s="131"/>
      <c r="HN52" s="131"/>
      <c r="HO52" s="131"/>
      <c r="HP52" s="131"/>
      <c r="HQ52" s="131"/>
      <c r="HR52" s="131"/>
      <c r="HS52" s="131"/>
      <c r="HT52" s="131"/>
      <c r="HU52" s="131"/>
      <c r="HV52" s="131"/>
      <c r="HW52" s="131"/>
      <c r="HX52" s="131"/>
      <c r="HY52" s="131"/>
      <c r="HZ52" s="131"/>
      <c r="IA52" s="131"/>
      <c r="IB52" s="131"/>
      <c r="IC52" s="131"/>
      <c r="ID52" s="131"/>
      <c r="IE52" s="131"/>
      <c r="IF52" s="131"/>
      <c r="IG52" s="131"/>
      <c r="IH52" s="131"/>
      <c r="II52" s="131"/>
      <c r="IJ52" s="131"/>
      <c r="IK52" s="131"/>
      <c r="IL52" s="131"/>
      <c r="IM52" s="131"/>
      <c r="IN52" s="131"/>
      <c r="IO52" s="131"/>
      <c r="IP52" s="131"/>
      <c r="IQ52" s="131"/>
      <c r="IR52" s="131"/>
      <c r="IS52" s="131"/>
      <c r="IT52" s="131"/>
      <c r="IU52" s="131"/>
      <c r="IV52" s="131"/>
      <c r="IW52" s="131"/>
      <c r="IX52" s="131"/>
      <c r="IY52" s="131"/>
      <c r="IZ52" s="131"/>
      <c r="JA52" s="131"/>
      <c r="JB52" s="131"/>
      <c r="JC52" s="131"/>
      <c r="JD52" s="131"/>
      <c r="JE52" s="131"/>
      <c r="JF52" s="131"/>
      <c r="JG52" s="131"/>
      <c r="JH52" s="131"/>
      <c r="JI52" s="131"/>
      <c r="JJ52" s="131"/>
      <c r="JK52" s="131"/>
      <c r="JL52" s="131"/>
      <c r="JM52" s="131"/>
      <c r="JN52" s="131"/>
      <c r="JO52" s="131"/>
      <c r="JP52" s="131"/>
      <c r="JQ52" s="131"/>
      <c r="JR52" s="131"/>
      <c r="JS52" s="131"/>
      <c r="JT52" s="131"/>
      <c r="JU52" s="131"/>
      <c r="JV52" s="131"/>
      <c r="JW52" s="131"/>
      <c r="JX52" s="131"/>
      <c r="JY52" s="131"/>
      <c r="JZ52" s="131"/>
      <c r="KA52" s="131"/>
      <c r="KB52" s="131"/>
      <c r="KC52" s="131"/>
      <c r="KD52" s="131"/>
      <c r="KE52" s="131"/>
      <c r="KF52" s="131"/>
      <c r="KG52" s="131"/>
      <c r="KH52" s="131"/>
      <c r="KI52" s="131"/>
      <c r="KJ52" s="131"/>
      <c r="KK52" s="131"/>
      <c r="KL52" s="131"/>
      <c r="KM52" s="131"/>
      <c r="KN52" s="131"/>
      <c r="KO52" s="131"/>
      <c r="KP52" s="131"/>
      <c r="KQ52" s="131"/>
      <c r="KR52" s="131"/>
      <c r="KS52" s="131"/>
      <c r="KT52" s="131"/>
      <c r="KU52" s="131"/>
      <c r="KV52" s="131"/>
      <c r="KW52" s="131"/>
      <c r="KX52" s="131"/>
      <c r="KY52" s="131"/>
      <c r="KZ52" s="131"/>
      <c r="LA52" s="131"/>
      <c r="LB52" s="131"/>
      <c r="LC52" s="131"/>
      <c r="LD52" s="131"/>
      <c r="LE52" s="131"/>
      <c r="LF52" s="131"/>
      <c r="LG52" s="131"/>
      <c r="LH52" s="131"/>
      <c r="LI52" s="131"/>
      <c r="LJ52" s="131"/>
      <c r="LK52" s="131"/>
      <c r="LL52" s="131"/>
      <c r="LM52" s="131"/>
      <c r="LN52" s="131"/>
      <c r="LO52" s="131"/>
      <c r="LP52" s="131"/>
      <c r="LQ52" s="131"/>
      <c r="LR52" s="131"/>
      <c r="LS52" s="131"/>
      <c r="LT52" s="131"/>
      <c r="LU52" s="131"/>
      <c r="LV52" s="131"/>
      <c r="LW52" s="131"/>
      <c r="LX52" s="131"/>
      <c r="LY52" s="131"/>
      <c r="LZ52" s="131"/>
      <c r="MA52" s="131"/>
      <c r="MB52" s="131"/>
      <c r="MC52" s="131"/>
      <c r="MD52" s="131"/>
      <c r="ME52" s="131"/>
      <c r="MF52" s="131"/>
      <c r="MG52" s="131"/>
      <c r="MH52" s="131"/>
      <c r="MI52" s="131"/>
      <c r="MJ52" s="131"/>
      <c r="MK52" s="131"/>
      <c r="ML52" s="131"/>
      <c r="MM52" s="131"/>
      <c r="MN52" s="131"/>
      <c r="MO52" s="131"/>
      <c r="MP52" s="131"/>
      <c r="MQ52" s="131"/>
      <c r="MR52" s="131"/>
      <c r="MS52" s="131"/>
      <c r="MT52" s="131"/>
      <c r="MU52" s="131"/>
      <c r="MV52" s="131"/>
      <c r="MW52" s="131"/>
      <c r="MX52" s="131"/>
      <c r="MY52" s="131"/>
      <c r="MZ52" s="131"/>
      <c r="NA52" s="131"/>
      <c r="NB52" s="131"/>
      <c r="NC52" s="131"/>
      <c r="ND52" s="131"/>
      <c r="NE52" s="131"/>
      <c r="NF52" s="131"/>
      <c r="NG52" s="131"/>
      <c r="NH52" s="131"/>
      <c r="NI52" s="131"/>
      <c r="NJ52" s="131"/>
      <c r="NK52" s="131"/>
      <c r="NL52" s="131"/>
      <c r="NM52" s="131"/>
      <c r="NN52" s="131"/>
      <c r="NO52" s="131"/>
      <c r="NP52" s="131"/>
      <c r="NQ52" s="131"/>
      <c r="NR52" s="131"/>
      <c r="NS52" s="131"/>
      <c r="NT52" s="131"/>
      <c r="NU52" s="131"/>
      <c r="NV52" s="131"/>
      <c r="NW52" s="24">
        <f t="shared" si="9"/>
        <v>0</v>
      </c>
      <c r="NX52" s="56" t="s">
        <v>36</v>
      </c>
      <c r="NY52" s="127">
        <v>4925.62</v>
      </c>
      <c r="NZ52" s="78">
        <f t="shared" si="2"/>
        <v>4925.62</v>
      </c>
      <c r="OA52" s="78">
        <v>2945.56</v>
      </c>
      <c r="OB52" s="127">
        <f t="shared" si="0"/>
        <v>0</v>
      </c>
      <c r="OC52" s="153">
        <v>4925.62</v>
      </c>
      <c r="OD52" s="108">
        <f t="shared" si="10"/>
        <v>1.6722185255095805</v>
      </c>
      <c r="OE52" s="160" t="s">
        <v>520</v>
      </c>
    </row>
    <row r="53" spans="1:395" s="5" customFormat="1" ht="12.75" hidden="1" customHeight="1" x14ac:dyDescent="0.25">
      <c r="A53" s="62">
        <v>44526</v>
      </c>
      <c r="B53" s="158" t="s">
        <v>301</v>
      </c>
      <c r="C53" s="129"/>
      <c r="D53" s="129"/>
      <c r="E53" s="130"/>
      <c r="F53" s="130"/>
      <c r="G53" s="130"/>
      <c r="H53" s="130"/>
      <c r="I53" s="130"/>
      <c r="J53" s="130"/>
      <c r="K53" s="130"/>
      <c r="L53" s="130"/>
      <c r="M53" s="131"/>
      <c r="N53" s="131"/>
      <c r="O53" s="131"/>
      <c r="P53" s="131"/>
      <c r="Q53" s="131"/>
      <c r="R53" s="131"/>
      <c r="S53" s="131"/>
      <c r="T53" s="131"/>
      <c r="U53" s="131"/>
      <c r="V53" s="131"/>
      <c r="W53" s="131"/>
      <c r="X53" s="131"/>
      <c r="Y53" s="131"/>
      <c r="Z53" s="131"/>
      <c r="AA53" s="131"/>
      <c r="AB53" s="131"/>
      <c r="AC53" s="131"/>
      <c r="AD53" s="131"/>
      <c r="AE53" s="131"/>
      <c r="AF53" s="131"/>
      <c r="AG53" s="131"/>
      <c r="AH53" s="131"/>
      <c r="AI53" s="131"/>
      <c r="AJ53" s="131"/>
      <c r="AK53" s="131"/>
      <c r="AL53" s="131"/>
      <c r="AM53" s="131"/>
      <c r="AN53" s="131"/>
      <c r="AO53" s="131"/>
      <c r="AP53" s="131"/>
      <c r="AQ53" s="131"/>
      <c r="AR53" s="131"/>
      <c r="AS53" s="131"/>
      <c r="AT53" s="131"/>
      <c r="AU53" s="131"/>
      <c r="AV53" s="131"/>
      <c r="AW53" s="131"/>
      <c r="AX53" s="131"/>
      <c r="AY53" s="131"/>
      <c r="AZ53" s="131"/>
      <c r="BA53" s="131"/>
      <c r="BB53" s="131"/>
      <c r="BC53" s="131"/>
      <c r="BD53" s="131"/>
      <c r="BE53" s="131"/>
      <c r="BF53" s="131"/>
      <c r="BG53" s="131"/>
      <c r="BH53" s="131"/>
      <c r="BI53" s="131"/>
      <c r="BJ53" s="131"/>
      <c r="BK53" s="131"/>
      <c r="BL53" s="131"/>
      <c r="BM53" s="131"/>
      <c r="BN53" s="131"/>
      <c r="BO53" s="131"/>
      <c r="BP53" s="131"/>
      <c r="BQ53" s="131"/>
      <c r="BR53" s="131"/>
      <c r="BS53" s="131"/>
      <c r="BT53" s="131"/>
      <c r="BU53" s="131"/>
      <c r="BV53" s="131"/>
      <c r="BW53" s="131"/>
      <c r="BX53" s="131"/>
      <c r="BY53" s="131"/>
      <c r="BZ53" s="131"/>
      <c r="CA53" s="131"/>
      <c r="CB53" s="131"/>
      <c r="CC53" s="131"/>
      <c r="CD53" s="131"/>
      <c r="CE53" s="131"/>
      <c r="CF53" s="131"/>
      <c r="CG53" s="131"/>
      <c r="CH53" s="131"/>
      <c r="CI53" s="131"/>
      <c r="CJ53" s="131"/>
      <c r="CK53" s="131"/>
      <c r="CL53" s="131"/>
      <c r="CM53" s="131"/>
      <c r="CN53" s="131"/>
      <c r="CO53" s="131"/>
      <c r="CP53" s="131"/>
      <c r="CQ53" s="131"/>
      <c r="CR53" s="131"/>
      <c r="CS53" s="131"/>
      <c r="CT53" s="131"/>
      <c r="CU53" s="131"/>
      <c r="CV53" s="131"/>
      <c r="CW53" s="131"/>
      <c r="CX53" s="131"/>
      <c r="CY53" s="131"/>
      <c r="CZ53" s="131"/>
      <c r="DA53" s="131"/>
      <c r="DB53" s="131"/>
      <c r="DC53" s="131"/>
      <c r="DD53" s="131"/>
      <c r="DE53" s="131"/>
      <c r="DF53" s="131"/>
      <c r="DG53" s="131"/>
      <c r="DH53" s="131"/>
      <c r="DI53" s="131"/>
      <c r="DJ53" s="131"/>
      <c r="DK53" s="131"/>
      <c r="DL53" s="131"/>
      <c r="DM53" s="131"/>
      <c r="DN53" s="131"/>
      <c r="DO53" s="131"/>
      <c r="DP53" s="131"/>
      <c r="DQ53" s="131"/>
      <c r="DR53" s="131"/>
      <c r="DS53" s="131"/>
      <c r="DT53" s="131"/>
      <c r="DU53" s="131"/>
      <c r="DV53" s="131"/>
      <c r="DW53" s="131"/>
      <c r="DX53" s="131"/>
      <c r="DY53" s="131"/>
      <c r="DZ53" s="131"/>
      <c r="EA53" s="131"/>
      <c r="EB53" s="131"/>
      <c r="EC53" s="131"/>
      <c r="ED53" s="131"/>
      <c r="EE53" s="131"/>
      <c r="EF53" s="131"/>
      <c r="EG53" s="131"/>
      <c r="EH53" s="131"/>
      <c r="EI53" s="131"/>
      <c r="EJ53" s="131"/>
      <c r="EK53" s="131"/>
      <c r="EL53" s="131"/>
      <c r="EM53" s="131"/>
      <c r="EN53" s="131"/>
      <c r="EO53" s="131"/>
      <c r="EP53" s="131"/>
      <c r="EQ53" s="131"/>
      <c r="ER53" s="131"/>
      <c r="ES53" s="131"/>
      <c r="ET53" s="131"/>
      <c r="EU53" s="131"/>
      <c r="EV53" s="131"/>
      <c r="EW53" s="131"/>
      <c r="EX53" s="131"/>
      <c r="EY53" s="131"/>
      <c r="EZ53" s="131"/>
      <c r="FA53" s="131"/>
      <c r="FB53" s="131"/>
      <c r="FC53" s="131"/>
      <c r="FD53" s="131"/>
      <c r="FE53" s="131"/>
      <c r="FF53" s="131"/>
      <c r="FG53" s="131"/>
      <c r="FH53" s="131"/>
      <c r="FI53" s="131"/>
      <c r="FJ53" s="131"/>
      <c r="FK53" s="131"/>
      <c r="FL53" s="131"/>
      <c r="FM53" s="131"/>
      <c r="FN53" s="131"/>
      <c r="FO53" s="131"/>
      <c r="FP53" s="131"/>
      <c r="FQ53" s="131"/>
      <c r="FR53" s="131"/>
      <c r="FS53" s="131"/>
      <c r="FT53" s="131"/>
      <c r="FU53" s="131"/>
      <c r="FV53" s="131"/>
      <c r="FW53" s="131"/>
      <c r="FX53" s="131"/>
      <c r="FY53" s="131"/>
      <c r="FZ53" s="131"/>
      <c r="GA53" s="131"/>
      <c r="GB53" s="131"/>
      <c r="GC53" s="131"/>
      <c r="GD53" s="131"/>
      <c r="GE53" s="131"/>
      <c r="GF53" s="131"/>
      <c r="GG53" s="131"/>
      <c r="GH53" s="131"/>
      <c r="GI53" s="131"/>
      <c r="GJ53" s="131"/>
      <c r="GK53" s="131"/>
      <c r="GL53" s="131"/>
      <c r="GM53" s="131"/>
      <c r="GN53" s="131"/>
      <c r="GO53" s="131"/>
      <c r="GP53" s="131"/>
      <c r="GQ53" s="131"/>
      <c r="GR53" s="131"/>
      <c r="GS53" s="131"/>
      <c r="GT53" s="131"/>
      <c r="GU53" s="131"/>
      <c r="GV53" s="131"/>
      <c r="GW53" s="131"/>
      <c r="GX53" s="131"/>
      <c r="GY53" s="131"/>
      <c r="GZ53" s="131"/>
      <c r="HA53" s="131"/>
      <c r="HB53" s="131"/>
      <c r="HC53" s="131"/>
      <c r="HD53" s="131"/>
      <c r="HE53" s="131"/>
      <c r="HF53" s="131"/>
      <c r="HG53" s="131"/>
      <c r="HH53" s="131"/>
      <c r="HI53" s="131"/>
      <c r="HJ53" s="131"/>
      <c r="HK53" s="131"/>
      <c r="HL53" s="131"/>
      <c r="HM53" s="131"/>
      <c r="HN53" s="131"/>
      <c r="HO53" s="131"/>
      <c r="HP53" s="131"/>
      <c r="HQ53" s="131"/>
      <c r="HR53" s="131"/>
      <c r="HS53" s="131"/>
      <c r="HT53" s="131"/>
      <c r="HU53" s="131"/>
      <c r="HV53" s="131"/>
      <c r="HW53" s="131"/>
      <c r="HX53" s="131"/>
      <c r="HY53" s="131"/>
      <c r="HZ53" s="131"/>
      <c r="IA53" s="131"/>
      <c r="IB53" s="131"/>
      <c r="IC53" s="131"/>
      <c r="ID53" s="131"/>
      <c r="IE53" s="131"/>
      <c r="IF53" s="131"/>
      <c r="IG53" s="131"/>
      <c r="IH53" s="131"/>
      <c r="II53" s="131"/>
      <c r="IJ53" s="131"/>
      <c r="IK53" s="131"/>
      <c r="IL53" s="131"/>
      <c r="IM53" s="131"/>
      <c r="IN53" s="131"/>
      <c r="IO53" s="131"/>
      <c r="IP53" s="131"/>
      <c r="IQ53" s="131"/>
      <c r="IR53" s="131"/>
      <c r="IS53" s="131"/>
      <c r="IT53" s="131"/>
      <c r="IU53" s="131"/>
      <c r="IV53" s="131"/>
      <c r="IW53" s="131"/>
      <c r="IX53" s="131"/>
      <c r="IY53" s="131"/>
      <c r="IZ53" s="131"/>
      <c r="JA53" s="131"/>
      <c r="JB53" s="131"/>
      <c r="JC53" s="131"/>
      <c r="JD53" s="131"/>
      <c r="JE53" s="131"/>
      <c r="JF53" s="131"/>
      <c r="JG53" s="131"/>
      <c r="JH53" s="131"/>
      <c r="JI53" s="131"/>
      <c r="JJ53" s="131"/>
      <c r="JK53" s="131"/>
      <c r="JL53" s="131"/>
      <c r="JM53" s="131"/>
      <c r="JN53" s="131"/>
      <c r="JO53" s="131"/>
      <c r="JP53" s="131"/>
      <c r="JQ53" s="131"/>
      <c r="JR53" s="131"/>
      <c r="JS53" s="131"/>
      <c r="JT53" s="131"/>
      <c r="JU53" s="131"/>
      <c r="JV53" s="131"/>
      <c r="JW53" s="131"/>
      <c r="JX53" s="131"/>
      <c r="JY53" s="131"/>
      <c r="JZ53" s="131"/>
      <c r="KA53" s="131"/>
      <c r="KB53" s="131"/>
      <c r="KC53" s="131"/>
      <c r="KD53" s="131"/>
      <c r="KE53" s="131"/>
      <c r="KF53" s="131"/>
      <c r="KG53" s="131"/>
      <c r="KH53" s="131"/>
      <c r="KI53" s="131"/>
      <c r="KJ53" s="131"/>
      <c r="KK53" s="131"/>
      <c r="KL53" s="131"/>
      <c r="KM53" s="131"/>
      <c r="KN53" s="131"/>
      <c r="KO53" s="131"/>
      <c r="KP53" s="131"/>
      <c r="KQ53" s="131"/>
      <c r="KR53" s="131"/>
      <c r="KS53" s="131"/>
      <c r="KT53" s="131"/>
      <c r="KU53" s="131"/>
      <c r="KV53" s="131"/>
      <c r="KW53" s="131"/>
      <c r="KX53" s="131"/>
      <c r="KY53" s="131"/>
      <c r="KZ53" s="131"/>
      <c r="LA53" s="131"/>
      <c r="LB53" s="131"/>
      <c r="LC53" s="131"/>
      <c r="LD53" s="131"/>
      <c r="LE53" s="131"/>
      <c r="LF53" s="131"/>
      <c r="LG53" s="131"/>
      <c r="LH53" s="131"/>
      <c r="LI53" s="131"/>
      <c r="LJ53" s="131"/>
      <c r="LK53" s="131"/>
      <c r="LL53" s="131"/>
      <c r="LM53" s="131"/>
      <c r="LN53" s="131"/>
      <c r="LO53" s="131"/>
      <c r="LP53" s="131"/>
      <c r="LQ53" s="131"/>
      <c r="LR53" s="131"/>
      <c r="LS53" s="131"/>
      <c r="LT53" s="131"/>
      <c r="LU53" s="131"/>
      <c r="LV53" s="131"/>
      <c r="LW53" s="131"/>
      <c r="LX53" s="131"/>
      <c r="LY53" s="131"/>
      <c r="LZ53" s="131"/>
      <c r="MA53" s="131"/>
      <c r="MB53" s="131"/>
      <c r="MC53" s="131"/>
      <c r="MD53" s="131"/>
      <c r="ME53" s="131"/>
      <c r="MF53" s="131"/>
      <c r="MG53" s="131"/>
      <c r="MH53" s="131"/>
      <c r="MI53" s="131"/>
      <c r="MJ53" s="131"/>
      <c r="MK53" s="131"/>
      <c r="ML53" s="131"/>
      <c r="MM53" s="131"/>
      <c r="MN53" s="131"/>
      <c r="MO53" s="131"/>
      <c r="MP53" s="131"/>
      <c r="MQ53" s="131"/>
      <c r="MR53" s="131"/>
      <c r="MS53" s="131"/>
      <c r="MT53" s="131"/>
      <c r="MU53" s="131"/>
      <c r="MV53" s="131"/>
      <c r="MW53" s="131"/>
      <c r="MX53" s="131"/>
      <c r="MY53" s="131"/>
      <c r="MZ53" s="131"/>
      <c r="NA53" s="131"/>
      <c r="NB53" s="131"/>
      <c r="NC53" s="131"/>
      <c r="ND53" s="131"/>
      <c r="NE53" s="131"/>
      <c r="NF53" s="131"/>
      <c r="NG53" s="131"/>
      <c r="NH53" s="131"/>
      <c r="NI53" s="131"/>
      <c r="NJ53" s="131"/>
      <c r="NK53" s="131"/>
      <c r="NL53" s="131"/>
      <c r="NM53" s="131"/>
      <c r="NN53" s="131"/>
      <c r="NO53" s="131"/>
      <c r="NP53" s="131"/>
      <c r="NQ53" s="131"/>
      <c r="NR53" s="131"/>
      <c r="NS53" s="131"/>
      <c r="NT53" s="131"/>
      <c r="NU53" s="131"/>
      <c r="NV53" s="131"/>
      <c r="NW53" s="24">
        <f t="shared" si="9"/>
        <v>0</v>
      </c>
      <c r="NX53" s="56" t="s">
        <v>36</v>
      </c>
      <c r="NY53" s="127">
        <v>636</v>
      </c>
      <c r="NZ53" s="78">
        <f t="shared" si="2"/>
        <v>636</v>
      </c>
      <c r="OA53" s="78">
        <v>418.40000000000003</v>
      </c>
      <c r="OB53" s="127">
        <f t="shared" si="0"/>
        <v>0</v>
      </c>
      <c r="OC53" s="153">
        <v>636</v>
      </c>
      <c r="OD53" s="108">
        <f t="shared" si="10"/>
        <v>1.5200764818355639</v>
      </c>
      <c r="OE53" s="160" t="s">
        <v>506</v>
      </c>
    </row>
    <row r="54" spans="1:395" s="5" customFormat="1" ht="12.75" hidden="1" customHeight="1" x14ac:dyDescent="0.25">
      <c r="A54" s="62">
        <v>44529</v>
      </c>
      <c r="B54" s="106" t="s">
        <v>377</v>
      </c>
      <c r="C54" s="129"/>
      <c r="D54" s="129"/>
      <c r="E54" s="130"/>
      <c r="F54" s="130"/>
      <c r="G54" s="130"/>
      <c r="H54" s="130"/>
      <c r="I54" s="130"/>
      <c r="J54" s="130"/>
      <c r="K54" s="130"/>
      <c r="L54" s="130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31"/>
      <c r="AB54" s="131"/>
      <c r="AC54" s="131"/>
      <c r="AD54" s="131"/>
      <c r="AE54" s="131"/>
      <c r="AF54" s="131"/>
      <c r="AG54" s="131"/>
      <c r="AH54" s="131"/>
      <c r="AI54" s="131"/>
      <c r="AJ54" s="131"/>
      <c r="AK54" s="131"/>
      <c r="AL54" s="131"/>
      <c r="AM54" s="131"/>
      <c r="AN54" s="131"/>
      <c r="AO54" s="131"/>
      <c r="AP54" s="131"/>
      <c r="AQ54" s="131"/>
      <c r="AR54" s="131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1"/>
      <c r="BD54" s="131"/>
      <c r="BE54" s="131"/>
      <c r="BF54" s="131"/>
      <c r="BG54" s="131"/>
      <c r="BH54" s="131"/>
      <c r="BI54" s="131"/>
      <c r="BJ54" s="131"/>
      <c r="BK54" s="131"/>
      <c r="BL54" s="131"/>
      <c r="BM54" s="131"/>
      <c r="BN54" s="131"/>
      <c r="BO54" s="131"/>
      <c r="BP54" s="131"/>
      <c r="BQ54" s="131"/>
      <c r="BR54" s="131"/>
      <c r="BS54" s="131"/>
      <c r="BT54" s="131"/>
      <c r="BU54" s="131"/>
      <c r="BV54" s="131"/>
      <c r="BW54" s="131"/>
      <c r="BX54" s="131"/>
      <c r="BY54" s="131"/>
      <c r="BZ54" s="131"/>
      <c r="CA54" s="131"/>
      <c r="CB54" s="131"/>
      <c r="CC54" s="131"/>
      <c r="CD54" s="131"/>
      <c r="CE54" s="131"/>
      <c r="CF54" s="131"/>
      <c r="CG54" s="131"/>
      <c r="CH54" s="131"/>
      <c r="CI54" s="131"/>
      <c r="CJ54" s="131"/>
      <c r="CK54" s="131"/>
      <c r="CL54" s="131"/>
      <c r="CM54" s="131"/>
      <c r="CN54" s="131"/>
      <c r="CO54" s="131"/>
      <c r="CP54" s="131"/>
      <c r="CQ54" s="131"/>
      <c r="CR54" s="131"/>
      <c r="CS54" s="131"/>
      <c r="CT54" s="131"/>
      <c r="CU54" s="131"/>
      <c r="CV54" s="131"/>
      <c r="CW54" s="131"/>
      <c r="CX54" s="131"/>
      <c r="CY54" s="131"/>
      <c r="CZ54" s="131"/>
      <c r="DA54" s="131"/>
      <c r="DB54" s="131"/>
      <c r="DC54" s="131"/>
      <c r="DD54" s="131"/>
      <c r="DE54" s="131"/>
      <c r="DF54" s="131"/>
      <c r="DG54" s="131"/>
      <c r="DH54" s="131"/>
      <c r="DI54" s="131"/>
      <c r="DJ54" s="131"/>
      <c r="DK54" s="131"/>
      <c r="DL54" s="131"/>
      <c r="DM54" s="131"/>
      <c r="DN54" s="131"/>
      <c r="DO54" s="131"/>
      <c r="DP54" s="131"/>
      <c r="DQ54" s="131"/>
      <c r="DR54" s="131"/>
      <c r="DS54" s="131"/>
      <c r="DT54" s="131"/>
      <c r="DU54" s="131"/>
      <c r="DV54" s="131"/>
      <c r="DW54" s="131"/>
      <c r="DX54" s="131"/>
      <c r="DY54" s="131"/>
      <c r="DZ54" s="131"/>
      <c r="EA54" s="131"/>
      <c r="EB54" s="131"/>
      <c r="EC54" s="131"/>
      <c r="ED54" s="131"/>
      <c r="EE54" s="131"/>
      <c r="EF54" s="131"/>
      <c r="EG54" s="131"/>
      <c r="EH54" s="131"/>
      <c r="EI54" s="131"/>
      <c r="EJ54" s="131"/>
      <c r="EK54" s="131"/>
      <c r="EL54" s="131"/>
      <c r="EM54" s="131"/>
      <c r="EN54" s="131"/>
      <c r="EO54" s="131"/>
      <c r="EP54" s="131"/>
      <c r="EQ54" s="131"/>
      <c r="ER54" s="131"/>
      <c r="ES54" s="131"/>
      <c r="ET54" s="131"/>
      <c r="EU54" s="131"/>
      <c r="EV54" s="131"/>
      <c r="EW54" s="131"/>
      <c r="EX54" s="131"/>
      <c r="EY54" s="131"/>
      <c r="EZ54" s="131"/>
      <c r="FA54" s="131"/>
      <c r="FB54" s="131"/>
      <c r="FC54" s="131"/>
      <c r="FD54" s="131"/>
      <c r="FE54" s="131"/>
      <c r="FF54" s="131"/>
      <c r="FG54" s="131"/>
      <c r="FH54" s="131"/>
      <c r="FI54" s="131"/>
      <c r="FJ54" s="131"/>
      <c r="FK54" s="131"/>
      <c r="FL54" s="131"/>
      <c r="FM54" s="131"/>
      <c r="FN54" s="131"/>
      <c r="FO54" s="131"/>
      <c r="FP54" s="131"/>
      <c r="FQ54" s="131"/>
      <c r="FR54" s="131"/>
      <c r="FS54" s="131"/>
      <c r="FT54" s="131"/>
      <c r="FU54" s="131"/>
      <c r="FV54" s="131"/>
      <c r="FW54" s="131"/>
      <c r="FX54" s="131"/>
      <c r="FY54" s="131"/>
      <c r="FZ54" s="131"/>
      <c r="GA54" s="131"/>
      <c r="GB54" s="131"/>
      <c r="GC54" s="131"/>
      <c r="GD54" s="131"/>
      <c r="GE54" s="131"/>
      <c r="GF54" s="131"/>
      <c r="GG54" s="131"/>
      <c r="GH54" s="131"/>
      <c r="GI54" s="131"/>
      <c r="GJ54" s="131"/>
      <c r="GK54" s="131"/>
      <c r="GL54" s="131"/>
      <c r="GM54" s="131"/>
      <c r="GN54" s="131"/>
      <c r="GO54" s="131"/>
      <c r="GP54" s="131"/>
      <c r="GQ54" s="131"/>
      <c r="GR54" s="131"/>
      <c r="GS54" s="131"/>
      <c r="GT54" s="131"/>
      <c r="GU54" s="131"/>
      <c r="GV54" s="131"/>
      <c r="GW54" s="131"/>
      <c r="GX54" s="131"/>
      <c r="GY54" s="131"/>
      <c r="GZ54" s="131"/>
      <c r="HA54" s="131"/>
      <c r="HB54" s="131"/>
      <c r="HC54" s="131"/>
      <c r="HD54" s="131"/>
      <c r="HE54" s="131"/>
      <c r="HF54" s="131"/>
      <c r="HG54" s="131"/>
      <c r="HH54" s="131"/>
      <c r="HI54" s="131"/>
      <c r="HJ54" s="131"/>
      <c r="HK54" s="131"/>
      <c r="HL54" s="131"/>
      <c r="HM54" s="131"/>
      <c r="HN54" s="131"/>
      <c r="HO54" s="131"/>
      <c r="HP54" s="131"/>
      <c r="HQ54" s="131"/>
      <c r="HR54" s="131"/>
      <c r="HS54" s="131"/>
      <c r="HT54" s="131"/>
      <c r="HU54" s="131"/>
      <c r="HV54" s="131"/>
      <c r="HW54" s="131"/>
      <c r="HX54" s="131"/>
      <c r="HY54" s="131"/>
      <c r="HZ54" s="131"/>
      <c r="IA54" s="131"/>
      <c r="IB54" s="131"/>
      <c r="IC54" s="131"/>
      <c r="ID54" s="131"/>
      <c r="IE54" s="131"/>
      <c r="IF54" s="131"/>
      <c r="IG54" s="131"/>
      <c r="IH54" s="131"/>
      <c r="II54" s="131"/>
      <c r="IJ54" s="131"/>
      <c r="IK54" s="131"/>
      <c r="IL54" s="131"/>
      <c r="IM54" s="131"/>
      <c r="IN54" s="131"/>
      <c r="IO54" s="131"/>
      <c r="IP54" s="131"/>
      <c r="IQ54" s="131"/>
      <c r="IR54" s="131"/>
      <c r="IS54" s="131"/>
      <c r="IT54" s="131"/>
      <c r="IU54" s="131"/>
      <c r="IV54" s="131"/>
      <c r="IW54" s="131"/>
      <c r="IX54" s="131"/>
      <c r="IY54" s="131"/>
      <c r="IZ54" s="131"/>
      <c r="JA54" s="131"/>
      <c r="JB54" s="131"/>
      <c r="JC54" s="131"/>
      <c r="JD54" s="131"/>
      <c r="JE54" s="131"/>
      <c r="JF54" s="131"/>
      <c r="JG54" s="131"/>
      <c r="JH54" s="131"/>
      <c r="JI54" s="131"/>
      <c r="JJ54" s="131"/>
      <c r="JK54" s="131"/>
      <c r="JL54" s="131"/>
      <c r="JM54" s="131"/>
      <c r="JN54" s="131"/>
      <c r="JO54" s="131"/>
      <c r="JP54" s="131"/>
      <c r="JQ54" s="131"/>
      <c r="JR54" s="131"/>
      <c r="JS54" s="131"/>
      <c r="JT54" s="131"/>
      <c r="JU54" s="131"/>
      <c r="JV54" s="131"/>
      <c r="JW54" s="131"/>
      <c r="JX54" s="131"/>
      <c r="JY54" s="131"/>
      <c r="JZ54" s="131"/>
      <c r="KA54" s="131"/>
      <c r="KB54" s="131"/>
      <c r="KC54" s="131"/>
      <c r="KD54" s="131"/>
      <c r="KE54" s="131"/>
      <c r="KF54" s="131"/>
      <c r="KG54" s="131"/>
      <c r="KH54" s="131"/>
      <c r="KI54" s="131"/>
      <c r="KJ54" s="131"/>
      <c r="KK54" s="131"/>
      <c r="KL54" s="131"/>
      <c r="KM54" s="131"/>
      <c r="KN54" s="131"/>
      <c r="KO54" s="131"/>
      <c r="KP54" s="131"/>
      <c r="KQ54" s="131"/>
      <c r="KR54" s="131"/>
      <c r="KS54" s="131"/>
      <c r="KT54" s="131"/>
      <c r="KU54" s="131"/>
      <c r="KV54" s="131"/>
      <c r="KW54" s="131"/>
      <c r="KX54" s="131"/>
      <c r="KY54" s="131"/>
      <c r="KZ54" s="131"/>
      <c r="LA54" s="131"/>
      <c r="LB54" s="131"/>
      <c r="LC54" s="131"/>
      <c r="LD54" s="131"/>
      <c r="LE54" s="131"/>
      <c r="LF54" s="131"/>
      <c r="LG54" s="131"/>
      <c r="LH54" s="131"/>
      <c r="LI54" s="131"/>
      <c r="LJ54" s="131"/>
      <c r="LK54" s="131"/>
      <c r="LL54" s="131"/>
      <c r="LM54" s="131"/>
      <c r="LN54" s="131"/>
      <c r="LO54" s="131"/>
      <c r="LP54" s="131"/>
      <c r="LQ54" s="131"/>
      <c r="LR54" s="131"/>
      <c r="LS54" s="131"/>
      <c r="LT54" s="131"/>
      <c r="LU54" s="131"/>
      <c r="LV54" s="131"/>
      <c r="LW54" s="131"/>
      <c r="LX54" s="131"/>
      <c r="LY54" s="131"/>
      <c r="LZ54" s="131"/>
      <c r="MA54" s="131"/>
      <c r="MB54" s="131"/>
      <c r="MC54" s="131"/>
      <c r="MD54" s="131"/>
      <c r="ME54" s="131"/>
      <c r="MF54" s="131"/>
      <c r="MG54" s="131"/>
      <c r="MH54" s="131"/>
      <c r="MI54" s="131"/>
      <c r="MJ54" s="131"/>
      <c r="MK54" s="131"/>
      <c r="ML54" s="131"/>
      <c r="MM54" s="131"/>
      <c r="MN54" s="131"/>
      <c r="MO54" s="131"/>
      <c r="MP54" s="131"/>
      <c r="MQ54" s="131"/>
      <c r="MR54" s="131"/>
      <c r="MS54" s="131"/>
      <c r="MT54" s="131"/>
      <c r="MU54" s="131"/>
      <c r="MV54" s="131"/>
      <c r="MW54" s="131"/>
      <c r="MX54" s="131"/>
      <c r="MY54" s="131"/>
      <c r="MZ54" s="131"/>
      <c r="NA54" s="131"/>
      <c r="NB54" s="131"/>
      <c r="NC54" s="131"/>
      <c r="ND54" s="131"/>
      <c r="NE54" s="131"/>
      <c r="NF54" s="131"/>
      <c r="NG54" s="131"/>
      <c r="NH54" s="131"/>
      <c r="NI54" s="131"/>
      <c r="NJ54" s="131"/>
      <c r="NK54" s="131"/>
      <c r="NL54" s="131"/>
      <c r="NM54" s="131"/>
      <c r="NN54" s="131"/>
      <c r="NO54" s="131"/>
      <c r="NP54" s="131"/>
      <c r="NQ54" s="131"/>
      <c r="NR54" s="131"/>
      <c r="NS54" s="131"/>
      <c r="NT54" s="131"/>
      <c r="NU54" s="131"/>
      <c r="NV54" s="131"/>
      <c r="NW54" s="24">
        <f t="shared" si="9"/>
        <v>0</v>
      </c>
      <c r="NX54" s="56" t="s">
        <v>36</v>
      </c>
      <c r="NY54" s="127">
        <v>990</v>
      </c>
      <c r="NZ54" s="78">
        <f t="shared" si="2"/>
        <v>990</v>
      </c>
      <c r="OA54" s="78">
        <v>575.1</v>
      </c>
      <c r="OB54" s="127">
        <f t="shared" si="0"/>
        <v>0</v>
      </c>
      <c r="OC54" s="153">
        <v>990</v>
      </c>
      <c r="OD54" s="108">
        <f t="shared" si="10"/>
        <v>1.7214397496087637</v>
      </c>
      <c r="OE54" s="160" t="s">
        <v>527</v>
      </c>
    </row>
    <row r="55" spans="1:395" s="5" customFormat="1" ht="12.75" customHeight="1" x14ac:dyDescent="0.25">
      <c r="A55" s="62">
        <v>44531</v>
      </c>
      <c r="B55" s="116" t="s">
        <v>81</v>
      </c>
      <c r="C55" s="129"/>
      <c r="D55" s="129"/>
      <c r="E55" s="130"/>
      <c r="F55" s="130"/>
      <c r="G55" s="130"/>
      <c r="H55" s="130"/>
      <c r="I55" s="130"/>
      <c r="J55" s="130"/>
      <c r="K55" s="130"/>
      <c r="L55" s="130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  <c r="AC55" s="131"/>
      <c r="AD55" s="131"/>
      <c r="AE55" s="131"/>
      <c r="AF55" s="131"/>
      <c r="AG55" s="131"/>
      <c r="AH55" s="131"/>
      <c r="AI55" s="131"/>
      <c r="AJ55" s="131"/>
      <c r="AK55" s="131"/>
      <c r="AL55" s="131"/>
      <c r="AM55" s="131"/>
      <c r="AN55" s="131"/>
      <c r="AO55" s="131"/>
      <c r="AP55" s="131"/>
      <c r="AQ55" s="131"/>
      <c r="AR55" s="131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1"/>
      <c r="BD55" s="131"/>
      <c r="BE55" s="131"/>
      <c r="BF55" s="131"/>
      <c r="BG55" s="131"/>
      <c r="BH55" s="131"/>
      <c r="BI55" s="131"/>
      <c r="BJ55" s="131"/>
      <c r="BK55" s="131"/>
      <c r="BL55" s="131"/>
      <c r="BM55" s="131"/>
      <c r="BN55" s="131"/>
      <c r="BO55" s="131"/>
      <c r="BP55" s="131"/>
      <c r="BQ55" s="131"/>
      <c r="BR55" s="131"/>
      <c r="BS55" s="131"/>
      <c r="BT55" s="131"/>
      <c r="BU55" s="131"/>
      <c r="BV55" s="131"/>
      <c r="BW55" s="131"/>
      <c r="BX55" s="131"/>
      <c r="BY55" s="131"/>
      <c r="BZ55" s="131"/>
      <c r="CA55" s="131"/>
      <c r="CB55" s="131"/>
      <c r="CC55" s="131"/>
      <c r="CD55" s="131"/>
      <c r="CE55" s="131"/>
      <c r="CF55" s="131"/>
      <c r="CG55" s="131"/>
      <c r="CH55" s="131"/>
      <c r="CI55" s="131"/>
      <c r="CJ55" s="131"/>
      <c r="CK55" s="131"/>
      <c r="CL55" s="131"/>
      <c r="CM55" s="131"/>
      <c r="CN55" s="131"/>
      <c r="CO55" s="131"/>
      <c r="CP55" s="131"/>
      <c r="CQ55" s="131"/>
      <c r="CR55" s="131"/>
      <c r="CS55" s="131"/>
      <c r="CT55" s="131"/>
      <c r="CU55" s="131"/>
      <c r="CV55" s="131"/>
      <c r="CW55" s="131"/>
      <c r="CX55" s="131"/>
      <c r="CY55" s="131"/>
      <c r="CZ55" s="131"/>
      <c r="DA55" s="131"/>
      <c r="DB55" s="131"/>
      <c r="DC55" s="131"/>
      <c r="DD55" s="131"/>
      <c r="DE55" s="131"/>
      <c r="DF55" s="131"/>
      <c r="DG55" s="131"/>
      <c r="DH55" s="131"/>
      <c r="DI55" s="131"/>
      <c r="DJ55" s="131"/>
      <c r="DK55" s="131"/>
      <c r="DL55" s="131"/>
      <c r="DM55" s="131"/>
      <c r="DN55" s="131"/>
      <c r="DO55" s="131"/>
      <c r="DP55" s="131"/>
      <c r="DQ55" s="131"/>
      <c r="DR55" s="131"/>
      <c r="DS55" s="131"/>
      <c r="DT55" s="131"/>
      <c r="DU55" s="131"/>
      <c r="DV55" s="131"/>
      <c r="DW55" s="131"/>
      <c r="DX55" s="131"/>
      <c r="DY55" s="131"/>
      <c r="DZ55" s="131"/>
      <c r="EA55" s="131"/>
      <c r="EB55" s="131"/>
      <c r="EC55" s="131"/>
      <c r="ED55" s="131"/>
      <c r="EE55" s="131"/>
      <c r="EF55" s="131"/>
      <c r="EG55" s="131"/>
      <c r="EH55" s="131"/>
      <c r="EI55" s="131"/>
      <c r="EJ55" s="131"/>
      <c r="EK55" s="131"/>
      <c r="EL55" s="131"/>
      <c r="EM55" s="131"/>
      <c r="EN55" s="131"/>
      <c r="EO55" s="131"/>
      <c r="EP55" s="131"/>
      <c r="EQ55" s="131"/>
      <c r="ER55" s="131"/>
      <c r="ES55" s="131"/>
      <c r="ET55" s="131"/>
      <c r="EU55" s="131"/>
      <c r="EV55" s="131"/>
      <c r="EW55" s="131"/>
      <c r="EX55" s="131"/>
      <c r="EY55" s="131"/>
      <c r="EZ55" s="131"/>
      <c r="FA55" s="131"/>
      <c r="FB55" s="131"/>
      <c r="FC55" s="131"/>
      <c r="FD55" s="131"/>
      <c r="FE55" s="131"/>
      <c r="FF55" s="131"/>
      <c r="FG55" s="131"/>
      <c r="FH55" s="131"/>
      <c r="FI55" s="131"/>
      <c r="FJ55" s="131"/>
      <c r="FK55" s="131"/>
      <c r="FL55" s="131"/>
      <c r="FM55" s="131"/>
      <c r="FN55" s="131"/>
      <c r="FO55" s="131"/>
      <c r="FP55" s="131"/>
      <c r="FQ55" s="131"/>
      <c r="FR55" s="131"/>
      <c r="FS55" s="131"/>
      <c r="FT55" s="131"/>
      <c r="FU55" s="131"/>
      <c r="FV55" s="131"/>
      <c r="FW55" s="131"/>
      <c r="FX55" s="131"/>
      <c r="FY55" s="131"/>
      <c r="FZ55" s="131"/>
      <c r="GA55" s="131"/>
      <c r="GB55" s="131"/>
      <c r="GC55" s="131"/>
      <c r="GD55" s="131"/>
      <c r="GE55" s="131"/>
      <c r="GF55" s="131"/>
      <c r="GG55" s="131"/>
      <c r="GH55" s="131"/>
      <c r="GI55" s="131"/>
      <c r="GJ55" s="131"/>
      <c r="GK55" s="131"/>
      <c r="GL55" s="131"/>
      <c r="GM55" s="131"/>
      <c r="GN55" s="131"/>
      <c r="GO55" s="131"/>
      <c r="GP55" s="131"/>
      <c r="GQ55" s="131"/>
      <c r="GR55" s="131"/>
      <c r="GS55" s="131"/>
      <c r="GT55" s="131"/>
      <c r="GU55" s="131"/>
      <c r="GV55" s="131"/>
      <c r="GW55" s="131"/>
      <c r="GX55" s="131"/>
      <c r="GY55" s="131"/>
      <c r="GZ55" s="131"/>
      <c r="HA55" s="131"/>
      <c r="HB55" s="131"/>
      <c r="HC55" s="131"/>
      <c r="HD55" s="131"/>
      <c r="HE55" s="131"/>
      <c r="HF55" s="131"/>
      <c r="HG55" s="131"/>
      <c r="HH55" s="131"/>
      <c r="HI55" s="131"/>
      <c r="HJ55" s="131"/>
      <c r="HK55" s="131"/>
      <c r="HL55" s="131"/>
      <c r="HM55" s="131"/>
      <c r="HN55" s="131"/>
      <c r="HO55" s="131"/>
      <c r="HP55" s="131"/>
      <c r="HQ55" s="131"/>
      <c r="HR55" s="131"/>
      <c r="HS55" s="131"/>
      <c r="HT55" s="131"/>
      <c r="HU55" s="131"/>
      <c r="HV55" s="131"/>
      <c r="HW55" s="131"/>
      <c r="HX55" s="131"/>
      <c r="HY55" s="131"/>
      <c r="HZ55" s="131"/>
      <c r="IA55" s="131"/>
      <c r="IB55" s="131"/>
      <c r="IC55" s="131"/>
      <c r="ID55" s="131"/>
      <c r="IE55" s="131"/>
      <c r="IF55" s="131"/>
      <c r="IG55" s="131"/>
      <c r="IH55" s="131"/>
      <c r="II55" s="131"/>
      <c r="IJ55" s="131"/>
      <c r="IK55" s="131"/>
      <c r="IL55" s="131"/>
      <c r="IM55" s="131"/>
      <c r="IN55" s="131"/>
      <c r="IO55" s="131"/>
      <c r="IP55" s="131"/>
      <c r="IQ55" s="131"/>
      <c r="IR55" s="131"/>
      <c r="IS55" s="131"/>
      <c r="IT55" s="131"/>
      <c r="IU55" s="131"/>
      <c r="IV55" s="131"/>
      <c r="IW55" s="131"/>
      <c r="IX55" s="131"/>
      <c r="IY55" s="131"/>
      <c r="IZ55" s="131"/>
      <c r="JA55" s="131"/>
      <c r="JB55" s="131"/>
      <c r="JC55" s="131"/>
      <c r="JD55" s="131"/>
      <c r="JE55" s="131"/>
      <c r="JF55" s="131"/>
      <c r="JG55" s="131"/>
      <c r="JH55" s="131"/>
      <c r="JI55" s="131"/>
      <c r="JJ55" s="131"/>
      <c r="JK55" s="131"/>
      <c r="JL55" s="131"/>
      <c r="JM55" s="131"/>
      <c r="JN55" s="131"/>
      <c r="JO55" s="131"/>
      <c r="JP55" s="131"/>
      <c r="JQ55" s="131"/>
      <c r="JR55" s="131"/>
      <c r="JS55" s="131"/>
      <c r="JT55" s="131"/>
      <c r="JU55" s="131"/>
      <c r="JV55" s="131"/>
      <c r="JW55" s="131"/>
      <c r="JX55" s="131"/>
      <c r="JY55" s="131"/>
      <c r="JZ55" s="131"/>
      <c r="KA55" s="131"/>
      <c r="KB55" s="131"/>
      <c r="KC55" s="131"/>
      <c r="KD55" s="131"/>
      <c r="KE55" s="131"/>
      <c r="KF55" s="131"/>
      <c r="KG55" s="131"/>
      <c r="KH55" s="131"/>
      <c r="KI55" s="131"/>
      <c r="KJ55" s="131"/>
      <c r="KK55" s="131"/>
      <c r="KL55" s="131"/>
      <c r="KM55" s="131"/>
      <c r="KN55" s="131"/>
      <c r="KO55" s="131"/>
      <c r="KP55" s="131"/>
      <c r="KQ55" s="131"/>
      <c r="KR55" s="131"/>
      <c r="KS55" s="131"/>
      <c r="KT55" s="131"/>
      <c r="KU55" s="131"/>
      <c r="KV55" s="131"/>
      <c r="KW55" s="131"/>
      <c r="KX55" s="131"/>
      <c r="KY55" s="131"/>
      <c r="KZ55" s="131"/>
      <c r="LA55" s="131"/>
      <c r="LB55" s="131"/>
      <c r="LC55" s="131"/>
      <c r="LD55" s="131"/>
      <c r="LE55" s="131"/>
      <c r="LF55" s="131"/>
      <c r="LG55" s="131"/>
      <c r="LH55" s="131"/>
      <c r="LI55" s="131"/>
      <c r="LJ55" s="131"/>
      <c r="LK55" s="131"/>
      <c r="LL55" s="131"/>
      <c r="LM55" s="131"/>
      <c r="LN55" s="131"/>
      <c r="LO55" s="131"/>
      <c r="LP55" s="131"/>
      <c r="LQ55" s="131"/>
      <c r="LR55" s="131"/>
      <c r="LS55" s="131"/>
      <c r="LT55" s="131"/>
      <c r="LU55" s="131"/>
      <c r="LV55" s="131"/>
      <c r="LW55" s="131"/>
      <c r="LX55" s="131"/>
      <c r="LY55" s="131"/>
      <c r="LZ55" s="131"/>
      <c r="MA55" s="131"/>
      <c r="MB55" s="131"/>
      <c r="MC55" s="131"/>
      <c r="MD55" s="131"/>
      <c r="ME55" s="131"/>
      <c r="MF55" s="131"/>
      <c r="MG55" s="131"/>
      <c r="MH55" s="131"/>
      <c r="MI55" s="131"/>
      <c r="MJ55" s="131"/>
      <c r="MK55" s="131"/>
      <c r="ML55" s="131"/>
      <c r="MM55" s="131"/>
      <c r="MN55" s="131"/>
      <c r="MO55" s="131"/>
      <c r="MP55" s="131"/>
      <c r="MQ55" s="131"/>
      <c r="MR55" s="131"/>
      <c r="MS55" s="131"/>
      <c r="MT55" s="131"/>
      <c r="MU55" s="131"/>
      <c r="MV55" s="131"/>
      <c r="MW55" s="131"/>
      <c r="MX55" s="131"/>
      <c r="MY55" s="131"/>
      <c r="MZ55" s="131"/>
      <c r="NA55" s="131"/>
      <c r="NB55" s="131"/>
      <c r="NC55" s="131"/>
      <c r="ND55" s="131"/>
      <c r="NE55" s="131"/>
      <c r="NF55" s="131"/>
      <c r="NG55" s="131"/>
      <c r="NH55" s="131"/>
      <c r="NI55" s="131"/>
      <c r="NJ55" s="131"/>
      <c r="NK55" s="131"/>
      <c r="NL55" s="131"/>
      <c r="NM55" s="131"/>
      <c r="NN55" s="131"/>
      <c r="NO55" s="131"/>
      <c r="NP55" s="131"/>
      <c r="NQ55" s="131"/>
      <c r="NR55" s="131"/>
      <c r="NS55" s="131"/>
      <c r="NT55" s="131"/>
      <c r="NU55" s="131"/>
      <c r="NV55" s="131"/>
      <c r="NW55" s="24">
        <f t="shared" si="9"/>
        <v>0</v>
      </c>
      <c r="NX55" s="56" t="s">
        <v>36</v>
      </c>
      <c r="NY55" s="127">
        <v>15192.12</v>
      </c>
      <c r="NZ55" s="78">
        <f t="shared" si="2"/>
        <v>0</v>
      </c>
      <c r="OA55" s="78">
        <v>9841.5</v>
      </c>
      <c r="OB55" s="127">
        <f t="shared" si="0"/>
        <v>15192.12</v>
      </c>
      <c r="OC55" s="153"/>
      <c r="OD55" s="108">
        <f t="shared" si="10"/>
        <v>1.5436793171772596</v>
      </c>
      <c r="OE55" s="160" t="s">
        <v>530</v>
      </c>
    </row>
    <row r="56" spans="1:395" s="5" customFormat="1" ht="12.75" customHeight="1" x14ac:dyDescent="0.25">
      <c r="A56" s="62">
        <v>44532</v>
      </c>
      <c r="B56" s="116" t="s">
        <v>66</v>
      </c>
      <c r="C56" s="129"/>
      <c r="D56" s="129"/>
      <c r="E56" s="130"/>
      <c r="F56" s="130"/>
      <c r="G56" s="130"/>
      <c r="H56" s="130"/>
      <c r="I56" s="130"/>
      <c r="J56" s="130"/>
      <c r="K56" s="130"/>
      <c r="L56" s="130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  <c r="AB56" s="131"/>
      <c r="AC56" s="131"/>
      <c r="AD56" s="131"/>
      <c r="AE56" s="131"/>
      <c r="AF56" s="131"/>
      <c r="AG56" s="131"/>
      <c r="AH56" s="131"/>
      <c r="AI56" s="131"/>
      <c r="AJ56" s="131"/>
      <c r="AK56" s="131"/>
      <c r="AL56" s="131"/>
      <c r="AM56" s="131"/>
      <c r="AN56" s="131"/>
      <c r="AO56" s="131"/>
      <c r="AP56" s="131"/>
      <c r="AQ56" s="131"/>
      <c r="AR56" s="131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1"/>
      <c r="BD56" s="131"/>
      <c r="BE56" s="131"/>
      <c r="BF56" s="131"/>
      <c r="BG56" s="131"/>
      <c r="BH56" s="131"/>
      <c r="BI56" s="131"/>
      <c r="BJ56" s="131"/>
      <c r="BK56" s="131"/>
      <c r="BL56" s="131"/>
      <c r="BM56" s="131"/>
      <c r="BN56" s="131"/>
      <c r="BO56" s="131"/>
      <c r="BP56" s="131"/>
      <c r="BQ56" s="131"/>
      <c r="BR56" s="131"/>
      <c r="BS56" s="131"/>
      <c r="BT56" s="131"/>
      <c r="BU56" s="131"/>
      <c r="BV56" s="131"/>
      <c r="BW56" s="131"/>
      <c r="BX56" s="131"/>
      <c r="BY56" s="131"/>
      <c r="BZ56" s="131"/>
      <c r="CA56" s="131"/>
      <c r="CB56" s="131"/>
      <c r="CC56" s="131"/>
      <c r="CD56" s="131"/>
      <c r="CE56" s="131"/>
      <c r="CF56" s="131"/>
      <c r="CG56" s="131"/>
      <c r="CH56" s="131"/>
      <c r="CI56" s="131"/>
      <c r="CJ56" s="131"/>
      <c r="CK56" s="131"/>
      <c r="CL56" s="131"/>
      <c r="CM56" s="131"/>
      <c r="CN56" s="131"/>
      <c r="CO56" s="131"/>
      <c r="CP56" s="131"/>
      <c r="CQ56" s="131"/>
      <c r="CR56" s="131"/>
      <c r="CS56" s="131"/>
      <c r="CT56" s="131"/>
      <c r="CU56" s="131"/>
      <c r="CV56" s="131"/>
      <c r="CW56" s="131"/>
      <c r="CX56" s="131"/>
      <c r="CY56" s="131"/>
      <c r="CZ56" s="131"/>
      <c r="DA56" s="131"/>
      <c r="DB56" s="131"/>
      <c r="DC56" s="131"/>
      <c r="DD56" s="131"/>
      <c r="DE56" s="131"/>
      <c r="DF56" s="131"/>
      <c r="DG56" s="131"/>
      <c r="DH56" s="131"/>
      <c r="DI56" s="131"/>
      <c r="DJ56" s="131"/>
      <c r="DK56" s="131"/>
      <c r="DL56" s="131"/>
      <c r="DM56" s="131"/>
      <c r="DN56" s="131"/>
      <c r="DO56" s="131"/>
      <c r="DP56" s="131"/>
      <c r="DQ56" s="131"/>
      <c r="DR56" s="131"/>
      <c r="DS56" s="131"/>
      <c r="DT56" s="131"/>
      <c r="DU56" s="131"/>
      <c r="DV56" s="131"/>
      <c r="DW56" s="131"/>
      <c r="DX56" s="131"/>
      <c r="DY56" s="131"/>
      <c r="DZ56" s="131"/>
      <c r="EA56" s="131"/>
      <c r="EB56" s="131"/>
      <c r="EC56" s="131"/>
      <c r="ED56" s="131"/>
      <c r="EE56" s="131"/>
      <c r="EF56" s="131"/>
      <c r="EG56" s="131"/>
      <c r="EH56" s="131"/>
      <c r="EI56" s="131"/>
      <c r="EJ56" s="131"/>
      <c r="EK56" s="131"/>
      <c r="EL56" s="131"/>
      <c r="EM56" s="131"/>
      <c r="EN56" s="131"/>
      <c r="EO56" s="131"/>
      <c r="EP56" s="131"/>
      <c r="EQ56" s="131"/>
      <c r="ER56" s="131"/>
      <c r="ES56" s="131"/>
      <c r="ET56" s="131"/>
      <c r="EU56" s="131"/>
      <c r="EV56" s="131"/>
      <c r="EW56" s="131"/>
      <c r="EX56" s="131"/>
      <c r="EY56" s="131"/>
      <c r="EZ56" s="131"/>
      <c r="FA56" s="131"/>
      <c r="FB56" s="131"/>
      <c r="FC56" s="131"/>
      <c r="FD56" s="131"/>
      <c r="FE56" s="131"/>
      <c r="FF56" s="131"/>
      <c r="FG56" s="131"/>
      <c r="FH56" s="131"/>
      <c r="FI56" s="131"/>
      <c r="FJ56" s="131"/>
      <c r="FK56" s="131"/>
      <c r="FL56" s="131"/>
      <c r="FM56" s="131"/>
      <c r="FN56" s="131"/>
      <c r="FO56" s="131"/>
      <c r="FP56" s="131"/>
      <c r="FQ56" s="131"/>
      <c r="FR56" s="131"/>
      <c r="FS56" s="131"/>
      <c r="FT56" s="131"/>
      <c r="FU56" s="131"/>
      <c r="FV56" s="131"/>
      <c r="FW56" s="131"/>
      <c r="FX56" s="131"/>
      <c r="FY56" s="131"/>
      <c r="FZ56" s="131"/>
      <c r="GA56" s="131"/>
      <c r="GB56" s="131"/>
      <c r="GC56" s="131"/>
      <c r="GD56" s="131"/>
      <c r="GE56" s="131"/>
      <c r="GF56" s="131"/>
      <c r="GG56" s="131"/>
      <c r="GH56" s="131"/>
      <c r="GI56" s="131"/>
      <c r="GJ56" s="131"/>
      <c r="GK56" s="131"/>
      <c r="GL56" s="131"/>
      <c r="GM56" s="131"/>
      <c r="GN56" s="131"/>
      <c r="GO56" s="131"/>
      <c r="GP56" s="131"/>
      <c r="GQ56" s="131"/>
      <c r="GR56" s="131"/>
      <c r="GS56" s="131"/>
      <c r="GT56" s="131"/>
      <c r="GU56" s="131"/>
      <c r="GV56" s="131"/>
      <c r="GW56" s="131"/>
      <c r="GX56" s="131"/>
      <c r="GY56" s="131"/>
      <c r="GZ56" s="131"/>
      <c r="HA56" s="131"/>
      <c r="HB56" s="131"/>
      <c r="HC56" s="131"/>
      <c r="HD56" s="131"/>
      <c r="HE56" s="131"/>
      <c r="HF56" s="131"/>
      <c r="HG56" s="131"/>
      <c r="HH56" s="131"/>
      <c r="HI56" s="131"/>
      <c r="HJ56" s="131"/>
      <c r="HK56" s="131"/>
      <c r="HL56" s="131"/>
      <c r="HM56" s="131"/>
      <c r="HN56" s="131"/>
      <c r="HO56" s="131"/>
      <c r="HP56" s="131"/>
      <c r="HQ56" s="131"/>
      <c r="HR56" s="131"/>
      <c r="HS56" s="131"/>
      <c r="HT56" s="131"/>
      <c r="HU56" s="131"/>
      <c r="HV56" s="131"/>
      <c r="HW56" s="131"/>
      <c r="HX56" s="131"/>
      <c r="HY56" s="131"/>
      <c r="HZ56" s="131"/>
      <c r="IA56" s="131"/>
      <c r="IB56" s="131"/>
      <c r="IC56" s="131"/>
      <c r="ID56" s="131"/>
      <c r="IE56" s="131"/>
      <c r="IF56" s="131"/>
      <c r="IG56" s="131"/>
      <c r="IH56" s="131"/>
      <c r="II56" s="131"/>
      <c r="IJ56" s="131"/>
      <c r="IK56" s="131"/>
      <c r="IL56" s="131"/>
      <c r="IM56" s="131"/>
      <c r="IN56" s="131"/>
      <c r="IO56" s="131"/>
      <c r="IP56" s="131"/>
      <c r="IQ56" s="131"/>
      <c r="IR56" s="131"/>
      <c r="IS56" s="131"/>
      <c r="IT56" s="131"/>
      <c r="IU56" s="131"/>
      <c r="IV56" s="131"/>
      <c r="IW56" s="131"/>
      <c r="IX56" s="131"/>
      <c r="IY56" s="131"/>
      <c r="IZ56" s="131"/>
      <c r="JA56" s="131"/>
      <c r="JB56" s="131"/>
      <c r="JC56" s="131"/>
      <c r="JD56" s="131"/>
      <c r="JE56" s="131"/>
      <c r="JF56" s="131"/>
      <c r="JG56" s="131"/>
      <c r="JH56" s="131"/>
      <c r="JI56" s="131"/>
      <c r="JJ56" s="131"/>
      <c r="JK56" s="131"/>
      <c r="JL56" s="131"/>
      <c r="JM56" s="131"/>
      <c r="JN56" s="131"/>
      <c r="JO56" s="131"/>
      <c r="JP56" s="131"/>
      <c r="JQ56" s="131"/>
      <c r="JR56" s="131"/>
      <c r="JS56" s="131"/>
      <c r="JT56" s="131"/>
      <c r="JU56" s="131"/>
      <c r="JV56" s="131"/>
      <c r="JW56" s="131"/>
      <c r="JX56" s="131"/>
      <c r="JY56" s="131"/>
      <c r="JZ56" s="131"/>
      <c r="KA56" s="131"/>
      <c r="KB56" s="131"/>
      <c r="KC56" s="131"/>
      <c r="KD56" s="131"/>
      <c r="KE56" s="131"/>
      <c r="KF56" s="131"/>
      <c r="KG56" s="131"/>
      <c r="KH56" s="131"/>
      <c r="KI56" s="131"/>
      <c r="KJ56" s="131"/>
      <c r="KK56" s="131"/>
      <c r="KL56" s="131"/>
      <c r="KM56" s="131"/>
      <c r="KN56" s="131"/>
      <c r="KO56" s="131"/>
      <c r="KP56" s="131"/>
      <c r="KQ56" s="131"/>
      <c r="KR56" s="131"/>
      <c r="KS56" s="131"/>
      <c r="KT56" s="131"/>
      <c r="KU56" s="131"/>
      <c r="KV56" s="131"/>
      <c r="KW56" s="131"/>
      <c r="KX56" s="131"/>
      <c r="KY56" s="131"/>
      <c r="KZ56" s="131"/>
      <c r="LA56" s="131"/>
      <c r="LB56" s="131"/>
      <c r="LC56" s="131"/>
      <c r="LD56" s="131"/>
      <c r="LE56" s="131"/>
      <c r="LF56" s="131"/>
      <c r="LG56" s="131"/>
      <c r="LH56" s="131"/>
      <c r="LI56" s="131"/>
      <c r="LJ56" s="131"/>
      <c r="LK56" s="131"/>
      <c r="LL56" s="131"/>
      <c r="LM56" s="131"/>
      <c r="LN56" s="131"/>
      <c r="LO56" s="131"/>
      <c r="LP56" s="131"/>
      <c r="LQ56" s="131"/>
      <c r="LR56" s="131"/>
      <c r="LS56" s="131"/>
      <c r="LT56" s="131"/>
      <c r="LU56" s="131"/>
      <c r="LV56" s="131"/>
      <c r="LW56" s="131"/>
      <c r="LX56" s="131"/>
      <c r="LY56" s="131"/>
      <c r="LZ56" s="131"/>
      <c r="MA56" s="131"/>
      <c r="MB56" s="131"/>
      <c r="MC56" s="131"/>
      <c r="MD56" s="131"/>
      <c r="ME56" s="131"/>
      <c r="MF56" s="131"/>
      <c r="MG56" s="131"/>
      <c r="MH56" s="131"/>
      <c r="MI56" s="131"/>
      <c r="MJ56" s="131"/>
      <c r="MK56" s="131"/>
      <c r="ML56" s="131"/>
      <c r="MM56" s="131"/>
      <c r="MN56" s="131"/>
      <c r="MO56" s="131"/>
      <c r="MP56" s="131"/>
      <c r="MQ56" s="131"/>
      <c r="MR56" s="131"/>
      <c r="MS56" s="131"/>
      <c r="MT56" s="131"/>
      <c r="MU56" s="131"/>
      <c r="MV56" s="131"/>
      <c r="MW56" s="131"/>
      <c r="MX56" s="131"/>
      <c r="MY56" s="131"/>
      <c r="MZ56" s="131"/>
      <c r="NA56" s="131"/>
      <c r="NB56" s="131"/>
      <c r="NC56" s="131"/>
      <c r="ND56" s="131"/>
      <c r="NE56" s="131"/>
      <c r="NF56" s="131"/>
      <c r="NG56" s="131"/>
      <c r="NH56" s="131"/>
      <c r="NI56" s="131"/>
      <c r="NJ56" s="131"/>
      <c r="NK56" s="131"/>
      <c r="NL56" s="131"/>
      <c r="NM56" s="131"/>
      <c r="NN56" s="131"/>
      <c r="NO56" s="131"/>
      <c r="NP56" s="131"/>
      <c r="NQ56" s="131"/>
      <c r="NR56" s="131"/>
      <c r="NS56" s="131"/>
      <c r="NT56" s="131"/>
      <c r="NU56" s="131"/>
      <c r="NV56" s="131"/>
      <c r="NW56" s="24">
        <f t="shared" si="9"/>
        <v>0</v>
      </c>
      <c r="NX56" s="56" t="s">
        <v>36</v>
      </c>
      <c r="NY56" s="127">
        <v>4273.4399999999996</v>
      </c>
      <c r="NZ56" s="78">
        <f t="shared" si="2"/>
        <v>0</v>
      </c>
      <c r="OA56" s="78">
        <v>2581.4</v>
      </c>
      <c r="OB56" s="127">
        <f t="shared" si="0"/>
        <v>4273.4399999999996</v>
      </c>
      <c r="OC56" s="153"/>
      <c r="OD56" s="108">
        <f t="shared" si="10"/>
        <v>1.6554737739211278</v>
      </c>
      <c r="OE56" s="160" t="s">
        <v>508</v>
      </c>
    </row>
    <row r="57" spans="1:395" s="5" customFormat="1" ht="12.75" customHeight="1" x14ac:dyDescent="0.25">
      <c r="A57" s="62">
        <v>44532</v>
      </c>
      <c r="B57" s="116" t="s">
        <v>59</v>
      </c>
      <c r="C57" s="129"/>
      <c r="D57" s="129"/>
      <c r="E57" s="130"/>
      <c r="F57" s="130"/>
      <c r="G57" s="130"/>
      <c r="H57" s="130"/>
      <c r="I57" s="130"/>
      <c r="J57" s="130"/>
      <c r="K57" s="130"/>
      <c r="L57" s="130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  <c r="AH57" s="131"/>
      <c r="AI57" s="131"/>
      <c r="AJ57" s="131"/>
      <c r="AK57" s="131"/>
      <c r="AL57" s="131"/>
      <c r="AM57" s="131"/>
      <c r="AN57" s="131"/>
      <c r="AO57" s="131"/>
      <c r="AP57" s="131"/>
      <c r="AQ57" s="131"/>
      <c r="AR57" s="131"/>
      <c r="AS57" s="131"/>
      <c r="AT57" s="131"/>
      <c r="AU57" s="131"/>
      <c r="AV57" s="131"/>
      <c r="AW57" s="131"/>
      <c r="AX57" s="131"/>
      <c r="AY57" s="131"/>
      <c r="AZ57" s="131"/>
      <c r="BA57" s="131"/>
      <c r="BB57" s="131"/>
      <c r="BC57" s="131"/>
      <c r="BD57" s="131"/>
      <c r="BE57" s="131"/>
      <c r="BF57" s="131"/>
      <c r="BG57" s="131"/>
      <c r="BH57" s="131"/>
      <c r="BI57" s="131"/>
      <c r="BJ57" s="131"/>
      <c r="BK57" s="131"/>
      <c r="BL57" s="131"/>
      <c r="BM57" s="131"/>
      <c r="BN57" s="131"/>
      <c r="BO57" s="131"/>
      <c r="BP57" s="131"/>
      <c r="BQ57" s="131"/>
      <c r="BR57" s="131"/>
      <c r="BS57" s="131"/>
      <c r="BT57" s="131"/>
      <c r="BU57" s="131"/>
      <c r="BV57" s="131"/>
      <c r="BW57" s="131"/>
      <c r="BX57" s="131"/>
      <c r="BY57" s="131"/>
      <c r="BZ57" s="131"/>
      <c r="CA57" s="131"/>
      <c r="CB57" s="131"/>
      <c r="CC57" s="131"/>
      <c r="CD57" s="131"/>
      <c r="CE57" s="131"/>
      <c r="CF57" s="131"/>
      <c r="CG57" s="131"/>
      <c r="CH57" s="131"/>
      <c r="CI57" s="131"/>
      <c r="CJ57" s="131"/>
      <c r="CK57" s="131"/>
      <c r="CL57" s="131"/>
      <c r="CM57" s="131"/>
      <c r="CN57" s="131"/>
      <c r="CO57" s="131"/>
      <c r="CP57" s="131"/>
      <c r="CQ57" s="131"/>
      <c r="CR57" s="131"/>
      <c r="CS57" s="131"/>
      <c r="CT57" s="131"/>
      <c r="CU57" s="131"/>
      <c r="CV57" s="131"/>
      <c r="CW57" s="131"/>
      <c r="CX57" s="131"/>
      <c r="CY57" s="131"/>
      <c r="CZ57" s="131"/>
      <c r="DA57" s="131"/>
      <c r="DB57" s="131"/>
      <c r="DC57" s="131"/>
      <c r="DD57" s="131"/>
      <c r="DE57" s="131"/>
      <c r="DF57" s="131"/>
      <c r="DG57" s="131"/>
      <c r="DH57" s="131"/>
      <c r="DI57" s="131"/>
      <c r="DJ57" s="131"/>
      <c r="DK57" s="131"/>
      <c r="DL57" s="131"/>
      <c r="DM57" s="131"/>
      <c r="DN57" s="131"/>
      <c r="DO57" s="131"/>
      <c r="DP57" s="131"/>
      <c r="DQ57" s="131"/>
      <c r="DR57" s="131"/>
      <c r="DS57" s="131"/>
      <c r="DT57" s="131"/>
      <c r="DU57" s="131"/>
      <c r="DV57" s="131"/>
      <c r="DW57" s="131"/>
      <c r="DX57" s="131"/>
      <c r="DY57" s="131"/>
      <c r="DZ57" s="131"/>
      <c r="EA57" s="131"/>
      <c r="EB57" s="131"/>
      <c r="EC57" s="131"/>
      <c r="ED57" s="131"/>
      <c r="EE57" s="131"/>
      <c r="EF57" s="131"/>
      <c r="EG57" s="131"/>
      <c r="EH57" s="131"/>
      <c r="EI57" s="131"/>
      <c r="EJ57" s="131"/>
      <c r="EK57" s="131"/>
      <c r="EL57" s="131"/>
      <c r="EM57" s="131"/>
      <c r="EN57" s="131"/>
      <c r="EO57" s="131"/>
      <c r="EP57" s="131"/>
      <c r="EQ57" s="131"/>
      <c r="ER57" s="131"/>
      <c r="ES57" s="131"/>
      <c r="ET57" s="131"/>
      <c r="EU57" s="131"/>
      <c r="EV57" s="131"/>
      <c r="EW57" s="131"/>
      <c r="EX57" s="131"/>
      <c r="EY57" s="131"/>
      <c r="EZ57" s="131"/>
      <c r="FA57" s="131"/>
      <c r="FB57" s="131"/>
      <c r="FC57" s="131"/>
      <c r="FD57" s="131"/>
      <c r="FE57" s="131"/>
      <c r="FF57" s="131"/>
      <c r="FG57" s="131"/>
      <c r="FH57" s="131"/>
      <c r="FI57" s="131"/>
      <c r="FJ57" s="131"/>
      <c r="FK57" s="131"/>
      <c r="FL57" s="131"/>
      <c r="FM57" s="131"/>
      <c r="FN57" s="131"/>
      <c r="FO57" s="131"/>
      <c r="FP57" s="131"/>
      <c r="FQ57" s="131"/>
      <c r="FR57" s="131"/>
      <c r="FS57" s="131"/>
      <c r="FT57" s="131"/>
      <c r="FU57" s="131"/>
      <c r="FV57" s="131"/>
      <c r="FW57" s="131"/>
      <c r="FX57" s="131"/>
      <c r="FY57" s="131"/>
      <c r="FZ57" s="131"/>
      <c r="GA57" s="131"/>
      <c r="GB57" s="131"/>
      <c r="GC57" s="131"/>
      <c r="GD57" s="131"/>
      <c r="GE57" s="131"/>
      <c r="GF57" s="131"/>
      <c r="GG57" s="131"/>
      <c r="GH57" s="131"/>
      <c r="GI57" s="131"/>
      <c r="GJ57" s="131"/>
      <c r="GK57" s="131"/>
      <c r="GL57" s="131"/>
      <c r="GM57" s="131"/>
      <c r="GN57" s="131"/>
      <c r="GO57" s="131"/>
      <c r="GP57" s="131"/>
      <c r="GQ57" s="131"/>
      <c r="GR57" s="131"/>
      <c r="GS57" s="131"/>
      <c r="GT57" s="131"/>
      <c r="GU57" s="131"/>
      <c r="GV57" s="131"/>
      <c r="GW57" s="131"/>
      <c r="GX57" s="131"/>
      <c r="GY57" s="131"/>
      <c r="GZ57" s="131"/>
      <c r="HA57" s="131"/>
      <c r="HB57" s="131"/>
      <c r="HC57" s="131"/>
      <c r="HD57" s="131"/>
      <c r="HE57" s="131"/>
      <c r="HF57" s="131"/>
      <c r="HG57" s="131"/>
      <c r="HH57" s="131"/>
      <c r="HI57" s="131"/>
      <c r="HJ57" s="131"/>
      <c r="HK57" s="131"/>
      <c r="HL57" s="131"/>
      <c r="HM57" s="131"/>
      <c r="HN57" s="131"/>
      <c r="HO57" s="131"/>
      <c r="HP57" s="131"/>
      <c r="HQ57" s="131"/>
      <c r="HR57" s="131"/>
      <c r="HS57" s="131"/>
      <c r="HT57" s="131"/>
      <c r="HU57" s="131"/>
      <c r="HV57" s="131"/>
      <c r="HW57" s="131"/>
      <c r="HX57" s="131"/>
      <c r="HY57" s="131"/>
      <c r="HZ57" s="131"/>
      <c r="IA57" s="131"/>
      <c r="IB57" s="131"/>
      <c r="IC57" s="131"/>
      <c r="ID57" s="131"/>
      <c r="IE57" s="131"/>
      <c r="IF57" s="131"/>
      <c r="IG57" s="131"/>
      <c r="IH57" s="131"/>
      <c r="II57" s="131"/>
      <c r="IJ57" s="131"/>
      <c r="IK57" s="131"/>
      <c r="IL57" s="131"/>
      <c r="IM57" s="131"/>
      <c r="IN57" s="131"/>
      <c r="IO57" s="131"/>
      <c r="IP57" s="131"/>
      <c r="IQ57" s="131"/>
      <c r="IR57" s="131"/>
      <c r="IS57" s="131"/>
      <c r="IT57" s="131"/>
      <c r="IU57" s="131"/>
      <c r="IV57" s="131"/>
      <c r="IW57" s="131"/>
      <c r="IX57" s="131"/>
      <c r="IY57" s="131"/>
      <c r="IZ57" s="131"/>
      <c r="JA57" s="131"/>
      <c r="JB57" s="131"/>
      <c r="JC57" s="131"/>
      <c r="JD57" s="131"/>
      <c r="JE57" s="131"/>
      <c r="JF57" s="131"/>
      <c r="JG57" s="131"/>
      <c r="JH57" s="131"/>
      <c r="JI57" s="131"/>
      <c r="JJ57" s="131"/>
      <c r="JK57" s="131"/>
      <c r="JL57" s="131"/>
      <c r="JM57" s="131"/>
      <c r="JN57" s="131"/>
      <c r="JO57" s="131"/>
      <c r="JP57" s="131"/>
      <c r="JQ57" s="131"/>
      <c r="JR57" s="131"/>
      <c r="JS57" s="131"/>
      <c r="JT57" s="131"/>
      <c r="JU57" s="131"/>
      <c r="JV57" s="131"/>
      <c r="JW57" s="131"/>
      <c r="JX57" s="131"/>
      <c r="JY57" s="131"/>
      <c r="JZ57" s="131"/>
      <c r="KA57" s="131"/>
      <c r="KB57" s="131"/>
      <c r="KC57" s="131"/>
      <c r="KD57" s="131"/>
      <c r="KE57" s="131"/>
      <c r="KF57" s="131"/>
      <c r="KG57" s="131"/>
      <c r="KH57" s="131"/>
      <c r="KI57" s="131"/>
      <c r="KJ57" s="131"/>
      <c r="KK57" s="131"/>
      <c r="KL57" s="131"/>
      <c r="KM57" s="131"/>
      <c r="KN57" s="131"/>
      <c r="KO57" s="131"/>
      <c r="KP57" s="131"/>
      <c r="KQ57" s="131"/>
      <c r="KR57" s="131"/>
      <c r="KS57" s="131"/>
      <c r="KT57" s="131"/>
      <c r="KU57" s="131"/>
      <c r="KV57" s="131"/>
      <c r="KW57" s="131"/>
      <c r="KX57" s="131"/>
      <c r="KY57" s="131"/>
      <c r="KZ57" s="131"/>
      <c r="LA57" s="131"/>
      <c r="LB57" s="131"/>
      <c r="LC57" s="131"/>
      <c r="LD57" s="131"/>
      <c r="LE57" s="131"/>
      <c r="LF57" s="131"/>
      <c r="LG57" s="131"/>
      <c r="LH57" s="131"/>
      <c r="LI57" s="131"/>
      <c r="LJ57" s="131"/>
      <c r="LK57" s="131"/>
      <c r="LL57" s="131"/>
      <c r="LM57" s="131"/>
      <c r="LN57" s="131"/>
      <c r="LO57" s="131"/>
      <c r="LP57" s="131"/>
      <c r="LQ57" s="131"/>
      <c r="LR57" s="131"/>
      <c r="LS57" s="131"/>
      <c r="LT57" s="131"/>
      <c r="LU57" s="131"/>
      <c r="LV57" s="131"/>
      <c r="LW57" s="131"/>
      <c r="LX57" s="131"/>
      <c r="LY57" s="131"/>
      <c r="LZ57" s="131"/>
      <c r="MA57" s="131"/>
      <c r="MB57" s="131"/>
      <c r="MC57" s="131"/>
      <c r="MD57" s="131"/>
      <c r="ME57" s="131"/>
      <c r="MF57" s="131"/>
      <c r="MG57" s="131"/>
      <c r="MH57" s="131"/>
      <c r="MI57" s="131"/>
      <c r="MJ57" s="131"/>
      <c r="MK57" s="131"/>
      <c r="ML57" s="131"/>
      <c r="MM57" s="131"/>
      <c r="MN57" s="131"/>
      <c r="MO57" s="131"/>
      <c r="MP57" s="131"/>
      <c r="MQ57" s="131"/>
      <c r="MR57" s="131"/>
      <c r="MS57" s="131"/>
      <c r="MT57" s="131"/>
      <c r="MU57" s="131"/>
      <c r="MV57" s="131"/>
      <c r="MW57" s="131"/>
      <c r="MX57" s="131"/>
      <c r="MY57" s="131"/>
      <c r="MZ57" s="131"/>
      <c r="NA57" s="131"/>
      <c r="NB57" s="131"/>
      <c r="NC57" s="131"/>
      <c r="ND57" s="131"/>
      <c r="NE57" s="131"/>
      <c r="NF57" s="131"/>
      <c r="NG57" s="131"/>
      <c r="NH57" s="131"/>
      <c r="NI57" s="131"/>
      <c r="NJ57" s="131"/>
      <c r="NK57" s="131"/>
      <c r="NL57" s="131"/>
      <c r="NM57" s="131"/>
      <c r="NN57" s="131"/>
      <c r="NO57" s="131"/>
      <c r="NP57" s="131"/>
      <c r="NQ57" s="131"/>
      <c r="NR57" s="131"/>
      <c r="NS57" s="131"/>
      <c r="NT57" s="131"/>
      <c r="NU57" s="131"/>
      <c r="NV57" s="131"/>
      <c r="NW57" s="24">
        <f t="shared" si="9"/>
        <v>0</v>
      </c>
      <c r="NX57" s="56" t="s">
        <v>72</v>
      </c>
      <c r="NY57" s="127">
        <v>451.53</v>
      </c>
      <c r="NZ57" s="78">
        <f t="shared" si="2"/>
        <v>0</v>
      </c>
      <c r="OA57" s="78">
        <v>291.51</v>
      </c>
      <c r="OB57" s="127">
        <f t="shared" si="0"/>
        <v>451.53</v>
      </c>
      <c r="OC57" s="153"/>
      <c r="OD57" s="108">
        <f t="shared" si="10"/>
        <v>1.5489348564371719</v>
      </c>
      <c r="OE57" s="160" t="s">
        <v>508</v>
      </c>
    </row>
    <row r="58" spans="1:395" s="5" customFormat="1" ht="12.75" customHeight="1" x14ac:dyDescent="0.25">
      <c r="A58" s="62">
        <v>44533</v>
      </c>
      <c r="B58" s="116" t="s">
        <v>92</v>
      </c>
      <c r="C58" s="129"/>
      <c r="D58" s="129"/>
      <c r="E58" s="130"/>
      <c r="F58" s="130"/>
      <c r="G58" s="130"/>
      <c r="H58" s="130"/>
      <c r="I58" s="130"/>
      <c r="J58" s="130"/>
      <c r="K58" s="130"/>
      <c r="L58" s="130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1"/>
      <c r="AP58" s="131"/>
      <c r="AQ58" s="131"/>
      <c r="AR58" s="131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1"/>
      <c r="BD58" s="131"/>
      <c r="BE58" s="131"/>
      <c r="BF58" s="131"/>
      <c r="BG58" s="131"/>
      <c r="BH58" s="131"/>
      <c r="BI58" s="131"/>
      <c r="BJ58" s="131"/>
      <c r="BK58" s="131"/>
      <c r="BL58" s="131"/>
      <c r="BM58" s="131"/>
      <c r="BN58" s="131"/>
      <c r="BO58" s="131"/>
      <c r="BP58" s="131"/>
      <c r="BQ58" s="131"/>
      <c r="BR58" s="131"/>
      <c r="BS58" s="131"/>
      <c r="BT58" s="131"/>
      <c r="BU58" s="131"/>
      <c r="BV58" s="131"/>
      <c r="BW58" s="131"/>
      <c r="BX58" s="131"/>
      <c r="BY58" s="131"/>
      <c r="BZ58" s="131"/>
      <c r="CA58" s="131"/>
      <c r="CB58" s="131"/>
      <c r="CC58" s="131"/>
      <c r="CD58" s="131"/>
      <c r="CE58" s="131"/>
      <c r="CF58" s="131"/>
      <c r="CG58" s="131"/>
      <c r="CH58" s="131"/>
      <c r="CI58" s="131"/>
      <c r="CJ58" s="131"/>
      <c r="CK58" s="131"/>
      <c r="CL58" s="131"/>
      <c r="CM58" s="131"/>
      <c r="CN58" s="131"/>
      <c r="CO58" s="131"/>
      <c r="CP58" s="131"/>
      <c r="CQ58" s="131"/>
      <c r="CR58" s="131"/>
      <c r="CS58" s="131"/>
      <c r="CT58" s="131"/>
      <c r="CU58" s="131"/>
      <c r="CV58" s="131"/>
      <c r="CW58" s="131"/>
      <c r="CX58" s="131"/>
      <c r="CY58" s="131"/>
      <c r="CZ58" s="131"/>
      <c r="DA58" s="131"/>
      <c r="DB58" s="131"/>
      <c r="DC58" s="131"/>
      <c r="DD58" s="131"/>
      <c r="DE58" s="131"/>
      <c r="DF58" s="131"/>
      <c r="DG58" s="131"/>
      <c r="DH58" s="131"/>
      <c r="DI58" s="131"/>
      <c r="DJ58" s="131"/>
      <c r="DK58" s="131"/>
      <c r="DL58" s="131"/>
      <c r="DM58" s="131"/>
      <c r="DN58" s="131"/>
      <c r="DO58" s="131"/>
      <c r="DP58" s="131"/>
      <c r="DQ58" s="131"/>
      <c r="DR58" s="131"/>
      <c r="DS58" s="131"/>
      <c r="DT58" s="131"/>
      <c r="DU58" s="131"/>
      <c r="DV58" s="131"/>
      <c r="DW58" s="131"/>
      <c r="DX58" s="131"/>
      <c r="DY58" s="131"/>
      <c r="DZ58" s="131"/>
      <c r="EA58" s="131"/>
      <c r="EB58" s="131"/>
      <c r="EC58" s="131"/>
      <c r="ED58" s="131"/>
      <c r="EE58" s="131"/>
      <c r="EF58" s="131"/>
      <c r="EG58" s="131"/>
      <c r="EH58" s="131"/>
      <c r="EI58" s="131"/>
      <c r="EJ58" s="131"/>
      <c r="EK58" s="131"/>
      <c r="EL58" s="131"/>
      <c r="EM58" s="131"/>
      <c r="EN58" s="131"/>
      <c r="EO58" s="131"/>
      <c r="EP58" s="131"/>
      <c r="EQ58" s="131"/>
      <c r="ER58" s="131"/>
      <c r="ES58" s="131"/>
      <c r="ET58" s="131"/>
      <c r="EU58" s="131"/>
      <c r="EV58" s="131"/>
      <c r="EW58" s="131"/>
      <c r="EX58" s="131"/>
      <c r="EY58" s="131"/>
      <c r="EZ58" s="131"/>
      <c r="FA58" s="131"/>
      <c r="FB58" s="131"/>
      <c r="FC58" s="131"/>
      <c r="FD58" s="131"/>
      <c r="FE58" s="131"/>
      <c r="FF58" s="131"/>
      <c r="FG58" s="131"/>
      <c r="FH58" s="131"/>
      <c r="FI58" s="131"/>
      <c r="FJ58" s="131"/>
      <c r="FK58" s="131"/>
      <c r="FL58" s="131"/>
      <c r="FM58" s="131"/>
      <c r="FN58" s="131"/>
      <c r="FO58" s="131"/>
      <c r="FP58" s="131"/>
      <c r="FQ58" s="131"/>
      <c r="FR58" s="131"/>
      <c r="FS58" s="131"/>
      <c r="FT58" s="131"/>
      <c r="FU58" s="131"/>
      <c r="FV58" s="131"/>
      <c r="FW58" s="131"/>
      <c r="FX58" s="131"/>
      <c r="FY58" s="131"/>
      <c r="FZ58" s="131"/>
      <c r="GA58" s="131"/>
      <c r="GB58" s="131"/>
      <c r="GC58" s="131"/>
      <c r="GD58" s="131"/>
      <c r="GE58" s="131"/>
      <c r="GF58" s="131"/>
      <c r="GG58" s="131"/>
      <c r="GH58" s="131"/>
      <c r="GI58" s="131"/>
      <c r="GJ58" s="131"/>
      <c r="GK58" s="131"/>
      <c r="GL58" s="131"/>
      <c r="GM58" s="131"/>
      <c r="GN58" s="131"/>
      <c r="GO58" s="131"/>
      <c r="GP58" s="131"/>
      <c r="GQ58" s="131"/>
      <c r="GR58" s="131"/>
      <c r="GS58" s="131"/>
      <c r="GT58" s="131"/>
      <c r="GU58" s="131"/>
      <c r="GV58" s="131"/>
      <c r="GW58" s="131"/>
      <c r="GX58" s="131"/>
      <c r="GY58" s="131"/>
      <c r="GZ58" s="131"/>
      <c r="HA58" s="131"/>
      <c r="HB58" s="131"/>
      <c r="HC58" s="131"/>
      <c r="HD58" s="131"/>
      <c r="HE58" s="131"/>
      <c r="HF58" s="131"/>
      <c r="HG58" s="131"/>
      <c r="HH58" s="131"/>
      <c r="HI58" s="131"/>
      <c r="HJ58" s="131"/>
      <c r="HK58" s="131"/>
      <c r="HL58" s="131"/>
      <c r="HM58" s="131"/>
      <c r="HN58" s="131"/>
      <c r="HO58" s="131"/>
      <c r="HP58" s="131"/>
      <c r="HQ58" s="131"/>
      <c r="HR58" s="131"/>
      <c r="HS58" s="131"/>
      <c r="HT58" s="131"/>
      <c r="HU58" s="131"/>
      <c r="HV58" s="131"/>
      <c r="HW58" s="131"/>
      <c r="HX58" s="131"/>
      <c r="HY58" s="131"/>
      <c r="HZ58" s="131"/>
      <c r="IA58" s="131"/>
      <c r="IB58" s="131"/>
      <c r="IC58" s="131"/>
      <c r="ID58" s="131"/>
      <c r="IE58" s="131"/>
      <c r="IF58" s="131"/>
      <c r="IG58" s="131"/>
      <c r="IH58" s="131"/>
      <c r="II58" s="131"/>
      <c r="IJ58" s="131"/>
      <c r="IK58" s="131"/>
      <c r="IL58" s="131"/>
      <c r="IM58" s="131"/>
      <c r="IN58" s="131"/>
      <c r="IO58" s="131"/>
      <c r="IP58" s="131"/>
      <c r="IQ58" s="131"/>
      <c r="IR58" s="131"/>
      <c r="IS58" s="131"/>
      <c r="IT58" s="131"/>
      <c r="IU58" s="131"/>
      <c r="IV58" s="131"/>
      <c r="IW58" s="131"/>
      <c r="IX58" s="131"/>
      <c r="IY58" s="131"/>
      <c r="IZ58" s="131"/>
      <c r="JA58" s="131"/>
      <c r="JB58" s="131"/>
      <c r="JC58" s="131"/>
      <c r="JD58" s="131"/>
      <c r="JE58" s="131"/>
      <c r="JF58" s="131"/>
      <c r="JG58" s="131"/>
      <c r="JH58" s="131"/>
      <c r="JI58" s="131"/>
      <c r="JJ58" s="131"/>
      <c r="JK58" s="131"/>
      <c r="JL58" s="131"/>
      <c r="JM58" s="131"/>
      <c r="JN58" s="131"/>
      <c r="JO58" s="131"/>
      <c r="JP58" s="131"/>
      <c r="JQ58" s="131"/>
      <c r="JR58" s="131"/>
      <c r="JS58" s="131"/>
      <c r="JT58" s="131"/>
      <c r="JU58" s="131"/>
      <c r="JV58" s="131"/>
      <c r="JW58" s="131"/>
      <c r="JX58" s="131"/>
      <c r="JY58" s="131"/>
      <c r="JZ58" s="131"/>
      <c r="KA58" s="131"/>
      <c r="KB58" s="131"/>
      <c r="KC58" s="131"/>
      <c r="KD58" s="131"/>
      <c r="KE58" s="131"/>
      <c r="KF58" s="131"/>
      <c r="KG58" s="131"/>
      <c r="KH58" s="131"/>
      <c r="KI58" s="131"/>
      <c r="KJ58" s="131"/>
      <c r="KK58" s="131"/>
      <c r="KL58" s="131"/>
      <c r="KM58" s="131"/>
      <c r="KN58" s="131"/>
      <c r="KO58" s="131"/>
      <c r="KP58" s="131"/>
      <c r="KQ58" s="131"/>
      <c r="KR58" s="131"/>
      <c r="KS58" s="131"/>
      <c r="KT58" s="131"/>
      <c r="KU58" s="131"/>
      <c r="KV58" s="131"/>
      <c r="KW58" s="131"/>
      <c r="KX58" s="131"/>
      <c r="KY58" s="131"/>
      <c r="KZ58" s="131"/>
      <c r="LA58" s="131"/>
      <c r="LB58" s="131"/>
      <c r="LC58" s="131"/>
      <c r="LD58" s="131"/>
      <c r="LE58" s="131"/>
      <c r="LF58" s="131"/>
      <c r="LG58" s="131"/>
      <c r="LH58" s="131"/>
      <c r="LI58" s="131"/>
      <c r="LJ58" s="131"/>
      <c r="LK58" s="131"/>
      <c r="LL58" s="131"/>
      <c r="LM58" s="131"/>
      <c r="LN58" s="131"/>
      <c r="LO58" s="131"/>
      <c r="LP58" s="131"/>
      <c r="LQ58" s="131"/>
      <c r="LR58" s="131"/>
      <c r="LS58" s="131"/>
      <c r="LT58" s="131"/>
      <c r="LU58" s="131"/>
      <c r="LV58" s="131"/>
      <c r="LW58" s="131"/>
      <c r="LX58" s="131"/>
      <c r="LY58" s="131"/>
      <c r="LZ58" s="131"/>
      <c r="MA58" s="131"/>
      <c r="MB58" s="131"/>
      <c r="MC58" s="131"/>
      <c r="MD58" s="131"/>
      <c r="ME58" s="131"/>
      <c r="MF58" s="131"/>
      <c r="MG58" s="131"/>
      <c r="MH58" s="131"/>
      <c r="MI58" s="131"/>
      <c r="MJ58" s="131"/>
      <c r="MK58" s="131"/>
      <c r="ML58" s="131"/>
      <c r="MM58" s="131"/>
      <c r="MN58" s="131"/>
      <c r="MO58" s="131"/>
      <c r="MP58" s="131"/>
      <c r="MQ58" s="131"/>
      <c r="MR58" s="131"/>
      <c r="MS58" s="131"/>
      <c r="MT58" s="131"/>
      <c r="MU58" s="131"/>
      <c r="MV58" s="131"/>
      <c r="MW58" s="131"/>
      <c r="MX58" s="131"/>
      <c r="MY58" s="131"/>
      <c r="MZ58" s="131"/>
      <c r="NA58" s="131"/>
      <c r="NB58" s="131"/>
      <c r="NC58" s="131"/>
      <c r="ND58" s="131"/>
      <c r="NE58" s="131"/>
      <c r="NF58" s="131"/>
      <c r="NG58" s="131"/>
      <c r="NH58" s="131"/>
      <c r="NI58" s="131"/>
      <c r="NJ58" s="131"/>
      <c r="NK58" s="131"/>
      <c r="NL58" s="131"/>
      <c r="NM58" s="131"/>
      <c r="NN58" s="131"/>
      <c r="NO58" s="131"/>
      <c r="NP58" s="131"/>
      <c r="NQ58" s="131"/>
      <c r="NR58" s="131"/>
      <c r="NS58" s="131"/>
      <c r="NT58" s="131"/>
      <c r="NU58" s="131"/>
      <c r="NV58" s="131"/>
      <c r="NW58" s="24">
        <f t="shared" si="9"/>
        <v>0</v>
      </c>
      <c r="NX58" s="56" t="s">
        <v>36</v>
      </c>
      <c r="NY58" s="127">
        <v>1417.12</v>
      </c>
      <c r="NZ58" s="78">
        <f t="shared" si="2"/>
        <v>430.66</v>
      </c>
      <c r="OA58" s="78">
        <v>727.91399999999999</v>
      </c>
      <c r="OB58" s="127">
        <f t="shared" si="0"/>
        <v>986.45999999999981</v>
      </c>
      <c r="OC58" s="153">
        <v>430.66</v>
      </c>
      <c r="OD58" s="108">
        <f t="shared" si="10"/>
        <v>1.9468233884772101</v>
      </c>
      <c r="OE58" s="160" t="s">
        <v>509</v>
      </c>
    </row>
    <row r="59" spans="1:395" s="5" customFormat="1" ht="12.75" customHeight="1" x14ac:dyDescent="0.25">
      <c r="A59" s="62">
        <v>44533</v>
      </c>
      <c r="B59" s="158" t="s">
        <v>146</v>
      </c>
      <c r="C59" s="129"/>
      <c r="D59" s="129"/>
      <c r="E59" s="130"/>
      <c r="F59" s="130"/>
      <c r="G59" s="130"/>
      <c r="H59" s="130"/>
      <c r="I59" s="130"/>
      <c r="J59" s="130"/>
      <c r="K59" s="130"/>
      <c r="L59" s="130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1"/>
      <c r="AP59" s="131"/>
      <c r="AQ59" s="131"/>
      <c r="AR59" s="131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1"/>
      <c r="BD59" s="131"/>
      <c r="BE59" s="131"/>
      <c r="BF59" s="131"/>
      <c r="BG59" s="131"/>
      <c r="BH59" s="131"/>
      <c r="BI59" s="131"/>
      <c r="BJ59" s="131"/>
      <c r="BK59" s="131"/>
      <c r="BL59" s="131"/>
      <c r="BM59" s="131"/>
      <c r="BN59" s="131"/>
      <c r="BO59" s="131"/>
      <c r="BP59" s="131"/>
      <c r="BQ59" s="131"/>
      <c r="BR59" s="131"/>
      <c r="BS59" s="131"/>
      <c r="BT59" s="131"/>
      <c r="BU59" s="131"/>
      <c r="BV59" s="131"/>
      <c r="BW59" s="131"/>
      <c r="BX59" s="131"/>
      <c r="BY59" s="131"/>
      <c r="BZ59" s="131"/>
      <c r="CA59" s="131"/>
      <c r="CB59" s="131"/>
      <c r="CC59" s="131"/>
      <c r="CD59" s="131"/>
      <c r="CE59" s="131"/>
      <c r="CF59" s="131"/>
      <c r="CG59" s="131"/>
      <c r="CH59" s="131"/>
      <c r="CI59" s="131"/>
      <c r="CJ59" s="131"/>
      <c r="CK59" s="131"/>
      <c r="CL59" s="131"/>
      <c r="CM59" s="131"/>
      <c r="CN59" s="131"/>
      <c r="CO59" s="131"/>
      <c r="CP59" s="131"/>
      <c r="CQ59" s="131"/>
      <c r="CR59" s="131"/>
      <c r="CS59" s="131"/>
      <c r="CT59" s="131"/>
      <c r="CU59" s="131"/>
      <c r="CV59" s="131"/>
      <c r="CW59" s="131"/>
      <c r="CX59" s="131"/>
      <c r="CY59" s="131"/>
      <c r="CZ59" s="131"/>
      <c r="DA59" s="131"/>
      <c r="DB59" s="131"/>
      <c r="DC59" s="131"/>
      <c r="DD59" s="131"/>
      <c r="DE59" s="131"/>
      <c r="DF59" s="131"/>
      <c r="DG59" s="131"/>
      <c r="DH59" s="131"/>
      <c r="DI59" s="131"/>
      <c r="DJ59" s="131"/>
      <c r="DK59" s="131"/>
      <c r="DL59" s="131"/>
      <c r="DM59" s="131"/>
      <c r="DN59" s="131"/>
      <c r="DO59" s="131"/>
      <c r="DP59" s="131"/>
      <c r="DQ59" s="131"/>
      <c r="DR59" s="131"/>
      <c r="DS59" s="131"/>
      <c r="DT59" s="131"/>
      <c r="DU59" s="131"/>
      <c r="DV59" s="131"/>
      <c r="DW59" s="131"/>
      <c r="DX59" s="131"/>
      <c r="DY59" s="131"/>
      <c r="DZ59" s="131"/>
      <c r="EA59" s="131"/>
      <c r="EB59" s="131"/>
      <c r="EC59" s="131"/>
      <c r="ED59" s="131"/>
      <c r="EE59" s="131"/>
      <c r="EF59" s="131"/>
      <c r="EG59" s="131"/>
      <c r="EH59" s="131"/>
      <c r="EI59" s="131"/>
      <c r="EJ59" s="131"/>
      <c r="EK59" s="131"/>
      <c r="EL59" s="131"/>
      <c r="EM59" s="131"/>
      <c r="EN59" s="131"/>
      <c r="EO59" s="131"/>
      <c r="EP59" s="131"/>
      <c r="EQ59" s="131"/>
      <c r="ER59" s="131"/>
      <c r="ES59" s="131"/>
      <c r="ET59" s="131"/>
      <c r="EU59" s="131"/>
      <c r="EV59" s="131"/>
      <c r="EW59" s="131"/>
      <c r="EX59" s="131"/>
      <c r="EY59" s="131"/>
      <c r="EZ59" s="131"/>
      <c r="FA59" s="131"/>
      <c r="FB59" s="131"/>
      <c r="FC59" s="131"/>
      <c r="FD59" s="131"/>
      <c r="FE59" s="131"/>
      <c r="FF59" s="131"/>
      <c r="FG59" s="131"/>
      <c r="FH59" s="131"/>
      <c r="FI59" s="131"/>
      <c r="FJ59" s="131"/>
      <c r="FK59" s="131"/>
      <c r="FL59" s="131"/>
      <c r="FM59" s="131"/>
      <c r="FN59" s="131"/>
      <c r="FO59" s="131"/>
      <c r="FP59" s="131"/>
      <c r="FQ59" s="131"/>
      <c r="FR59" s="131"/>
      <c r="FS59" s="131"/>
      <c r="FT59" s="131"/>
      <c r="FU59" s="131"/>
      <c r="FV59" s="131"/>
      <c r="FW59" s="131"/>
      <c r="FX59" s="131"/>
      <c r="FY59" s="131"/>
      <c r="FZ59" s="131"/>
      <c r="GA59" s="131"/>
      <c r="GB59" s="131"/>
      <c r="GC59" s="131"/>
      <c r="GD59" s="131"/>
      <c r="GE59" s="131"/>
      <c r="GF59" s="131"/>
      <c r="GG59" s="131"/>
      <c r="GH59" s="131"/>
      <c r="GI59" s="131"/>
      <c r="GJ59" s="131"/>
      <c r="GK59" s="131"/>
      <c r="GL59" s="131"/>
      <c r="GM59" s="131"/>
      <c r="GN59" s="131"/>
      <c r="GO59" s="131"/>
      <c r="GP59" s="131"/>
      <c r="GQ59" s="131"/>
      <c r="GR59" s="131"/>
      <c r="GS59" s="131"/>
      <c r="GT59" s="131"/>
      <c r="GU59" s="131"/>
      <c r="GV59" s="131"/>
      <c r="GW59" s="131"/>
      <c r="GX59" s="131"/>
      <c r="GY59" s="131"/>
      <c r="GZ59" s="131"/>
      <c r="HA59" s="131"/>
      <c r="HB59" s="131"/>
      <c r="HC59" s="131"/>
      <c r="HD59" s="131"/>
      <c r="HE59" s="131"/>
      <c r="HF59" s="131"/>
      <c r="HG59" s="131"/>
      <c r="HH59" s="131"/>
      <c r="HI59" s="131"/>
      <c r="HJ59" s="131"/>
      <c r="HK59" s="131"/>
      <c r="HL59" s="131"/>
      <c r="HM59" s="131"/>
      <c r="HN59" s="131"/>
      <c r="HO59" s="131"/>
      <c r="HP59" s="131"/>
      <c r="HQ59" s="131"/>
      <c r="HR59" s="131"/>
      <c r="HS59" s="131"/>
      <c r="HT59" s="131"/>
      <c r="HU59" s="131"/>
      <c r="HV59" s="131"/>
      <c r="HW59" s="131"/>
      <c r="HX59" s="131"/>
      <c r="HY59" s="131"/>
      <c r="HZ59" s="131"/>
      <c r="IA59" s="131"/>
      <c r="IB59" s="131"/>
      <c r="IC59" s="131"/>
      <c r="ID59" s="131"/>
      <c r="IE59" s="131"/>
      <c r="IF59" s="131"/>
      <c r="IG59" s="131"/>
      <c r="IH59" s="131"/>
      <c r="II59" s="131"/>
      <c r="IJ59" s="131"/>
      <c r="IK59" s="131"/>
      <c r="IL59" s="131"/>
      <c r="IM59" s="131"/>
      <c r="IN59" s="131"/>
      <c r="IO59" s="131"/>
      <c r="IP59" s="131"/>
      <c r="IQ59" s="131"/>
      <c r="IR59" s="131"/>
      <c r="IS59" s="131"/>
      <c r="IT59" s="131"/>
      <c r="IU59" s="131"/>
      <c r="IV59" s="131"/>
      <c r="IW59" s="131"/>
      <c r="IX59" s="131"/>
      <c r="IY59" s="131"/>
      <c r="IZ59" s="131"/>
      <c r="JA59" s="131"/>
      <c r="JB59" s="131"/>
      <c r="JC59" s="131"/>
      <c r="JD59" s="131"/>
      <c r="JE59" s="131"/>
      <c r="JF59" s="131"/>
      <c r="JG59" s="131"/>
      <c r="JH59" s="131"/>
      <c r="JI59" s="131"/>
      <c r="JJ59" s="131"/>
      <c r="JK59" s="131"/>
      <c r="JL59" s="131"/>
      <c r="JM59" s="131"/>
      <c r="JN59" s="131"/>
      <c r="JO59" s="131"/>
      <c r="JP59" s="131"/>
      <c r="JQ59" s="131"/>
      <c r="JR59" s="131"/>
      <c r="JS59" s="131"/>
      <c r="JT59" s="131"/>
      <c r="JU59" s="131"/>
      <c r="JV59" s="131"/>
      <c r="JW59" s="131"/>
      <c r="JX59" s="131"/>
      <c r="JY59" s="131"/>
      <c r="JZ59" s="131"/>
      <c r="KA59" s="131"/>
      <c r="KB59" s="131"/>
      <c r="KC59" s="131"/>
      <c r="KD59" s="131"/>
      <c r="KE59" s="131"/>
      <c r="KF59" s="131"/>
      <c r="KG59" s="131"/>
      <c r="KH59" s="131"/>
      <c r="KI59" s="131"/>
      <c r="KJ59" s="131"/>
      <c r="KK59" s="131"/>
      <c r="KL59" s="131"/>
      <c r="KM59" s="131"/>
      <c r="KN59" s="131"/>
      <c r="KO59" s="131"/>
      <c r="KP59" s="131"/>
      <c r="KQ59" s="131"/>
      <c r="KR59" s="131"/>
      <c r="KS59" s="131"/>
      <c r="KT59" s="131"/>
      <c r="KU59" s="131"/>
      <c r="KV59" s="131"/>
      <c r="KW59" s="131"/>
      <c r="KX59" s="131"/>
      <c r="KY59" s="131"/>
      <c r="KZ59" s="131"/>
      <c r="LA59" s="131"/>
      <c r="LB59" s="131"/>
      <c r="LC59" s="131"/>
      <c r="LD59" s="131"/>
      <c r="LE59" s="131"/>
      <c r="LF59" s="131"/>
      <c r="LG59" s="131"/>
      <c r="LH59" s="131"/>
      <c r="LI59" s="131"/>
      <c r="LJ59" s="131"/>
      <c r="LK59" s="131"/>
      <c r="LL59" s="131"/>
      <c r="LM59" s="131"/>
      <c r="LN59" s="131"/>
      <c r="LO59" s="131"/>
      <c r="LP59" s="131"/>
      <c r="LQ59" s="131"/>
      <c r="LR59" s="131"/>
      <c r="LS59" s="131"/>
      <c r="LT59" s="131"/>
      <c r="LU59" s="131"/>
      <c r="LV59" s="131"/>
      <c r="LW59" s="131"/>
      <c r="LX59" s="131"/>
      <c r="LY59" s="131"/>
      <c r="LZ59" s="131"/>
      <c r="MA59" s="131"/>
      <c r="MB59" s="131"/>
      <c r="MC59" s="131"/>
      <c r="MD59" s="131"/>
      <c r="ME59" s="131"/>
      <c r="MF59" s="131"/>
      <c r="MG59" s="131"/>
      <c r="MH59" s="131"/>
      <c r="MI59" s="131"/>
      <c r="MJ59" s="131"/>
      <c r="MK59" s="131"/>
      <c r="ML59" s="131"/>
      <c r="MM59" s="131"/>
      <c r="MN59" s="131"/>
      <c r="MO59" s="131"/>
      <c r="MP59" s="131"/>
      <c r="MQ59" s="131"/>
      <c r="MR59" s="131"/>
      <c r="MS59" s="131"/>
      <c r="MT59" s="131"/>
      <c r="MU59" s="131"/>
      <c r="MV59" s="131"/>
      <c r="MW59" s="131"/>
      <c r="MX59" s="131"/>
      <c r="MY59" s="131"/>
      <c r="MZ59" s="131"/>
      <c r="NA59" s="131"/>
      <c r="NB59" s="131"/>
      <c r="NC59" s="131"/>
      <c r="ND59" s="131"/>
      <c r="NE59" s="131"/>
      <c r="NF59" s="131"/>
      <c r="NG59" s="131"/>
      <c r="NH59" s="131"/>
      <c r="NI59" s="131"/>
      <c r="NJ59" s="131"/>
      <c r="NK59" s="131"/>
      <c r="NL59" s="131"/>
      <c r="NM59" s="131"/>
      <c r="NN59" s="131"/>
      <c r="NO59" s="131"/>
      <c r="NP59" s="131"/>
      <c r="NQ59" s="131"/>
      <c r="NR59" s="131"/>
      <c r="NS59" s="131"/>
      <c r="NT59" s="131"/>
      <c r="NU59" s="131"/>
      <c r="NV59" s="131"/>
      <c r="NW59" s="24">
        <f t="shared" si="9"/>
        <v>0</v>
      </c>
      <c r="NX59" s="56" t="s">
        <v>36</v>
      </c>
      <c r="NY59" s="127">
        <v>291.82</v>
      </c>
      <c r="NZ59" s="78">
        <f t="shared" si="2"/>
        <v>0</v>
      </c>
      <c r="OA59" s="78">
        <v>142.72</v>
      </c>
      <c r="OB59" s="127">
        <f t="shared" si="0"/>
        <v>291.82</v>
      </c>
      <c r="OC59" s="153"/>
      <c r="OD59" s="108">
        <f t="shared" si="10"/>
        <v>2.0447029147982061</v>
      </c>
      <c r="OE59" s="160" t="s">
        <v>534</v>
      </c>
    </row>
    <row r="60" spans="1:395" s="5" customFormat="1" ht="12.75" hidden="1" customHeight="1" x14ac:dyDescent="0.25">
      <c r="A60" s="62">
        <v>44533</v>
      </c>
      <c r="B60" s="116" t="s">
        <v>244</v>
      </c>
      <c r="C60" s="129"/>
      <c r="D60" s="129"/>
      <c r="E60" s="130"/>
      <c r="F60" s="130"/>
      <c r="G60" s="130"/>
      <c r="H60" s="130"/>
      <c r="I60" s="130"/>
      <c r="J60" s="130"/>
      <c r="K60" s="130"/>
      <c r="L60" s="130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  <c r="AA60" s="131"/>
      <c r="AB60" s="131"/>
      <c r="AC60" s="131"/>
      <c r="AD60" s="131"/>
      <c r="AE60" s="131"/>
      <c r="AF60" s="131"/>
      <c r="AG60" s="131"/>
      <c r="AH60" s="131"/>
      <c r="AI60" s="131"/>
      <c r="AJ60" s="131"/>
      <c r="AK60" s="131"/>
      <c r="AL60" s="131"/>
      <c r="AM60" s="131"/>
      <c r="AN60" s="131"/>
      <c r="AO60" s="131"/>
      <c r="AP60" s="131"/>
      <c r="AQ60" s="131"/>
      <c r="AR60" s="131"/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1"/>
      <c r="BD60" s="131"/>
      <c r="BE60" s="131"/>
      <c r="BF60" s="131"/>
      <c r="BG60" s="131"/>
      <c r="BH60" s="131"/>
      <c r="BI60" s="131"/>
      <c r="BJ60" s="131"/>
      <c r="BK60" s="131"/>
      <c r="BL60" s="131"/>
      <c r="BM60" s="131"/>
      <c r="BN60" s="131"/>
      <c r="BO60" s="131"/>
      <c r="BP60" s="131"/>
      <c r="BQ60" s="131"/>
      <c r="BR60" s="131"/>
      <c r="BS60" s="131"/>
      <c r="BT60" s="131"/>
      <c r="BU60" s="131"/>
      <c r="BV60" s="131"/>
      <c r="BW60" s="131"/>
      <c r="BX60" s="131"/>
      <c r="BY60" s="131"/>
      <c r="BZ60" s="131"/>
      <c r="CA60" s="131"/>
      <c r="CB60" s="131"/>
      <c r="CC60" s="131"/>
      <c r="CD60" s="131"/>
      <c r="CE60" s="131"/>
      <c r="CF60" s="131"/>
      <c r="CG60" s="131"/>
      <c r="CH60" s="131"/>
      <c r="CI60" s="131"/>
      <c r="CJ60" s="131"/>
      <c r="CK60" s="131"/>
      <c r="CL60" s="131"/>
      <c r="CM60" s="131"/>
      <c r="CN60" s="131"/>
      <c r="CO60" s="131"/>
      <c r="CP60" s="131"/>
      <c r="CQ60" s="131"/>
      <c r="CR60" s="131"/>
      <c r="CS60" s="131"/>
      <c r="CT60" s="131"/>
      <c r="CU60" s="131"/>
      <c r="CV60" s="131"/>
      <c r="CW60" s="131"/>
      <c r="CX60" s="131"/>
      <c r="CY60" s="131"/>
      <c r="CZ60" s="131"/>
      <c r="DA60" s="131"/>
      <c r="DB60" s="131"/>
      <c r="DC60" s="131"/>
      <c r="DD60" s="131"/>
      <c r="DE60" s="131"/>
      <c r="DF60" s="131"/>
      <c r="DG60" s="131"/>
      <c r="DH60" s="131"/>
      <c r="DI60" s="131"/>
      <c r="DJ60" s="131"/>
      <c r="DK60" s="131"/>
      <c r="DL60" s="131"/>
      <c r="DM60" s="131"/>
      <c r="DN60" s="131"/>
      <c r="DO60" s="131"/>
      <c r="DP60" s="131"/>
      <c r="DQ60" s="131"/>
      <c r="DR60" s="131"/>
      <c r="DS60" s="131"/>
      <c r="DT60" s="131"/>
      <c r="DU60" s="131"/>
      <c r="DV60" s="131"/>
      <c r="DW60" s="131"/>
      <c r="DX60" s="131"/>
      <c r="DY60" s="131"/>
      <c r="DZ60" s="131"/>
      <c r="EA60" s="131"/>
      <c r="EB60" s="131"/>
      <c r="EC60" s="131"/>
      <c r="ED60" s="131"/>
      <c r="EE60" s="131"/>
      <c r="EF60" s="131"/>
      <c r="EG60" s="131"/>
      <c r="EH60" s="131"/>
      <c r="EI60" s="131"/>
      <c r="EJ60" s="131"/>
      <c r="EK60" s="131"/>
      <c r="EL60" s="131"/>
      <c r="EM60" s="131"/>
      <c r="EN60" s="131"/>
      <c r="EO60" s="131"/>
      <c r="EP60" s="131"/>
      <c r="EQ60" s="131"/>
      <c r="ER60" s="131"/>
      <c r="ES60" s="131"/>
      <c r="ET60" s="131"/>
      <c r="EU60" s="131"/>
      <c r="EV60" s="131"/>
      <c r="EW60" s="131"/>
      <c r="EX60" s="131"/>
      <c r="EY60" s="131"/>
      <c r="EZ60" s="131"/>
      <c r="FA60" s="131"/>
      <c r="FB60" s="131"/>
      <c r="FC60" s="131"/>
      <c r="FD60" s="131"/>
      <c r="FE60" s="131"/>
      <c r="FF60" s="131"/>
      <c r="FG60" s="131"/>
      <c r="FH60" s="131"/>
      <c r="FI60" s="131"/>
      <c r="FJ60" s="131"/>
      <c r="FK60" s="131"/>
      <c r="FL60" s="131"/>
      <c r="FM60" s="131"/>
      <c r="FN60" s="131"/>
      <c r="FO60" s="131"/>
      <c r="FP60" s="131"/>
      <c r="FQ60" s="131"/>
      <c r="FR60" s="131"/>
      <c r="FS60" s="131"/>
      <c r="FT60" s="131"/>
      <c r="FU60" s="131"/>
      <c r="FV60" s="131"/>
      <c r="FW60" s="131"/>
      <c r="FX60" s="131"/>
      <c r="FY60" s="131"/>
      <c r="FZ60" s="131"/>
      <c r="GA60" s="131"/>
      <c r="GB60" s="131"/>
      <c r="GC60" s="131"/>
      <c r="GD60" s="131"/>
      <c r="GE60" s="131"/>
      <c r="GF60" s="131"/>
      <c r="GG60" s="131"/>
      <c r="GH60" s="131"/>
      <c r="GI60" s="131"/>
      <c r="GJ60" s="131"/>
      <c r="GK60" s="131"/>
      <c r="GL60" s="131"/>
      <c r="GM60" s="131"/>
      <c r="GN60" s="131"/>
      <c r="GO60" s="131"/>
      <c r="GP60" s="131"/>
      <c r="GQ60" s="131"/>
      <c r="GR60" s="131"/>
      <c r="GS60" s="131"/>
      <c r="GT60" s="131"/>
      <c r="GU60" s="131"/>
      <c r="GV60" s="131"/>
      <c r="GW60" s="131"/>
      <c r="GX60" s="131"/>
      <c r="GY60" s="131"/>
      <c r="GZ60" s="131"/>
      <c r="HA60" s="131"/>
      <c r="HB60" s="131"/>
      <c r="HC60" s="131"/>
      <c r="HD60" s="131"/>
      <c r="HE60" s="131"/>
      <c r="HF60" s="131"/>
      <c r="HG60" s="131"/>
      <c r="HH60" s="131"/>
      <c r="HI60" s="131"/>
      <c r="HJ60" s="131"/>
      <c r="HK60" s="131"/>
      <c r="HL60" s="131"/>
      <c r="HM60" s="131"/>
      <c r="HN60" s="131"/>
      <c r="HO60" s="131"/>
      <c r="HP60" s="131"/>
      <c r="HQ60" s="131"/>
      <c r="HR60" s="131"/>
      <c r="HS60" s="131"/>
      <c r="HT60" s="131"/>
      <c r="HU60" s="131"/>
      <c r="HV60" s="131"/>
      <c r="HW60" s="131"/>
      <c r="HX60" s="131"/>
      <c r="HY60" s="131"/>
      <c r="HZ60" s="131"/>
      <c r="IA60" s="131"/>
      <c r="IB60" s="131"/>
      <c r="IC60" s="131"/>
      <c r="ID60" s="131"/>
      <c r="IE60" s="131"/>
      <c r="IF60" s="131"/>
      <c r="IG60" s="131"/>
      <c r="IH60" s="131"/>
      <c r="II60" s="131"/>
      <c r="IJ60" s="131"/>
      <c r="IK60" s="131"/>
      <c r="IL60" s="131"/>
      <c r="IM60" s="131"/>
      <c r="IN60" s="131"/>
      <c r="IO60" s="131"/>
      <c r="IP60" s="131"/>
      <c r="IQ60" s="131"/>
      <c r="IR60" s="131"/>
      <c r="IS60" s="131"/>
      <c r="IT60" s="131"/>
      <c r="IU60" s="131"/>
      <c r="IV60" s="131"/>
      <c r="IW60" s="131"/>
      <c r="IX60" s="131"/>
      <c r="IY60" s="131"/>
      <c r="IZ60" s="131"/>
      <c r="JA60" s="131"/>
      <c r="JB60" s="131"/>
      <c r="JC60" s="131"/>
      <c r="JD60" s="131"/>
      <c r="JE60" s="131"/>
      <c r="JF60" s="131"/>
      <c r="JG60" s="131"/>
      <c r="JH60" s="131"/>
      <c r="JI60" s="131"/>
      <c r="JJ60" s="131"/>
      <c r="JK60" s="131"/>
      <c r="JL60" s="131"/>
      <c r="JM60" s="131"/>
      <c r="JN60" s="131"/>
      <c r="JO60" s="131"/>
      <c r="JP60" s="131"/>
      <c r="JQ60" s="131"/>
      <c r="JR60" s="131"/>
      <c r="JS60" s="131"/>
      <c r="JT60" s="131"/>
      <c r="JU60" s="131"/>
      <c r="JV60" s="131"/>
      <c r="JW60" s="131"/>
      <c r="JX60" s="131"/>
      <c r="JY60" s="131"/>
      <c r="JZ60" s="131"/>
      <c r="KA60" s="131"/>
      <c r="KB60" s="131"/>
      <c r="KC60" s="131"/>
      <c r="KD60" s="131"/>
      <c r="KE60" s="131"/>
      <c r="KF60" s="131"/>
      <c r="KG60" s="131"/>
      <c r="KH60" s="131"/>
      <c r="KI60" s="131"/>
      <c r="KJ60" s="131"/>
      <c r="KK60" s="131"/>
      <c r="KL60" s="131"/>
      <c r="KM60" s="131"/>
      <c r="KN60" s="131"/>
      <c r="KO60" s="131"/>
      <c r="KP60" s="131"/>
      <c r="KQ60" s="131"/>
      <c r="KR60" s="131"/>
      <c r="KS60" s="131"/>
      <c r="KT60" s="131"/>
      <c r="KU60" s="131"/>
      <c r="KV60" s="131"/>
      <c r="KW60" s="131"/>
      <c r="KX60" s="131"/>
      <c r="KY60" s="131"/>
      <c r="KZ60" s="131"/>
      <c r="LA60" s="131"/>
      <c r="LB60" s="131"/>
      <c r="LC60" s="131"/>
      <c r="LD60" s="131"/>
      <c r="LE60" s="131"/>
      <c r="LF60" s="131"/>
      <c r="LG60" s="131"/>
      <c r="LH60" s="131"/>
      <c r="LI60" s="131"/>
      <c r="LJ60" s="131"/>
      <c r="LK60" s="131"/>
      <c r="LL60" s="131"/>
      <c r="LM60" s="131"/>
      <c r="LN60" s="131"/>
      <c r="LO60" s="131"/>
      <c r="LP60" s="131"/>
      <c r="LQ60" s="131"/>
      <c r="LR60" s="131"/>
      <c r="LS60" s="131"/>
      <c r="LT60" s="131"/>
      <c r="LU60" s="131"/>
      <c r="LV60" s="131"/>
      <c r="LW60" s="131"/>
      <c r="LX60" s="131"/>
      <c r="LY60" s="131"/>
      <c r="LZ60" s="131"/>
      <c r="MA60" s="131"/>
      <c r="MB60" s="131"/>
      <c r="MC60" s="131"/>
      <c r="MD60" s="131"/>
      <c r="ME60" s="131"/>
      <c r="MF60" s="131"/>
      <c r="MG60" s="131"/>
      <c r="MH60" s="131"/>
      <c r="MI60" s="131"/>
      <c r="MJ60" s="131"/>
      <c r="MK60" s="131"/>
      <c r="ML60" s="131"/>
      <c r="MM60" s="131"/>
      <c r="MN60" s="131"/>
      <c r="MO60" s="131"/>
      <c r="MP60" s="131"/>
      <c r="MQ60" s="131"/>
      <c r="MR60" s="131"/>
      <c r="MS60" s="131"/>
      <c r="MT60" s="131"/>
      <c r="MU60" s="131"/>
      <c r="MV60" s="131"/>
      <c r="MW60" s="131"/>
      <c r="MX60" s="131"/>
      <c r="MY60" s="131"/>
      <c r="MZ60" s="131"/>
      <c r="NA60" s="131"/>
      <c r="NB60" s="131"/>
      <c r="NC60" s="131"/>
      <c r="ND60" s="131"/>
      <c r="NE60" s="131"/>
      <c r="NF60" s="131"/>
      <c r="NG60" s="131"/>
      <c r="NH60" s="131"/>
      <c r="NI60" s="131"/>
      <c r="NJ60" s="131"/>
      <c r="NK60" s="131"/>
      <c r="NL60" s="131"/>
      <c r="NM60" s="131"/>
      <c r="NN60" s="131"/>
      <c r="NO60" s="131"/>
      <c r="NP60" s="131"/>
      <c r="NQ60" s="131"/>
      <c r="NR60" s="131"/>
      <c r="NS60" s="131"/>
      <c r="NT60" s="131"/>
      <c r="NU60" s="131"/>
      <c r="NV60" s="131"/>
      <c r="NW60" s="24">
        <f t="shared" si="9"/>
        <v>0</v>
      </c>
      <c r="NX60" s="56" t="s">
        <v>72</v>
      </c>
      <c r="NY60" s="127">
        <v>930.6</v>
      </c>
      <c r="NZ60" s="78">
        <f t="shared" si="2"/>
        <v>930.6</v>
      </c>
      <c r="OA60" s="78">
        <v>544.5</v>
      </c>
      <c r="OB60" s="127">
        <f t="shared" si="0"/>
        <v>0</v>
      </c>
      <c r="OC60" s="153">
        <v>930.6</v>
      </c>
      <c r="OD60" s="108">
        <f t="shared" si="10"/>
        <v>1.7090909090909092</v>
      </c>
      <c r="OE60" s="160" t="s">
        <v>509</v>
      </c>
    </row>
    <row r="61" spans="1:395" s="5" customFormat="1" ht="12.75" customHeight="1" x14ac:dyDescent="0.25">
      <c r="A61" s="62">
        <v>44536</v>
      </c>
      <c r="B61" s="106" t="s">
        <v>466</v>
      </c>
      <c r="C61" s="129"/>
      <c r="D61" s="129"/>
      <c r="E61" s="130"/>
      <c r="F61" s="130"/>
      <c r="G61" s="130"/>
      <c r="H61" s="130"/>
      <c r="I61" s="130"/>
      <c r="J61" s="130"/>
      <c r="K61" s="130"/>
      <c r="L61" s="130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  <c r="AB61" s="131"/>
      <c r="AC61" s="131"/>
      <c r="AD61" s="131"/>
      <c r="AE61" s="131"/>
      <c r="AF61" s="131"/>
      <c r="AG61" s="131"/>
      <c r="AH61" s="131"/>
      <c r="AI61" s="131"/>
      <c r="AJ61" s="131"/>
      <c r="AK61" s="131"/>
      <c r="AL61" s="131"/>
      <c r="AM61" s="131"/>
      <c r="AN61" s="131"/>
      <c r="AO61" s="131"/>
      <c r="AP61" s="131"/>
      <c r="AQ61" s="131"/>
      <c r="AR61" s="131"/>
      <c r="AS61" s="131"/>
      <c r="AT61" s="131"/>
      <c r="AU61" s="131"/>
      <c r="AV61" s="131"/>
      <c r="AW61" s="131"/>
      <c r="AX61" s="131"/>
      <c r="AY61" s="131"/>
      <c r="AZ61" s="131"/>
      <c r="BA61" s="131"/>
      <c r="BB61" s="131"/>
      <c r="BC61" s="131"/>
      <c r="BD61" s="131"/>
      <c r="BE61" s="131"/>
      <c r="BF61" s="131"/>
      <c r="BG61" s="131"/>
      <c r="BH61" s="131"/>
      <c r="BI61" s="131"/>
      <c r="BJ61" s="131"/>
      <c r="BK61" s="131"/>
      <c r="BL61" s="131"/>
      <c r="BM61" s="131"/>
      <c r="BN61" s="131"/>
      <c r="BO61" s="131"/>
      <c r="BP61" s="131"/>
      <c r="BQ61" s="131"/>
      <c r="BR61" s="131"/>
      <c r="BS61" s="131"/>
      <c r="BT61" s="131"/>
      <c r="BU61" s="131"/>
      <c r="BV61" s="131"/>
      <c r="BW61" s="131"/>
      <c r="BX61" s="131"/>
      <c r="BY61" s="131"/>
      <c r="BZ61" s="131"/>
      <c r="CA61" s="131"/>
      <c r="CB61" s="131"/>
      <c r="CC61" s="131"/>
      <c r="CD61" s="131"/>
      <c r="CE61" s="131"/>
      <c r="CF61" s="131"/>
      <c r="CG61" s="131"/>
      <c r="CH61" s="131"/>
      <c r="CI61" s="131"/>
      <c r="CJ61" s="131"/>
      <c r="CK61" s="131"/>
      <c r="CL61" s="131"/>
      <c r="CM61" s="131"/>
      <c r="CN61" s="131"/>
      <c r="CO61" s="131"/>
      <c r="CP61" s="131"/>
      <c r="CQ61" s="131"/>
      <c r="CR61" s="131"/>
      <c r="CS61" s="131"/>
      <c r="CT61" s="131"/>
      <c r="CU61" s="131"/>
      <c r="CV61" s="131"/>
      <c r="CW61" s="131"/>
      <c r="CX61" s="131"/>
      <c r="CY61" s="131"/>
      <c r="CZ61" s="131"/>
      <c r="DA61" s="131"/>
      <c r="DB61" s="131"/>
      <c r="DC61" s="131"/>
      <c r="DD61" s="131"/>
      <c r="DE61" s="131"/>
      <c r="DF61" s="131"/>
      <c r="DG61" s="131"/>
      <c r="DH61" s="131"/>
      <c r="DI61" s="131"/>
      <c r="DJ61" s="131"/>
      <c r="DK61" s="131"/>
      <c r="DL61" s="131"/>
      <c r="DM61" s="131"/>
      <c r="DN61" s="131"/>
      <c r="DO61" s="131"/>
      <c r="DP61" s="131"/>
      <c r="DQ61" s="131"/>
      <c r="DR61" s="131"/>
      <c r="DS61" s="131"/>
      <c r="DT61" s="131"/>
      <c r="DU61" s="131"/>
      <c r="DV61" s="131"/>
      <c r="DW61" s="131"/>
      <c r="DX61" s="131"/>
      <c r="DY61" s="131"/>
      <c r="DZ61" s="131"/>
      <c r="EA61" s="131"/>
      <c r="EB61" s="131"/>
      <c r="EC61" s="131"/>
      <c r="ED61" s="131"/>
      <c r="EE61" s="131"/>
      <c r="EF61" s="131"/>
      <c r="EG61" s="131"/>
      <c r="EH61" s="131"/>
      <c r="EI61" s="131"/>
      <c r="EJ61" s="131"/>
      <c r="EK61" s="131"/>
      <c r="EL61" s="131"/>
      <c r="EM61" s="131"/>
      <c r="EN61" s="131"/>
      <c r="EO61" s="131"/>
      <c r="EP61" s="131"/>
      <c r="EQ61" s="131"/>
      <c r="ER61" s="131"/>
      <c r="ES61" s="131"/>
      <c r="ET61" s="131"/>
      <c r="EU61" s="131"/>
      <c r="EV61" s="131"/>
      <c r="EW61" s="131"/>
      <c r="EX61" s="131"/>
      <c r="EY61" s="131"/>
      <c r="EZ61" s="131"/>
      <c r="FA61" s="131"/>
      <c r="FB61" s="131"/>
      <c r="FC61" s="131"/>
      <c r="FD61" s="131"/>
      <c r="FE61" s="131"/>
      <c r="FF61" s="131"/>
      <c r="FG61" s="131"/>
      <c r="FH61" s="131"/>
      <c r="FI61" s="131"/>
      <c r="FJ61" s="131"/>
      <c r="FK61" s="131"/>
      <c r="FL61" s="131"/>
      <c r="FM61" s="131"/>
      <c r="FN61" s="131"/>
      <c r="FO61" s="131"/>
      <c r="FP61" s="131"/>
      <c r="FQ61" s="131"/>
      <c r="FR61" s="131"/>
      <c r="FS61" s="131"/>
      <c r="FT61" s="131"/>
      <c r="FU61" s="131"/>
      <c r="FV61" s="131"/>
      <c r="FW61" s="131"/>
      <c r="FX61" s="131"/>
      <c r="FY61" s="131"/>
      <c r="FZ61" s="131"/>
      <c r="GA61" s="131"/>
      <c r="GB61" s="131"/>
      <c r="GC61" s="131"/>
      <c r="GD61" s="131"/>
      <c r="GE61" s="131"/>
      <c r="GF61" s="131"/>
      <c r="GG61" s="131"/>
      <c r="GH61" s="131"/>
      <c r="GI61" s="131"/>
      <c r="GJ61" s="131"/>
      <c r="GK61" s="131"/>
      <c r="GL61" s="131"/>
      <c r="GM61" s="131"/>
      <c r="GN61" s="131"/>
      <c r="GO61" s="131"/>
      <c r="GP61" s="131"/>
      <c r="GQ61" s="131"/>
      <c r="GR61" s="131"/>
      <c r="GS61" s="131"/>
      <c r="GT61" s="131"/>
      <c r="GU61" s="131"/>
      <c r="GV61" s="131"/>
      <c r="GW61" s="131"/>
      <c r="GX61" s="131"/>
      <c r="GY61" s="131"/>
      <c r="GZ61" s="131"/>
      <c r="HA61" s="131"/>
      <c r="HB61" s="131"/>
      <c r="HC61" s="131"/>
      <c r="HD61" s="131"/>
      <c r="HE61" s="131"/>
      <c r="HF61" s="131"/>
      <c r="HG61" s="131"/>
      <c r="HH61" s="131"/>
      <c r="HI61" s="131"/>
      <c r="HJ61" s="131"/>
      <c r="HK61" s="131"/>
      <c r="HL61" s="131"/>
      <c r="HM61" s="131"/>
      <c r="HN61" s="131"/>
      <c r="HO61" s="131"/>
      <c r="HP61" s="131"/>
      <c r="HQ61" s="131"/>
      <c r="HR61" s="131"/>
      <c r="HS61" s="131"/>
      <c r="HT61" s="131"/>
      <c r="HU61" s="131"/>
      <c r="HV61" s="131"/>
      <c r="HW61" s="131"/>
      <c r="HX61" s="131"/>
      <c r="HY61" s="131"/>
      <c r="HZ61" s="131"/>
      <c r="IA61" s="131"/>
      <c r="IB61" s="131"/>
      <c r="IC61" s="131"/>
      <c r="ID61" s="131"/>
      <c r="IE61" s="131"/>
      <c r="IF61" s="131"/>
      <c r="IG61" s="131"/>
      <c r="IH61" s="131"/>
      <c r="II61" s="131"/>
      <c r="IJ61" s="131"/>
      <c r="IK61" s="131"/>
      <c r="IL61" s="131"/>
      <c r="IM61" s="131"/>
      <c r="IN61" s="131"/>
      <c r="IO61" s="131"/>
      <c r="IP61" s="131"/>
      <c r="IQ61" s="131"/>
      <c r="IR61" s="131"/>
      <c r="IS61" s="131"/>
      <c r="IT61" s="131"/>
      <c r="IU61" s="131"/>
      <c r="IV61" s="131"/>
      <c r="IW61" s="131"/>
      <c r="IX61" s="131"/>
      <c r="IY61" s="131"/>
      <c r="IZ61" s="131"/>
      <c r="JA61" s="131"/>
      <c r="JB61" s="131"/>
      <c r="JC61" s="131"/>
      <c r="JD61" s="131"/>
      <c r="JE61" s="131"/>
      <c r="JF61" s="131"/>
      <c r="JG61" s="131"/>
      <c r="JH61" s="131"/>
      <c r="JI61" s="131"/>
      <c r="JJ61" s="131"/>
      <c r="JK61" s="131"/>
      <c r="JL61" s="131"/>
      <c r="JM61" s="131"/>
      <c r="JN61" s="131"/>
      <c r="JO61" s="131"/>
      <c r="JP61" s="131"/>
      <c r="JQ61" s="131"/>
      <c r="JR61" s="131"/>
      <c r="JS61" s="131"/>
      <c r="JT61" s="131"/>
      <c r="JU61" s="131"/>
      <c r="JV61" s="131"/>
      <c r="JW61" s="131"/>
      <c r="JX61" s="131"/>
      <c r="JY61" s="131"/>
      <c r="JZ61" s="131"/>
      <c r="KA61" s="131"/>
      <c r="KB61" s="131"/>
      <c r="KC61" s="131"/>
      <c r="KD61" s="131"/>
      <c r="KE61" s="131"/>
      <c r="KF61" s="131"/>
      <c r="KG61" s="131"/>
      <c r="KH61" s="131"/>
      <c r="KI61" s="131"/>
      <c r="KJ61" s="131"/>
      <c r="KK61" s="131"/>
      <c r="KL61" s="131"/>
      <c r="KM61" s="131"/>
      <c r="KN61" s="131"/>
      <c r="KO61" s="131"/>
      <c r="KP61" s="131"/>
      <c r="KQ61" s="131"/>
      <c r="KR61" s="131"/>
      <c r="KS61" s="131"/>
      <c r="KT61" s="131"/>
      <c r="KU61" s="131"/>
      <c r="KV61" s="131"/>
      <c r="KW61" s="131"/>
      <c r="KX61" s="131"/>
      <c r="KY61" s="131"/>
      <c r="KZ61" s="131"/>
      <c r="LA61" s="131"/>
      <c r="LB61" s="131"/>
      <c r="LC61" s="131"/>
      <c r="LD61" s="131"/>
      <c r="LE61" s="131"/>
      <c r="LF61" s="131"/>
      <c r="LG61" s="131"/>
      <c r="LH61" s="131"/>
      <c r="LI61" s="131"/>
      <c r="LJ61" s="131"/>
      <c r="LK61" s="131"/>
      <c r="LL61" s="131"/>
      <c r="LM61" s="131"/>
      <c r="LN61" s="131"/>
      <c r="LO61" s="131"/>
      <c r="LP61" s="131"/>
      <c r="LQ61" s="131"/>
      <c r="LR61" s="131"/>
      <c r="LS61" s="131"/>
      <c r="LT61" s="131"/>
      <c r="LU61" s="131"/>
      <c r="LV61" s="131"/>
      <c r="LW61" s="131"/>
      <c r="LX61" s="131"/>
      <c r="LY61" s="131"/>
      <c r="LZ61" s="131"/>
      <c r="MA61" s="131"/>
      <c r="MB61" s="131"/>
      <c r="MC61" s="131"/>
      <c r="MD61" s="131"/>
      <c r="ME61" s="131"/>
      <c r="MF61" s="131"/>
      <c r="MG61" s="131"/>
      <c r="MH61" s="131"/>
      <c r="MI61" s="131"/>
      <c r="MJ61" s="131"/>
      <c r="MK61" s="131"/>
      <c r="ML61" s="131"/>
      <c r="MM61" s="131"/>
      <c r="MN61" s="131"/>
      <c r="MO61" s="131"/>
      <c r="MP61" s="131"/>
      <c r="MQ61" s="131"/>
      <c r="MR61" s="131"/>
      <c r="MS61" s="131"/>
      <c r="MT61" s="131"/>
      <c r="MU61" s="131"/>
      <c r="MV61" s="131"/>
      <c r="MW61" s="131"/>
      <c r="MX61" s="131"/>
      <c r="MY61" s="131"/>
      <c r="MZ61" s="131"/>
      <c r="NA61" s="131"/>
      <c r="NB61" s="131"/>
      <c r="NC61" s="131"/>
      <c r="ND61" s="131"/>
      <c r="NE61" s="131"/>
      <c r="NF61" s="131"/>
      <c r="NG61" s="131"/>
      <c r="NH61" s="131"/>
      <c r="NI61" s="131"/>
      <c r="NJ61" s="131"/>
      <c r="NK61" s="131"/>
      <c r="NL61" s="131"/>
      <c r="NM61" s="131"/>
      <c r="NN61" s="131"/>
      <c r="NO61" s="131"/>
      <c r="NP61" s="131"/>
      <c r="NQ61" s="131"/>
      <c r="NR61" s="131"/>
      <c r="NS61" s="131"/>
      <c r="NT61" s="131"/>
      <c r="NU61" s="131"/>
      <c r="NV61" s="131"/>
      <c r="NW61" s="24">
        <f t="shared" ref="NW61:NW109" si="11">SUBTOTAL(9,C61:NV61)</f>
        <v>0</v>
      </c>
      <c r="NX61" s="56" t="s">
        <v>36</v>
      </c>
      <c r="NY61" s="127">
        <v>1548</v>
      </c>
      <c r="NZ61" s="78">
        <f t="shared" si="2"/>
        <v>0</v>
      </c>
      <c r="OA61" s="78">
        <v>1154.0999999999999</v>
      </c>
      <c r="OB61" s="127">
        <f t="shared" si="0"/>
        <v>1548</v>
      </c>
      <c r="OC61" s="153"/>
      <c r="OD61" s="108">
        <f t="shared" si="10"/>
        <v>1.3413049129191579</v>
      </c>
      <c r="OE61" s="160" t="s">
        <v>535</v>
      </c>
    </row>
    <row r="62" spans="1:395" s="5" customFormat="1" ht="12.75" customHeight="1" x14ac:dyDescent="0.25">
      <c r="A62" s="62">
        <v>44536</v>
      </c>
      <c r="B62" s="106" t="s">
        <v>45</v>
      </c>
      <c r="C62" s="129"/>
      <c r="D62" s="129"/>
      <c r="E62" s="130"/>
      <c r="F62" s="130"/>
      <c r="G62" s="130"/>
      <c r="H62" s="130"/>
      <c r="I62" s="130"/>
      <c r="J62" s="130"/>
      <c r="K62" s="130"/>
      <c r="L62" s="130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1"/>
      <c r="AF62" s="131"/>
      <c r="AG62" s="131"/>
      <c r="AH62" s="131"/>
      <c r="AI62" s="131"/>
      <c r="AJ62" s="131"/>
      <c r="AK62" s="131"/>
      <c r="AL62" s="131"/>
      <c r="AM62" s="131"/>
      <c r="AN62" s="131"/>
      <c r="AO62" s="131"/>
      <c r="AP62" s="131"/>
      <c r="AQ62" s="131"/>
      <c r="AR62" s="131"/>
      <c r="AS62" s="131"/>
      <c r="AT62" s="131"/>
      <c r="AU62" s="131"/>
      <c r="AV62" s="131"/>
      <c r="AW62" s="131"/>
      <c r="AX62" s="131"/>
      <c r="AY62" s="131"/>
      <c r="AZ62" s="131"/>
      <c r="BA62" s="131"/>
      <c r="BB62" s="131"/>
      <c r="BC62" s="131"/>
      <c r="BD62" s="131"/>
      <c r="BE62" s="131"/>
      <c r="BF62" s="131"/>
      <c r="BG62" s="131"/>
      <c r="BH62" s="131"/>
      <c r="BI62" s="131"/>
      <c r="BJ62" s="131"/>
      <c r="BK62" s="131"/>
      <c r="BL62" s="131"/>
      <c r="BM62" s="131"/>
      <c r="BN62" s="131"/>
      <c r="BO62" s="131"/>
      <c r="BP62" s="131"/>
      <c r="BQ62" s="131"/>
      <c r="BR62" s="131"/>
      <c r="BS62" s="131"/>
      <c r="BT62" s="131"/>
      <c r="BU62" s="131"/>
      <c r="BV62" s="131"/>
      <c r="BW62" s="131"/>
      <c r="BX62" s="131"/>
      <c r="BY62" s="131"/>
      <c r="BZ62" s="131"/>
      <c r="CA62" s="131"/>
      <c r="CB62" s="131"/>
      <c r="CC62" s="131"/>
      <c r="CD62" s="131"/>
      <c r="CE62" s="131"/>
      <c r="CF62" s="131"/>
      <c r="CG62" s="131"/>
      <c r="CH62" s="131"/>
      <c r="CI62" s="131"/>
      <c r="CJ62" s="131"/>
      <c r="CK62" s="131"/>
      <c r="CL62" s="131"/>
      <c r="CM62" s="131"/>
      <c r="CN62" s="131"/>
      <c r="CO62" s="131"/>
      <c r="CP62" s="131"/>
      <c r="CQ62" s="131"/>
      <c r="CR62" s="131"/>
      <c r="CS62" s="131"/>
      <c r="CT62" s="131"/>
      <c r="CU62" s="131"/>
      <c r="CV62" s="131"/>
      <c r="CW62" s="131"/>
      <c r="CX62" s="131"/>
      <c r="CY62" s="131"/>
      <c r="CZ62" s="131"/>
      <c r="DA62" s="131"/>
      <c r="DB62" s="131"/>
      <c r="DC62" s="131"/>
      <c r="DD62" s="131"/>
      <c r="DE62" s="131"/>
      <c r="DF62" s="131"/>
      <c r="DG62" s="131"/>
      <c r="DH62" s="131"/>
      <c r="DI62" s="131"/>
      <c r="DJ62" s="131"/>
      <c r="DK62" s="131"/>
      <c r="DL62" s="131"/>
      <c r="DM62" s="131"/>
      <c r="DN62" s="131"/>
      <c r="DO62" s="131"/>
      <c r="DP62" s="131"/>
      <c r="DQ62" s="131"/>
      <c r="DR62" s="131"/>
      <c r="DS62" s="131"/>
      <c r="DT62" s="131"/>
      <c r="DU62" s="131"/>
      <c r="DV62" s="131"/>
      <c r="DW62" s="131"/>
      <c r="DX62" s="131"/>
      <c r="DY62" s="131"/>
      <c r="DZ62" s="131"/>
      <c r="EA62" s="131"/>
      <c r="EB62" s="131"/>
      <c r="EC62" s="131"/>
      <c r="ED62" s="131"/>
      <c r="EE62" s="131"/>
      <c r="EF62" s="131"/>
      <c r="EG62" s="131"/>
      <c r="EH62" s="131"/>
      <c r="EI62" s="131"/>
      <c r="EJ62" s="131"/>
      <c r="EK62" s="131"/>
      <c r="EL62" s="131"/>
      <c r="EM62" s="131"/>
      <c r="EN62" s="131"/>
      <c r="EO62" s="131"/>
      <c r="EP62" s="131"/>
      <c r="EQ62" s="131"/>
      <c r="ER62" s="131"/>
      <c r="ES62" s="131"/>
      <c r="ET62" s="131"/>
      <c r="EU62" s="131"/>
      <c r="EV62" s="131"/>
      <c r="EW62" s="131"/>
      <c r="EX62" s="131"/>
      <c r="EY62" s="131"/>
      <c r="EZ62" s="131"/>
      <c r="FA62" s="131"/>
      <c r="FB62" s="131"/>
      <c r="FC62" s="131"/>
      <c r="FD62" s="131"/>
      <c r="FE62" s="131"/>
      <c r="FF62" s="131"/>
      <c r="FG62" s="131"/>
      <c r="FH62" s="131"/>
      <c r="FI62" s="131"/>
      <c r="FJ62" s="131"/>
      <c r="FK62" s="131"/>
      <c r="FL62" s="131"/>
      <c r="FM62" s="131"/>
      <c r="FN62" s="131"/>
      <c r="FO62" s="131"/>
      <c r="FP62" s="131"/>
      <c r="FQ62" s="131"/>
      <c r="FR62" s="131"/>
      <c r="FS62" s="131"/>
      <c r="FT62" s="131"/>
      <c r="FU62" s="131"/>
      <c r="FV62" s="131"/>
      <c r="FW62" s="131"/>
      <c r="FX62" s="131"/>
      <c r="FY62" s="131"/>
      <c r="FZ62" s="131"/>
      <c r="GA62" s="131"/>
      <c r="GB62" s="131"/>
      <c r="GC62" s="131"/>
      <c r="GD62" s="131"/>
      <c r="GE62" s="131"/>
      <c r="GF62" s="131"/>
      <c r="GG62" s="131"/>
      <c r="GH62" s="131"/>
      <c r="GI62" s="131"/>
      <c r="GJ62" s="131"/>
      <c r="GK62" s="131"/>
      <c r="GL62" s="131"/>
      <c r="GM62" s="131"/>
      <c r="GN62" s="131"/>
      <c r="GO62" s="131"/>
      <c r="GP62" s="131"/>
      <c r="GQ62" s="131"/>
      <c r="GR62" s="131"/>
      <c r="GS62" s="131"/>
      <c r="GT62" s="131"/>
      <c r="GU62" s="131"/>
      <c r="GV62" s="131"/>
      <c r="GW62" s="131"/>
      <c r="GX62" s="131"/>
      <c r="GY62" s="131"/>
      <c r="GZ62" s="131"/>
      <c r="HA62" s="131"/>
      <c r="HB62" s="131"/>
      <c r="HC62" s="131"/>
      <c r="HD62" s="131"/>
      <c r="HE62" s="131"/>
      <c r="HF62" s="131"/>
      <c r="HG62" s="131"/>
      <c r="HH62" s="131"/>
      <c r="HI62" s="131"/>
      <c r="HJ62" s="131"/>
      <c r="HK62" s="131"/>
      <c r="HL62" s="131"/>
      <c r="HM62" s="131"/>
      <c r="HN62" s="131"/>
      <c r="HO62" s="131"/>
      <c r="HP62" s="131"/>
      <c r="HQ62" s="131"/>
      <c r="HR62" s="131"/>
      <c r="HS62" s="131"/>
      <c r="HT62" s="131"/>
      <c r="HU62" s="131"/>
      <c r="HV62" s="131"/>
      <c r="HW62" s="131"/>
      <c r="HX62" s="131"/>
      <c r="HY62" s="131"/>
      <c r="HZ62" s="131"/>
      <c r="IA62" s="131"/>
      <c r="IB62" s="131"/>
      <c r="IC62" s="131"/>
      <c r="ID62" s="131"/>
      <c r="IE62" s="131"/>
      <c r="IF62" s="131"/>
      <c r="IG62" s="131"/>
      <c r="IH62" s="131"/>
      <c r="II62" s="131"/>
      <c r="IJ62" s="131"/>
      <c r="IK62" s="131"/>
      <c r="IL62" s="131"/>
      <c r="IM62" s="131"/>
      <c r="IN62" s="131"/>
      <c r="IO62" s="131"/>
      <c r="IP62" s="131"/>
      <c r="IQ62" s="131"/>
      <c r="IR62" s="131"/>
      <c r="IS62" s="131"/>
      <c r="IT62" s="131"/>
      <c r="IU62" s="131"/>
      <c r="IV62" s="131"/>
      <c r="IW62" s="131"/>
      <c r="IX62" s="131"/>
      <c r="IY62" s="131"/>
      <c r="IZ62" s="131"/>
      <c r="JA62" s="131"/>
      <c r="JB62" s="131"/>
      <c r="JC62" s="131"/>
      <c r="JD62" s="131"/>
      <c r="JE62" s="131"/>
      <c r="JF62" s="131"/>
      <c r="JG62" s="131"/>
      <c r="JH62" s="131"/>
      <c r="JI62" s="131"/>
      <c r="JJ62" s="131"/>
      <c r="JK62" s="131"/>
      <c r="JL62" s="131"/>
      <c r="JM62" s="131"/>
      <c r="JN62" s="131"/>
      <c r="JO62" s="131"/>
      <c r="JP62" s="131"/>
      <c r="JQ62" s="131"/>
      <c r="JR62" s="131"/>
      <c r="JS62" s="131"/>
      <c r="JT62" s="131"/>
      <c r="JU62" s="131"/>
      <c r="JV62" s="131"/>
      <c r="JW62" s="131"/>
      <c r="JX62" s="131"/>
      <c r="JY62" s="131"/>
      <c r="JZ62" s="131"/>
      <c r="KA62" s="131"/>
      <c r="KB62" s="131"/>
      <c r="KC62" s="131"/>
      <c r="KD62" s="131"/>
      <c r="KE62" s="131"/>
      <c r="KF62" s="131"/>
      <c r="KG62" s="131"/>
      <c r="KH62" s="131"/>
      <c r="KI62" s="131"/>
      <c r="KJ62" s="131"/>
      <c r="KK62" s="131"/>
      <c r="KL62" s="131"/>
      <c r="KM62" s="131"/>
      <c r="KN62" s="131"/>
      <c r="KO62" s="131"/>
      <c r="KP62" s="131"/>
      <c r="KQ62" s="131"/>
      <c r="KR62" s="131"/>
      <c r="KS62" s="131"/>
      <c r="KT62" s="131"/>
      <c r="KU62" s="131"/>
      <c r="KV62" s="131"/>
      <c r="KW62" s="131"/>
      <c r="KX62" s="131"/>
      <c r="KY62" s="131"/>
      <c r="KZ62" s="131"/>
      <c r="LA62" s="131"/>
      <c r="LB62" s="131"/>
      <c r="LC62" s="131"/>
      <c r="LD62" s="131"/>
      <c r="LE62" s="131"/>
      <c r="LF62" s="131"/>
      <c r="LG62" s="131"/>
      <c r="LH62" s="131"/>
      <c r="LI62" s="131"/>
      <c r="LJ62" s="131"/>
      <c r="LK62" s="131"/>
      <c r="LL62" s="131"/>
      <c r="LM62" s="131"/>
      <c r="LN62" s="131"/>
      <c r="LO62" s="131"/>
      <c r="LP62" s="131"/>
      <c r="LQ62" s="131"/>
      <c r="LR62" s="131"/>
      <c r="LS62" s="131"/>
      <c r="LT62" s="131"/>
      <c r="LU62" s="131"/>
      <c r="LV62" s="131"/>
      <c r="LW62" s="131"/>
      <c r="LX62" s="131"/>
      <c r="LY62" s="131"/>
      <c r="LZ62" s="131"/>
      <c r="MA62" s="131"/>
      <c r="MB62" s="131"/>
      <c r="MC62" s="131"/>
      <c r="MD62" s="131"/>
      <c r="ME62" s="131"/>
      <c r="MF62" s="131"/>
      <c r="MG62" s="131"/>
      <c r="MH62" s="131"/>
      <c r="MI62" s="131"/>
      <c r="MJ62" s="131"/>
      <c r="MK62" s="131"/>
      <c r="ML62" s="131"/>
      <c r="MM62" s="131"/>
      <c r="MN62" s="131"/>
      <c r="MO62" s="131"/>
      <c r="MP62" s="131"/>
      <c r="MQ62" s="131"/>
      <c r="MR62" s="131"/>
      <c r="MS62" s="131"/>
      <c r="MT62" s="131"/>
      <c r="MU62" s="131"/>
      <c r="MV62" s="131"/>
      <c r="MW62" s="131"/>
      <c r="MX62" s="131"/>
      <c r="MY62" s="131"/>
      <c r="MZ62" s="131"/>
      <c r="NA62" s="131"/>
      <c r="NB62" s="131"/>
      <c r="NC62" s="131"/>
      <c r="ND62" s="131"/>
      <c r="NE62" s="131"/>
      <c r="NF62" s="131"/>
      <c r="NG62" s="131"/>
      <c r="NH62" s="131"/>
      <c r="NI62" s="131"/>
      <c r="NJ62" s="131"/>
      <c r="NK62" s="131"/>
      <c r="NL62" s="131"/>
      <c r="NM62" s="131"/>
      <c r="NN62" s="131"/>
      <c r="NO62" s="131"/>
      <c r="NP62" s="131"/>
      <c r="NQ62" s="131"/>
      <c r="NR62" s="131"/>
      <c r="NS62" s="131"/>
      <c r="NT62" s="131"/>
      <c r="NU62" s="131"/>
      <c r="NV62" s="131"/>
      <c r="NW62" s="24">
        <f t="shared" si="11"/>
        <v>0</v>
      </c>
      <c r="NX62" s="56" t="s">
        <v>36</v>
      </c>
      <c r="NY62" s="127">
        <v>2545.8200000000002</v>
      </c>
      <c r="NZ62" s="78">
        <f t="shared" si="2"/>
        <v>0</v>
      </c>
      <c r="OA62" s="78">
        <v>974.74</v>
      </c>
      <c r="OB62" s="127">
        <f t="shared" si="0"/>
        <v>2545.8200000000002</v>
      </c>
      <c r="OC62" s="153"/>
      <c r="OD62" s="108">
        <f t="shared" si="10"/>
        <v>2.6117939142745761</v>
      </c>
      <c r="OE62" s="160" t="s">
        <v>536</v>
      </c>
    </row>
    <row r="63" spans="1:395" s="5" customFormat="1" ht="12.75" customHeight="1" x14ac:dyDescent="0.25">
      <c r="A63" s="62">
        <v>44536</v>
      </c>
      <c r="B63" s="121" t="s">
        <v>30</v>
      </c>
      <c r="C63" s="129"/>
      <c r="D63" s="129"/>
      <c r="E63" s="130"/>
      <c r="F63" s="130"/>
      <c r="G63" s="130"/>
      <c r="H63" s="130"/>
      <c r="I63" s="130"/>
      <c r="J63" s="130"/>
      <c r="K63" s="130"/>
      <c r="L63" s="130"/>
      <c r="M63" s="131"/>
      <c r="N63" s="131"/>
      <c r="O63" s="131"/>
      <c r="P63" s="131"/>
      <c r="Q63" s="131"/>
      <c r="R63" s="131"/>
      <c r="S63" s="131"/>
      <c r="T63" s="131"/>
      <c r="U63" s="131"/>
      <c r="V63" s="131"/>
      <c r="W63" s="131"/>
      <c r="X63" s="131"/>
      <c r="Y63" s="131"/>
      <c r="Z63" s="131"/>
      <c r="AA63" s="131"/>
      <c r="AB63" s="131"/>
      <c r="AC63" s="131"/>
      <c r="AD63" s="131"/>
      <c r="AE63" s="131"/>
      <c r="AF63" s="131"/>
      <c r="AG63" s="131"/>
      <c r="AH63" s="131"/>
      <c r="AI63" s="131"/>
      <c r="AJ63" s="131"/>
      <c r="AK63" s="131"/>
      <c r="AL63" s="131"/>
      <c r="AM63" s="131"/>
      <c r="AN63" s="131"/>
      <c r="AO63" s="131"/>
      <c r="AP63" s="131"/>
      <c r="AQ63" s="131"/>
      <c r="AR63" s="131"/>
      <c r="AS63" s="131"/>
      <c r="AT63" s="131"/>
      <c r="AU63" s="131"/>
      <c r="AV63" s="131"/>
      <c r="AW63" s="131"/>
      <c r="AX63" s="131"/>
      <c r="AY63" s="131"/>
      <c r="AZ63" s="131"/>
      <c r="BA63" s="131"/>
      <c r="BB63" s="131"/>
      <c r="BC63" s="131"/>
      <c r="BD63" s="131"/>
      <c r="BE63" s="131"/>
      <c r="BF63" s="131"/>
      <c r="BG63" s="131"/>
      <c r="BH63" s="131"/>
      <c r="BI63" s="131"/>
      <c r="BJ63" s="131"/>
      <c r="BK63" s="131"/>
      <c r="BL63" s="131"/>
      <c r="BM63" s="131"/>
      <c r="BN63" s="131"/>
      <c r="BO63" s="131"/>
      <c r="BP63" s="131"/>
      <c r="BQ63" s="131"/>
      <c r="BR63" s="131"/>
      <c r="BS63" s="131"/>
      <c r="BT63" s="131"/>
      <c r="BU63" s="131"/>
      <c r="BV63" s="131"/>
      <c r="BW63" s="131"/>
      <c r="BX63" s="131"/>
      <c r="BY63" s="131"/>
      <c r="BZ63" s="131"/>
      <c r="CA63" s="131"/>
      <c r="CB63" s="131"/>
      <c r="CC63" s="131"/>
      <c r="CD63" s="131"/>
      <c r="CE63" s="131"/>
      <c r="CF63" s="131"/>
      <c r="CG63" s="131"/>
      <c r="CH63" s="131"/>
      <c r="CI63" s="131"/>
      <c r="CJ63" s="131"/>
      <c r="CK63" s="131"/>
      <c r="CL63" s="131"/>
      <c r="CM63" s="131"/>
      <c r="CN63" s="131"/>
      <c r="CO63" s="131"/>
      <c r="CP63" s="131"/>
      <c r="CQ63" s="131"/>
      <c r="CR63" s="131"/>
      <c r="CS63" s="131"/>
      <c r="CT63" s="131"/>
      <c r="CU63" s="131"/>
      <c r="CV63" s="131"/>
      <c r="CW63" s="131"/>
      <c r="CX63" s="131"/>
      <c r="CY63" s="131"/>
      <c r="CZ63" s="131"/>
      <c r="DA63" s="131"/>
      <c r="DB63" s="131"/>
      <c r="DC63" s="131"/>
      <c r="DD63" s="131"/>
      <c r="DE63" s="131"/>
      <c r="DF63" s="131"/>
      <c r="DG63" s="131"/>
      <c r="DH63" s="131"/>
      <c r="DI63" s="131"/>
      <c r="DJ63" s="131"/>
      <c r="DK63" s="131"/>
      <c r="DL63" s="131"/>
      <c r="DM63" s="131"/>
      <c r="DN63" s="131"/>
      <c r="DO63" s="131"/>
      <c r="DP63" s="131"/>
      <c r="DQ63" s="131"/>
      <c r="DR63" s="131"/>
      <c r="DS63" s="131"/>
      <c r="DT63" s="131"/>
      <c r="DU63" s="131"/>
      <c r="DV63" s="131"/>
      <c r="DW63" s="131"/>
      <c r="DX63" s="131"/>
      <c r="DY63" s="131"/>
      <c r="DZ63" s="131"/>
      <c r="EA63" s="131"/>
      <c r="EB63" s="131"/>
      <c r="EC63" s="131"/>
      <c r="ED63" s="131"/>
      <c r="EE63" s="131"/>
      <c r="EF63" s="131"/>
      <c r="EG63" s="131"/>
      <c r="EH63" s="131"/>
      <c r="EI63" s="131"/>
      <c r="EJ63" s="131"/>
      <c r="EK63" s="131"/>
      <c r="EL63" s="131"/>
      <c r="EM63" s="131"/>
      <c r="EN63" s="131"/>
      <c r="EO63" s="131"/>
      <c r="EP63" s="131"/>
      <c r="EQ63" s="131"/>
      <c r="ER63" s="131"/>
      <c r="ES63" s="131"/>
      <c r="ET63" s="131"/>
      <c r="EU63" s="131"/>
      <c r="EV63" s="131"/>
      <c r="EW63" s="131"/>
      <c r="EX63" s="131"/>
      <c r="EY63" s="131"/>
      <c r="EZ63" s="131"/>
      <c r="FA63" s="131"/>
      <c r="FB63" s="131"/>
      <c r="FC63" s="131"/>
      <c r="FD63" s="131"/>
      <c r="FE63" s="131"/>
      <c r="FF63" s="131"/>
      <c r="FG63" s="131"/>
      <c r="FH63" s="131"/>
      <c r="FI63" s="131"/>
      <c r="FJ63" s="131"/>
      <c r="FK63" s="131"/>
      <c r="FL63" s="131"/>
      <c r="FM63" s="131"/>
      <c r="FN63" s="131"/>
      <c r="FO63" s="131"/>
      <c r="FP63" s="131"/>
      <c r="FQ63" s="131"/>
      <c r="FR63" s="131"/>
      <c r="FS63" s="131"/>
      <c r="FT63" s="131"/>
      <c r="FU63" s="131"/>
      <c r="FV63" s="131"/>
      <c r="FW63" s="131"/>
      <c r="FX63" s="131"/>
      <c r="FY63" s="131"/>
      <c r="FZ63" s="131"/>
      <c r="GA63" s="131"/>
      <c r="GB63" s="131"/>
      <c r="GC63" s="131"/>
      <c r="GD63" s="131"/>
      <c r="GE63" s="131"/>
      <c r="GF63" s="131"/>
      <c r="GG63" s="131"/>
      <c r="GH63" s="131"/>
      <c r="GI63" s="131"/>
      <c r="GJ63" s="131"/>
      <c r="GK63" s="131"/>
      <c r="GL63" s="131"/>
      <c r="GM63" s="131"/>
      <c r="GN63" s="131"/>
      <c r="GO63" s="131"/>
      <c r="GP63" s="131"/>
      <c r="GQ63" s="131"/>
      <c r="GR63" s="131"/>
      <c r="GS63" s="131"/>
      <c r="GT63" s="131"/>
      <c r="GU63" s="131"/>
      <c r="GV63" s="131"/>
      <c r="GW63" s="131"/>
      <c r="GX63" s="131"/>
      <c r="GY63" s="131"/>
      <c r="GZ63" s="131"/>
      <c r="HA63" s="131"/>
      <c r="HB63" s="131"/>
      <c r="HC63" s="131"/>
      <c r="HD63" s="131"/>
      <c r="HE63" s="131"/>
      <c r="HF63" s="131"/>
      <c r="HG63" s="131"/>
      <c r="HH63" s="131"/>
      <c r="HI63" s="131"/>
      <c r="HJ63" s="131"/>
      <c r="HK63" s="131"/>
      <c r="HL63" s="131"/>
      <c r="HM63" s="131"/>
      <c r="HN63" s="131"/>
      <c r="HO63" s="131"/>
      <c r="HP63" s="131"/>
      <c r="HQ63" s="131"/>
      <c r="HR63" s="131"/>
      <c r="HS63" s="131"/>
      <c r="HT63" s="131"/>
      <c r="HU63" s="131"/>
      <c r="HV63" s="131"/>
      <c r="HW63" s="131"/>
      <c r="HX63" s="131"/>
      <c r="HY63" s="131"/>
      <c r="HZ63" s="131"/>
      <c r="IA63" s="131"/>
      <c r="IB63" s="131"/>
      <c r="IC63" s="131"/>
      <c r="ID63" s="131"/>
      <c r="IE63" s="131"/>
      <c r="IF63" s="131"/>
      <c r="IG63" s="131"/>
      <c r="IH63" s="131"/>
      <c r="II63" s="131"/>
      <c r="IJ63" s="131"/>
      <c r="IK63" s="131"/>
      <c r="IL63" s="131"/>
      <c r="IM63" s="131"/>
      <c r="IN63" s="131"/>
      <c r="IO63" s="131"/>
      <c r="IP63" s="131"/>
      <c r="IQ63" s="131"/>
      <c r="IR63" s="131"/>
      <c r="IS63" s="131"/>
      <c r="IT63" s="131"/>
      <c r="IU63" s="131"/>
      <c r="IV63" s="131"/>
      <c r="IW63" s="131"/>
      <c r="IX63" s="131"/>
      <c r="IY63" s="131"/>
      <c r="IZ63" s="131"/>
      <c r="JA63" s="131"/>
      <c r="JB63" s="131"/>
      <c r="JC63" s="131"/>
      <c r="JD63" s="131"/>
      <c r="JE63" s="131"/>
      <c r="JF63" s="131"/>
      <c r="JG63" s="131"/>
      <c r="JH63" s="131"/>
      <c r="JI63" s="131"/>
      <c r="JJ63" s="131"/>
      <c r="JK63" s="131"/>
      <c r="JL63" s="131"/>
      <c r="JM63" s="131"/>
      <c r="JN63" s="131"/>
      <c r="JO63" s="131"/>
      <c r="JP63" s="131"/>
      <c r="JQ63" s="131"/>
      <c r="JR63" s="131"/>
      <c r="JS63" s="131"/>
      <c r="JT63" s="131"/>
      <c r="JU63" s="131"/>
      <c r="JV63" s="131"/>
      <c r="JW63" s="131"/>
      <c r="JX63" s="131"/>
      <c r="JY63" s="131"/>
      <c r="JZ63" s="131"/>
      <c r="KA63" s="131"/>
      <c r="KB63" s="131"/>
      <c r="KC63" s="131"/>
      <c r="KD63" s="131"/>
      <c r="KE63" s="131"/>
      <c r="KF63" s="131"/>
      <c r="KG63" s="131"/>
      <c r="KH63" s="131"/>
      <c r="KI63" s="131"/>
      <c r="KJ63" s="131"/>
      <c r="KK63" s="131"/>
      <c r="KL63" s="131"/>
      <c r="KM63" s="131"/>
      <c r="KN63" s="131"/>
      <c r="KO63" s="131"/>
      <c r="KP63" s="131"/>
      <c r="KQ63" s="131"/>
      <c r="KR63" s="131"/>
      <c r="KS63" s="131"/>
      <c r="KT63" s="131"/>
      <c r="KU63" s="131"/>
      <c r="KV63" s="131"/>
      <c r="KW63" s="131"/>
      <c r="KX63" s="131"/>
      <c r="KY63" s="131"/>
      <c r="KZ63" s="131"/>
      <c r="LA63" s="131"/>
      <c r="LB63" s="131"/>
      <c r="LC63" s="131"/>
      <c r="LD63" s="131"/>
      <c r="LE63" s="131"/>
      <c r="LF63" s="131"/>
      <c r="LG63" s="131"/>
      <c r="LH63" s="131"/>
      <c r="LI63" s="131"/>
      <c r="LJ63" s="131"/>
      <c r="LK63" s="131"/>
      <c r="LL63" s="131"/>
      <c r="LM63" s="131"/>
      <c r="LN63" s="131"/>
      <c r="LO63" s="131"/>
      <c r="LP63" s="131"/>
      <c r="LQ63" s="131"/>
      <c r="LR63" s="131"/>
      <c r="LS63" s="131"/>
      <c r="LT63" s="131"/>
      <c r="LU63" s="131"/>
      <c r="LV63" s="131"/>
      <c r="LW63" s="131"/>
      <c r="LX63" s="131"/>
      <c r="LY63" s="131"/>
      <c r="LZ63" s="131"/>
      <c r="MA63" s="131"/>
      <c r="MB63" s="131"/>
      <c r="MC63" s="131"/>
      <c r="MD63" s="131"/>
      <c r="ME63" s="131"/>
      <c r="MF63" s="131"/>
      <c r="MG63" s="131"/>
      <c r="MH63" s="131"/>
      <c r="MI63" s="131"/>
      <c r="MJ63" s="131"/>
      <c r="MK63" s="131"/>
      <c r="ML63" s="131"/>
      <c r="MM63" s="131"/>
      <c r="MN63" s="131"/>
      <c r="MO63" s="131"/>
      <c r="MP63" s="131"/>
      <c r="MQ63" s="131"/>
      <c r="MR63" s="131"/>
      <c r="MS63" s="131"/>
      <c r="MT63" s="131"/>
      <c r="MU63" s="131"/>
      <c r="MV63" s="131"/>
      <c r="MW63" s="131"/>
      <c r="MX63" s="131"/>
      <c r="MY63" s="131"/>
      <c r="MZ63" s="131"/>
      <c r="NA63" s="131"/>
      <c r="NB63" s="131"/>
      <c r="NC63" s="131"/>
      <c r="ND63" s="131"/>
      <c r="NE63" s="131"/>
      <c r="NF63" s="131"/>
      <c r="NG63" s="131"/>
      <c r="NH63" s="131"/>
      <c r="NI63" s="131"/>
      <c r="NJ63" s="131"/>
      <c r="NK63" s="131"/>
      <c r="NL63" s="131"/>
      <c r="NM63" s="131"/>
      <c r="NN63" s="131"/>
      <c r="NO63" s="131"/>
      <c r="NP63" s="131"/>
      <c r="NQ63" s="131"/>
      <c r="NR63" s="131"/>
      <c r="NS63" s="131"/>
      <c r="NT63" s="131"/>
      <c r="NU63" s="131"/>
      <c r="NV63" s="131"/>
      <c r="NW63" s="24">
        <f t="shared" si="11"/>
        <v>0</v>
      </c>
      <c r="NX63" s="56" t="s">
        <v>36</v>
      </c>
      <c r="NY63" s="126">
        <v>13048.08</v>
      </c>
      <c r="NZ63" s="78">
        <f t="shared" si="2"/>
        <v>0</v>
      </c>
      <c r="OA63" s="78">
        <v>8722.2999999999993</v>
      </c>
      <c r="OB63" s="127">
        <f t="shared" si="0"/>
        <v>13048.08</v>
      </c>
      <c r="OC63" s="153"/>
      <c r="OD63" s="108">
        <f t="shared" si="10"/>
        <v>1.4959448769246644</v>
      </c>
      <c r="OE63" s="160">
        <v>44598</v>
      </c>
    </row>
    <row r="64" spans="1:395" s="5" customFormat="1" ht="12.75" customHeight="1" x14ac:dyDescent="0.25">
      <c r="A64" s="62">
        <v>44536</v>
      </c>
      <c r="B64" s="106" t="s">
        <v>301</v>
      </c>
      <c r="C64" s="129"/>
      <c r="D64" s="129"/>
      <c r="E64" s="130"/>
      <c r="F64" s="130"/>
      <c r="G64" s="130"/>
      <c r="H64" s="130"/>
      <c r="I64" s="130"/>
      <c r="J64" s="130"/>
      <c r="K64" s="130"/>
      <c r="L64" s="130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1"/>
      <c r="AP64" s="131"/>
      <c r="AQ64" s="131"/>
      <c r="AR64" s="131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1"/>
      <c r="BD64" s="131"/>
      <c r="BE64" s="131"/>
      <c r="BF64" s="131"/>
      <c r="BG64" s="131"/>
      <c r="BH64" s="131"/>
      <c r="BI64" s="131"/>
      <c r="BJ64" s="131"/>
      <c r="BK64" s="131"/>
      <c r="BL64" s="131"/>
      <c r="BM64" s="131"/>
      <c r="BN64" s="131"/>
      <c r="BO64" s="131"/>
      <c r="BP64" s="131"/>
      <c r="BQ64" s="131"/>
      <c r="BR64" s="131"/>
      <c r="BS64" s="131"/>
      <c r="BT64" s="131"/>
      <c r="BU64" s="131"/>
      <c r="BV64" s="131"/>
      <c r="BW64" s="131"/>
      <c r="BX64" s="131"/>
      <c r="BY64" s="131"/>
      <c r="BZ64" s="131"/>
      <c r="CA64" s="131"/>
      <c r="CB64" s="131"/>
      <c r="CC64" s="131"/>
      <c r="CD64" s="131"/>
      <c r="CE64" s="131"/>
      <c r="CF64" s="131"/>
      <c r="CG64" s="131"/>
      <c r="CH64" s="131"/>
      <c r="CI64" s="131"/>
      <c r="CJ64" s="131"/>
      <c r="CK64" s="131"/>
      <c r="CL64" s="131"/>
      <c r="CM64" s="131"/>
      <c r="CN64" s="131"/>
      <c r="CO64" s="131"/>
      <c r="CP64" s="131"/>
      <c r="CQ64" s="131"/>
      <c r="CR64" s="131"/>
      <c r="CS64" s="131"/>
      <c r="CT64" s="131"/>
      <c r="CU64" s="131"/>
      <c r="CV64" s="131"/>
      <c r="CW64" s="131"/>
      <c r="CX64" s="131"/>
      <c r="CY64" s="131"/>
      <c r="CZ64" s="131"/>
      <c r="DA64" s="131"/>
      <c r="DB64" s="131"/>
      <c r="DC64" s="131"/>
      <c r="DD64" s="131"/>
      <c r="DE64" s="131"/>
      <c r="DF64" s="131"/>
      <c r="DG64" s="131"/>
      <c r="DH64" s="131"/>
      <c r="DI64" s="131"/>
      <c r="DJ64" s="131"/>
      <c r="DK64" s="131"/>
      <c r="DL64" s="131"/>
      <c r="DM64" s="131"/>
      <c r="DN64" s="131"/>
      <c r="DO64" s="131"/>
      <c r="DP64" s="131"/>
      <c r="DQ64" s="131"/>
      <c r="DR64" s="131"/>
      <c r="DS64" s="131"/>
      <c r="DT64" s="131"/>
      <c r="DU64" s="131"/>
      <c r="DV64" s="131"/>
      <c r="DW64" s="131"/>
      <c r="DX64" s="131"/>
      <c r="DY64" s="131"/>
      <c r="DZ64" s="131"/>
      <c r="EA64" s="131"/>
      <c r="EB64" s="131"/>
      <c r="EC64" s="131"/>
      <c r="ED64" s="131"/>
      <c r="EE64" s="131"/>
      <c r="EF64" s="131"/>
      <c r="EG64" s="131"/>
      <c r="EH64" s="131"/>
      <c r="EI64" s="131"/>
      <c r="EJ64" s="131"/>
      <c r="EK64" s="131"/>
      <c r="EL64" s="131"/>
      <c r="EM64" s="131"/>
      <c r="EN64" s="131"/>
      <c r="EO64" s="131"/>
      <c r="EP64" s="131"/>
      <c r="EQ64" s="131"/>
      <c r="ER64" s="131"/>
      <c r="ES64" s="131"/>
      <c r="ET64" s="131"/>
      <c r="EU64" s="131"/>
      <c r="EV64" s="131"/>
      <c r="EW64" s="131"/>
      <c r="EX64" s="131"/>
      <c r="EY64" s="131"/>
      <c r="EZ64" s="131"/>
      <c r="FA64" s="131"/>
      <c r="FB64" s="131"/>
      <c r="FC64" s="131"/>
      <c r="FD64" s="131"/>
      <c r="FE64" s="131"/>
      <c r="FF64" s="131"/>
      <c r="FG64" s="131"/>
      <c r="FH64" s="131"/>
      <c r="FI64" s="131"/>
      <c r="FJ64" s="131"/>
      <c r="FK64" s="131"/>
      <c r="FL64" s="131"/>
      <c r="FM64" s="131"/>
      <c r="FN64" s="131"/>
      <c r="FO64" s="131"/>
      <c r="FP64" s="131"/>
      <c r="FQ64" s="131"/>
      <c r="FR64" s="131"/>
      <c r="FS64" s="131"/>
      <c r="FT64" s="131"/>
      <c r="FU64" s="131"/>
      <c r="FV64" s="131"/>
      <c r="FW64" s="131"/>
      <c r="FX64" s="131"/>
      <c r="FY64" s="131"/>
      <c r="FZ64" s="131"/>
      <c r="GA64" s="131"/>
      <c r="GB64" s="131"/>
      <c r="GC64" s="131"/>
      <c r="GD64" s="131"/>
      <c r="GE64" s="131"/>
      <c r="GF64" s="131"/>
      <c r="GG64" s="131"/>
      <c r="GH64" s="131"/>
      <c r="GI64" s="131"/>
      <c r="GJ64" s="131"/>
      <c r="GK64" s="131"/>
      <c r="GL64" s="131"/>
      <c r="GM64" s="131"/>
      <c r="GN64" s="131"/>
      <c r="GO64" s="131"/>
      <c r="GP64" s="131"/>
      <c r="GQ64" s="131"/>
      <c r="GR64" s="131"/>
      <c r="GS64" s="131"/>
      <c r="GT64" s="131"/>
      <c r="GU64" s="131"/>
      <c r="GV64" s="131"/>
      <c r="GW64" s="131"/>
      <c r="GX64" s="131"/>
      <c r="GY64" s="131"/>
      <c r="GZ64" s="131"/>
      <c r="HA64" s="131"/>
      <c r="HB64" s="131"/>
      <c r="HC64" s="131"/>
      <c r="HD64" s="131"/>
      <c r="HE64" s="131"/>
      <c r="HF64" s="131"/>
      <c r="HG64" s="131"/>
      <c r="HH64" s="131"/>
      <c r="HI64" s="131"/>
      <c r="HJ64" s="131"/>
      <c r="HK64" s="131"/>
      <c r="HL64" s="131"/>
      <c r="HM64" s="131"/>
      <c r="HN64" s="131"/>
      <c r="HO64" s="131"/>
      <c r="HP64" s="131"/>
      <c r="HQ64" s="131"/>
      <c r="HR64" s="131"/>
      <c r="HS64" s="131"/>
      <c r="HT64" s="131"/>
      <c r="HU64" s="131"/>
      <c r="HV64" s="131"/>
      <c r="HW64" s="131"/>
      <c r="HX64" s="131"/>
      <c r="HY64" s="131"/>
      <c r="HZ64" s="131"/>
      <c r="IA64" s="131"/>
      <c r="IB64" s="131"/>
      <c r="IC64" s="131"/>
      <c r="ID64" s="131"/>
      <c r="IE64" s="131"/>
      <c r="IF64" s="131"/>
      <c r="IG64" s="131"/>
      <c r="IH64" s="131"/>
      <c r="II64" s="131"/>
      <c r="IJ64" s="131"/>
      <c r="IK64" s="131"/>
      <c r="IL64" s="131"/>
      <c r="IM64" s="131"/>
      <c r="IN64" s="131"/>
      <c r="IO64" s="131"/>
      <c r="IP64" s="131"/>
      <c r="IQ64" s="131"/>
      <c r="IR64" s="131"/>
      <c r="IS64" s="131"/>
      <c r="IT64" s="131"/>
      <c r="IU64" s="131"/>
      <c r="IV64" s="131"/>
      <c r="IW64" s="131"/>
      <c r="IX64" s="131"/>
      <c r="IY64" s="131"/>
      <c r="IZ64" s="131"/>
      <c r="JA64" s="131"/>
      <c r="JB64" s="131"/>
      <c r="JC64" s="131"/>
      <c r="JD64" s="131"/>
      <c r="JE64" s="131"/>
      <c r="JF64" s="131"/>
      <c r="JG64" s="131"/>
      <c r="JH64" s="131"/>
      <c r="JI64" s="131"/>
      <c r="JJ64" s="131"/>
      <c r="JK64" s="131"/>
      <c r="JL64" s="131"/>
      <c r="JM64" s="131"/>
      <c r="JN64" s="131"/>
      <c r="JO64" s="131"/>
      <c r="JP64" s="131"/>
      <c r="JQ64" s="131"/>
      <c r="JR64" s="131"/>
      <c r="JS64" s="131"/>
      <c r="JT64" s="131"/>
      <c r="JU64" s="131"/>
      <c r="JV64" s="131"/>
      <c r="JW64" s="131"/>
      <c r="JX64" s="131"/>
      <c r="JY64" s="131"/>
      <c r="JZ64" s="131"/>
      <c r="KA64" s="131"/>
      <c r="KB64" s="131"/>
      <c r="KC64" s="131"/>
      <c r="KD64" s="131"/>
      <c r="KE64" s="131"/>
      <c r="KF64" s="131"/>
      <c r="KG64" s="131"/>
      <c r="KH64" s="131"/>
      <c r="KI64" s="131"/>
      <c r="KJ64" s="131"/>
      <c r="KK64" s="131"/>
      <c r="KL64" s="131"/>
      <c r="KM64" s="131"/>
      <c r="KN64" s="131"/>
      <c r="KO64" s="131"/>
      <c r="KP64" s="131"/>
      <c r="KQ64" s="131"/>
      <c r="KR64" s="131"/>
      <c r="KS64" s="131"/>
      <c r="KT64" s="131"/>
      <c r="KU64" s="131"/>
      <c r="KV64" s="131"/>
      <c r="KW64" s="131"/>
      <c r="KX64" s="131"/>
      <c r="KY64" s="131"/>
      <c r="KZ64" s="131"/>
      <c r="LA64" s="131"/>
      <c r="LB64" s="131"/>
      <c r="LC64" s="131"/>
      <c r="LD64" s="131"/>
      <c r="LE64" s="131"/>
      <c r="LF64" s="131"/>
      <c r="LG64" s="131"/>
      <c r="LH64" s="131"/>
      <c r="LI64" s="131"/>
      <c r="LJ64" s="131"/>
      <c r="LK64" s="131"/>
      <c r="LL64" s="131"/>
      <c r="LM64" s="131"/>
      <c r="LN64" s="131"/>
      <c r="LO64" s="131"/>
      <c r="LP64" s="131"/>
      <c r="LQ64" s="131"/>
      <c r="LR64" s="131"/>
      <c r="LS64" s="131"/>
      <c r="LT64" s="131"/>
      <c r="LU64" s="131"/>
      <c r="LV64" s="131"/>
      <c r="LW64" s="131"/>
      <c r="LX64" s="131"/>
      <c r="LY64" s="131"/>
      <c r="LZ64" s="131"/>
      <c r="MA64" s="131"/>
      <c r="MB64" s="131"/>
      <c r="MC64" s="131"/>
      <c r="MD64" s="131"/>
      <c r="ME64" s="131"/>
      <c r="MF64" s="131"/>
      <c r="MG64" s="131"/>
      <c r="MH64" s="131"/>
      <c r="MI64" s="131"/>
      <c r="MJ64" s="131"/>
      <c r="MK64" s="131"/>
      <c r="ML64" s="131"/>
      <c r="MM64" s="131"/>
      <c r="MN64" s="131"/>
      <c r="MO64" s="131"/>
      <c r="MP64" s="131"/>
      <c r="MQ64" s="131"/>
      <c r="MR64" s="131"/>
      <c r="MS64" s="131"/>
      <c r="MT64" s="131"/>
      <c r="MU64" s="131"/>
      <c r="MV64" s="131"/>
      <c r="MW64" s="131"/>
      <c r="MX64" s="131"/>
      <c r="MY64" s="131"/>
      <c r="MZ64" s="131"/>
      <c r="NA64" s="131"/>
      <c r="NB64" s="131"/>
      <c r="NC64" s="131"/>
      <c r="ND64" s="131"/>
      <c r="NE64" s="131"/>
      <c r="NF64" s="131"/>
      <c r="NG64" s="131"/>
      <c r="NH64" s="131"/>
      <c r="NI64" s="131"/>
      <c r="NJ64" s="131"/>
      <c r="NK64" s="131"/>
      <c r="NL64" s="131"/>
      <c r="NM64" s="131"/>
      <c r="NN64" s="131"/>
      <c r="NO64" s="131"/>
      <c r="NP64" s="131"/>
      <c r="NQ64" s="131"/>
      <c r="NR64" s="131"/>
      <c r="NS64" s="131"/>
      <c r="NT64" s="131"/>
      <c r="NU64" s="131"/>
      <c r="NV64" s="131"/>
      <c r="NW64" s="24">
        <f t="shared" si="11"/>
        <v>0</v>
      </c>
      <c r="NX64" s="56" t="s">
        <v>36</v>
      </c>
      <c r="NY64" s="127">
        <v>1199.8800000000001</v>
      </c>
      <c r="NZ64" s="78">
        <f t="shared" si="2"/>
        <v>0</v>
      </c>
      <c r="OA64" s="78">
        <v>789.36</v>
      </c>
      <c r="OB64" s="127">
        <f t="shared" si="0"/>
        <v>1199.8800000000001</v>
      </c>
      <c r="OC64" s="153"/>
      <c r="OD64" s="108">
        <f t="shared" si="10"/>
        <v>1.5200668896321072</v>
      </c>
      <c r="OE64" s="160" t="s">
        <v>517</v>
      </c>
    </row>
    <row r="65" spans="1:395" s="5" customFormat="1" ht="12.75" customHeight="1" x14ac:dyDescent="0.25">
      <c r="A65" s="62">
        <v>44536</v>
      </c>
      <c r="B65" s="106" t="s">
        <v>301</v>
      </c>
      <c r="C65" s="129"/>
      <c r="D65" s="129"/>
      <c r="E65" s="130"/>
      <c r="F65" s="130"/>
      <c r="G65" s="130"/>
      <c r="H65" s="130"/>
      <c r="I65" s="130"/>
      <c r="J65" s="130"/>
      <c r="K65" s="130"/>
      <c r="L65" s="130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131"/>
      <c r="AC65" s="131"/>
      <c r="AD65" s="131"/>
      <c r="AE65" s="131"/>
      <c r="AF65" s="131"/>
      <c r="AG65" s="131"/>
      <c r="AH65" s="131"/>
      <c r="AI65" s="131"/>
      <c r="AJ65" s="131"/>
      <c r="AK65" s="131"/>
      <c r="AL65" s="131"/>
      <c r="AM65" s="131"/>
      <c r="AN65" s="131"/>
      <c r="AO65" s="131"/>
      <c r="AP65" s="131"/>
      <c r="AQ65" s="131"/>
      <c r="AR65" s="131"/>
      <c r="AS65" s="131"/>
      <c r="AT65" s="131"/>
      <c r="AU65" s="131"/>
      <c r="AV65" s="131"/>
      <c r="AW65" s="131"/>
      <c r="AX65" s="131"/>
      <c r="AY65" s="131"/>
      <c r="AZ65" s="131"/>
      <c r="BA65" s="131"/>
      <c r="BB65" s="131"/>
      <c r="BC65" s="131"/>
      <c r="BD65" s="131"/>
      <c r="BE65" s="131"/>
      <c r="BF65" s="131"/>
      <c r="BG65" s="131"/>
      <c r="BH65" s="131"/>
      <c r="BI65" s="131"/>
      <c r="BJ65" s="131"/>
      <c r="BK65" s="131"/>
      <c r="BL65" s="131"/>
      <c r="BM65" s="131"/>
      <c r="BN65" s="131"/>
      <c r="BO65" s="131"/>
      <c r="BP65" s="131"/>
      <c r="BQ65" s="131"/>
      <c r="BR65" s="131"/>
      <c r="BS65" s="131"/>
      <c r="BT65" s="131"/>
      <c r="BU65" s="131"/>
      <c r="BV65" s="131"/>
      <c r="BW65" s="131"/>
      <c r="BX65" s="131"/>
      <c r="BY65" s="131"/>
      <c r="BZ65" s="131"/>
      <c r="CA65" s="131"/>
      <c r="CB65" s="131"/>
      <c r="CC65" s="131"/>
      <c r="CD65" s="131"/>
      <c r="CE65" s="131"/>
      <c r="CF65" s="131"/>
      <c r="CG65" s="131"/>
      <c r="CH65" s="131"/>
      <c r="CI65" s="131"/>
      <c r="CJ65" s="131"/>
      <c r="CK65" s="131"/>
      <c r="CL65" s="131"/>
      <c r="CM65" s="131"/>
      <c r="CN65" s="131"/>
      <c r="CO65" s="131"/>
      <c r="CP65" s="131"/>
      <c r="CQ65" s="131"/>
      <c r="CR65" s="131"/>
      <c r="CS65" s="131"/>
      <c r="CT65" s="131"/>
      <c r="CU65" s="131"/>
      <c r="CV65" s="131"/>
      <c r="CW65" s="131"/>
      <c r="CX65" s="131"/>
      <c r="CY65" s="131"/>
      <c r="CZ65" s="131"/>
      <c r="DA65" s="131"/>
      <c r="DB65" s="131"/>
      <c r="DC65" s="131"/>
      <c r="DD65" s="131"/>
      <c r="DE65" s="131"/>
      <c r="DF65" s="131"/>
      <c r="DG65" s="131"/>
      <c r="DH65" s="131"/>
      <c r="DI65" s="131"/>
      <c r="DJ65" s="131"/>
      <c r="DK65" s="131"/>
      <c r="DL65" s="131"/>
      <c r="DM65" s="131"/>
      <c r="DN65" s="131"/>
      <c r="DO65" s="131"/>
      <c r="DP65" s="131"/>
      <c r="DQ65" s="131"/>
      <c r="DR65" s="131"/>
      <c r="DS65" s="131"/>
      <c r="DT65" s="131"/>
      <c r="DU65" s="131"/>
      <c r="DV65" s="131"/>
      <c r="DW65" s="131"/>
      <c r="DX65" s="131"/>
      <c r="DY65" s="131"/>
      <c r="DZ65" s="131"/>
      <c r="EA65" s="131"/>
      <c r="EB65" s="131"/>
      <c r="EC65" s="131"/>
      <c r="ED65" s="131"/>
      <c r="EE65" s="131"/>
      <c r="EF65" s="131"/>
      <c r="EG65" s="131"/>
      <c r="EH65" s="131"/>
      <c r="EI65" s="131"/>
      <c r="EJ65" s="131"/>
      <c r="EK65" s="131"/>
      <c r="EL65" s="131"/>
      <c r="EM65" s="131"/>
      <c r="EN65" s="131"/>
      <c r="EO65" s="131"/>
      <c r="EP65" s="131"/>
      <c r="EQ65" s="131"/>
      <c r="ER65" s="131"/>
      <c r="ES65" s="131"/>
      <c r="ET65" s="131"/>
      <c r="EU65" s="131"/>
      <c r="EV65" s="131"/>
      <c r="EW65" s="131"/>
      <c r="EX65" s="131"/>
      <c r="EY65" s="131"/>
      <c r="EZ65" s="131"/>
      <c r="FA65" s="131"/>
      <c r="FB65" s="131"/>
      <c r="FC65" s="131"/>
      <c r="FD65" s="131"/>
      <c r="FE65" s="131"/>
      <c r="FF65" s="131"/>
      <c r="FG65" s="131"/>
      <c r="FH65" s="131"/>
      <c r="FI65" s="131"/>
      <c r="FJ65" s="131"/>
      <c r="FK65" s="131"/>
      <c r="FL65" s="131"/>
      <c r="FM65" s="131"/>
      <c r="FN65" s="131"/>
      <c r="FO65" s="131"/>
      <c r="FP65" s="131"/>
      <c r="FQ65" s="131"/>
      <c r="FR65" s="131"/>
      <c r="FS65" s="131"/>
      <c r="FT65" s="131"/>
      <c r="FU65" s="131"/>
      <c r="FV65" s="131"/>
      <c r="FW65" s="131"/>
      <c r="FX65" s="131"/>
      <c r="FY65" s="131"/>
      <c r="FZ65" s="131"/>
      <c r="GA65" s="131"/>
      <c r="GB65" s="131"/>
      <c r="GC65" s="131"/>
      <c r="GD65" s="131"/>
      <c r="GE65" s="131"/>
      <c r="GF65" s="131"/>
      <c r="GG65" s="131"/>
      <c r="GH65" s="131"/>
      <c r="GI65" s="131"/>
      <c r="GJ65" s="131"/>
      <c r="GK65" s="131"/>
      <c r="GL65" s="131"/>
      <c r="GM65" s="131"/>
      <c r="GN65" s="131"/>
      <c r="GO65" s="131"/>
      <c r="GP65" s="131"/>
      <c r="GQ65" s="131"/>
      <c r="GR65" s="131"/>
      <c r="GS65" s="131"/>
      <c r="GT65" s="131"/>
      <c r="GU65" s="131"/>
      <c r="GV65" s="131"/>
      <c r="GW65" s="131"/>
      <c r="GX65" s="131"/>
      <c r="GY65" s="131"/>
      <c r="GZ65" s="131"/>
      <c r="HA65" s="131"/>
      <c r="HB65" s="131"/>
      <c r="HC65" s="131"/>
      <c r="HD65" s="131"/>
      <c r="HE65" s="131"/>
      <c r="HF65" s="131"/>
      <c r="HG65" s="131"/>
      <c r="HH65" s="131"/>
      <c r="HI65" s="131"/>
      <c r="HJ65" s="131"/>
      <c r="HK65" s="131"/>
      <c r="HL65" s="131"/>
      <c r="HM65" s="131"/>
      <c r="HN65" s="131"/>
      <c r="HO65" s="131"/>
      <c r="HP65" s="131"/>
      <c r="HQ65" s="131"/>
      <c r="HR65" s="131"/>
      <c r="HS65" s="131"/>
      <c r="HT65" s="131"/>
      <c r="HU65" s="131"/>
      <c r="HV65" s="131"/>
      <c r="HW65" s="131"/>
      <c r="HX65" s="131"/>
      <c r="HY65" s="131"/>
      <c r="HZ65" s="131"/>
      <c r="IA65" s="131"/>
      <c r="IB65" s="131"/>
      <c r="IC65" s="131"/>
      <c r="ID65" s="131"/>
      <c r="IE65" s="131"/>
      <c r="IF65" s="131"/>
      <c r="IG65" s="131"/>
      <c r="IH65" s="131"/>
      <c r="II65" s="131"/>
      <c r="IJ65" s="131"/>
      <c r="IK65" s="131"/>
      <c r="IL65" s="131"/>
      <c r="IM65" s="131"/>
      <c r="IN65" s="131"/>
      <c r="IO65" s="131"/>
      <c r="IP65" s="131"/>
      <c r="IQ65" s="131"/>
      <c r="IR65" s="131"/>
      <c r="IS65" s="131"/>
      <c r="IT65" s="131"/>
      <c r="IU65" s="131"/>
      <c r="IV65" s="131"/>
      <c r="IW65" s="131"/>
      <c r="IX65" s="131"/>
      <c r="IY65" s="131"/>
      <c r="IZ65" s="131"/>
      <c r="JA65" s="131"/>
      <c r="JB65" s="131"/>
      <c r="JC65" s="131"/>
      <c r="JD65" s="131"/>
      <c r="JE65" s="131"/>
      <c r="JF65" s="131"/>
      <c r="JG65" s="131"/>
      <c r="JH65" s="131"/>
      <c r="JI65" s="131"/>
      <c r="JJ65" s="131"/>
      <c r="JK65" s="131"/>
      <c r="JL65" s="131"/>
      <c r="JM65" s="131"/>
      <c r="JN65" s="131"/>
      <c r="JO65" s="131"/>
      <c r="JP65" s="131"/>
      <c r="JQ65" s="131"/>
      <c r="JR65" s="131"/>
      <c r="JS65" s="131"/>
      <c r="JT65" s="131"/>
      <c r="JU65" s="131"/>
      <c r="JV65" s="131"/>
      <c r="JW65" s="131"/>
      <c r="JX65" s="131"/>
      <c r="JY65" s="131"/>
      <c r="JZ65" s="131"/>
      <c r="KA65" s="131"/>
      <c r="KB65" s="131"/>
      <c r="KC65" s="131"/>
      <c r="KD65" s="131"/>
      <c r="KE65" s="131"/>
      <c r="KF65" s="131"/>
      <c r="KG65" s="131"/>
      <c r="KH65" s="131"/>
      <c r="KI65" s="131"/>
      <c r="KJ65" s="131"/>
      <c r="KK65" s="131"/>
      <c r="KL65" s="131"/>
      <c r="KM65" s="131"/>
      <c r="KN65" s="131"/>
      <c r="KO65" s="131"/>
      <c r="KP65" s="131"/>
      <c r="KQ65" s="131"/>
      <c r="KR65" s="131"/>
      <c r="KS65" s="131"/>
      <c r="KT65" s="131"/>
      <c r="KU65" s="131"/>
      <c r="KV65" s="131"/>
      <c r="KW65" s="131"/>
      <c r="KX65" s="131"/>
      <c r="KY65" s="131"/>
      <c r="KZ65" s="131"/>
      <c r="LA65" s="131"/>
      <c r="LB65" s="131"/>
      <c r="LC65" s="131"/>
      <c r="LD65" s="131"/>
      <c r="LE65" s="131"/>
      <c r="LF65" s="131"/>
      <c r="LG65" s="131"/>
      <c r="LH65" s="131"/>
      <c r="LI65" s="131"/>
      <c r="LJ65" s="131"/>
      <c r="LK65" s="131"/>
      <c r="LL65" s="131"/>
      <c r="LM65" s="131"/>
      <c r="LN65" s="131"/>
      <c r="LO65" s="131"/>
      <c r="LP65" s="131"/>
      <c r="LQ65" s="131"/>
      <c r="LR65" s="131"/>
      <c r="LS65" s="131"/>
      <c r="LT65" s="131"/>
      <c r="LU65" s="131"/>
      <c r="LV65" s="131"/>
      <c r="LW65" s="131"/>
      <c r="LX65" s="131"/>
      <c r="LY65" s="131"/>
      <c r="LZ65" s="131"/>
      <c r="MA65" s="131"/>
      <c r="MB65" s="131"/>
      <c r="MC65" s="131"/>
      <c r="MD65" s="131"/>
      <c r="ME65" s="131"/>
      <c r="MF65" s="131"/>
      <c r="MG65" s="131"/>
      <c r="MH65" s="131"/>
      <c r="MI65" s="131"/>
      <c r="MJ65" s="131"/>
      <c r="MK65" s="131"/>
      <c r="ML65" s="131"/>
      <c r="MM65" s="131"/>
      <c r="MN65" s="131"/>
      <c r="MO65" s="131"/>
      <c r="MP65" s="131"/>
      <c r="MQ65" s="131"/>
      <c r="MR65" s="131"/>
      <c r="MS65" s="131"/>
      <c r="MT65" s="131"/>
      <c r="MU65" s="131"/>
      <c r="MV65" s="131"/>
      <c r="MW65" s="131"/>
      <c r="MX65" s="131"/>
      <c r="MY65" s="131"/>
      <c r="MZ65" s="131"/>
      <c r="NA65" s="131"/>
      <c r="NB65" s="131"/>
      <c r="NC65" s="131"/>
      <c r="ND65" s="131"/>
      <c r="NE65" s="131"/>
      <c r="NF65" s="131"/>
      <c r="NG65" s="131"/>
      <c r="NH65" s="131"/>
      <c r="NI65" s="131"/>
      <c r="NJ65" s="131"/>
      <c r="NK65" s="131"/>
      <c r="NL65" s="131"/>
      <c r="NM65" s="131"/>
      <c r="NN65" s="131"/>
      <c r="NO65" s="131"/>
      <c r="NP65" s="131"/>
      <c r="NQ65" s="131"/>
      <c r="NR65" s="131"/>
      <c r="NS65" s="131"/>
      <c r="NT65" s="131"/>
      <c r="NU65" s="131"/>
      <c r="NV65" s="131"/>
      <c r="NW65" s="24">
        <f t="shared" si="11"/>
        <v>0</v>
      </c>
      <c r="NX65" s="56" t="s">
        <v>36</v>
      </c>
      <c r="NY65" s="127">
        <v>6468</v>
      </c>
      <c r="NZ65" s="78">
        <f t="shared" si="2"/>
        <v>0</v>
      </c>
      <c r="OA65" s="78">
        <v>3635.3</v>
      </c>
      <c r="OB65" s="127">
        <f t="shared" si="0"/>
        <v>6468</v>
      </c>
      <c r="OC65" s="153"/>
      <c r="OD65" s="108">
        <f t="shared" si="10"/>
        <v>1.7792204219734271</v>
      </c>
      <c r="OE65" s="160" t="s">
        <v>517</v>
      </c>
    </row>
    <row r="66" spans="1:395" s="5" customFormat="1" ht="12.75" hidden="1" customHeight="1" x14ac:dyDescent="0.25">
      <c r="A66" s="62">
        <v>44537</v>
      </c>
      <c r="B66" s="116" t="s">
        <v>434</v>
      </c>
      <c r="C66" s="129"/>
      <c r="D66" s="129"/>
      <c r="E66" s="130"/>
      <c r="F66" s="130"/>
      <c r="G66" s="130"/>
      <c r="H66" s="130"/>
      <c r="I66" s="130"/>
      <c r="J66" s="130"/>
      <c r="K66" s="130"/>
      <c r="L66" s="130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  <c r="AH66" s="131"/>
      <c r="AI66" s="131"/>
      <c r="AJ66" s="131"/>
      <c r="AK66" s="131"/>
      <c r="AL66" s="131"/>
      <c r="AM66" s="131"/>
      <c r="AN66" s="131"/>
      <c r="AO66" s="131"/>
      <c r="AP66" s="131"/>
      <c r="AQ66" s="131"/>
      <c r="AR66" s="131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1"/>
      <c r="BD66" s="131"/>
      <c r="BE66" s="131"/>
      <c r="BF66" s="131"/>
      <c r="BG66" s="131"/>
      <c r="BH66" s="131"/>
      <c r="BI66" s="131"/>
      <c r="BJ66" s="131"/>
      <c r="BK66" s="131"/>
      <c r="BL66" s="131"/>
      <c r="BM66" s="131"/>
      <c r="BN66" s="131"/>
      <c r="BO66" s="131"/>
      <c r="BP66" s="131"/>
      <c r="BQ66" s="131"/>
      <c r="BR66" s="131"/>
      <c r="BS66" s="131"/>
      <c r="BT66" s="131"/>
      <c r="BU66" s="131"/>
      <c r="BV66" s="131"/>
      <c r="BW66" s="131"/>
      <c r="BX66" s="131"/>
      <c r="BY66" s="131"/>
      <c r="BZ66" s="131"/>
      <c r="CA66" s="131"/>
      <c r="CB66" s="131"/>
      <c r="CC66" s="131"/>
      <c r="CD66" s="131"/>
      <c r="CE66" s="131"/>
      <c r="CF66" s="131"/>
      <c r="CG66" s="131"/>
      <c r="CH66" s="131"/>
      <c r="CI66" s="131"/>
      <c r="CJ66" s="131"/>
      <c r="CK66" s="131"/>
      <c r="CL66" s="131"/>
      <c r="CM66" s="131"/>
      <c r="CN66" s="131"/>
      <c r="CO66" s="131"/>
      <c r="CP66" s="131"/>
      <c r="CQ66" s="131"/>
      <c r="CR66" s="131"/>
      <c r="CS66" s="131"/>
      <c r="CT66" s="131"/>
      <c r="CU66" s="131"/>
      <c r="CV66" s="131"/>
      <c r="CW66" s="131"/>
      <c r="CX66" s="131"/>
      <c r="CY66" s="131"/>
      <c r="CZ66" s="131"/>
      <c r="DA66" s="131"/>
      <c r="DB66" s="131"/>
      <c r="DC66" s="131"/>
      <c r="DD66" s="131"/>
      <c r="DE66" s="131"/>
      <c r="DF66" s="131"/>
      <c r="DG66" s="131"/>
      <c r="DH66" s="131"/>
      <c r="DI66" s="131"/>
      <c r="DJ66" s="131"/>
      <c r="DK66" s="131"/>
      <c r="DL66" s="131"/>
      <c r="DM66" s="131"/>
      <c r="DN66" s="131"/>
      <c r="DO66" s="131"/>
      <c r="DP66" s="131"/>
      <c r="DQ66" s="131"/>
      <c r="DR66" s="131"/>
      <c r="DS66" s="131"/>
      <c r="DT66" s="131"/>
      <c r="DU66" s="131"/>
      <c r="DV66" s="131"/>
      <c r="DW66" s="131"/>
      <c r="DX66" s="131"/>
      <c r="DY66" s="131"/>
      <c r="DZ66" s="131"/>
      <c r="EA66" s="131"/>
      <c r="EB66" s="131"/>
      <c r="EC66" s="131"/>
      <c r="ED66" s="131"/>
      <c r="EE66" s="131"/>
      <c r="EF66" s="131"/>
      <c r="EG66" s="131"/>
      <c r="EH66" s="131"/>
      <c r="EI66" s="131"/>
      <c r="EJ66" s="131"/>
      <c r="EK66" s="131"/>
      <c r="EL66" s="131"/>
      <c r="EM66" s="131"/>
      <c r="EN66" s="131"/>
      <c r="EO66" s="131"/>
      <c r="EP66" s="131"/>
      <c r="EQ66" s="131"/>
      <c r="ER66" s="131"/>
      <c r="ES66" s="131"/>
      <c r="ET66" s="131"/>
      <c r="EU66" s="131"/>
      <c r="EV66" s="131"/>
      <c r="EW66" s="131"/>
      <c r="EX66" s="131"/>
      <c r="EY66" s="131"/>
      <c r="EZ66" s="131"/>
      <c r="FA66" s="131"/>
      <c r="FB66" s="131"/>
      <c r="FC66" s="131"/>
      <c r="FD66" s="131"/>
      <c r="FE66" s="131"/>
      <c r="FF66" s="131"/>
      <c r="FG66" s="131"/>
      <c r="FH66" s="131"/>
      <c r="FI66" s="131"/>
      <c r="FJ66" s="131"/>
      <c r="FK66" s="131"/>
      <c r="FL66" s="131"/>
      <c r="FM66" s="131"/>
      <c r="FN66" s="131"/>
      <c r="FO66" s="131"/>
      <c r="FP66" s="131"/>
      <c r="FQ66" s="131"/>
      <c r="FR66" s="131"/>
      <c r="FS66" s="131"/>
      <c r="FT66" s="131"/>
      <c r="FU66" s="131"/>
      <c r="FV66" s="131"/>
      <c r="FW66" s="131"/>
      <c r="FX66" s="131"/>
      <c r="FY66" s="131"/>
      <c r="FZ66" s="131"/>
      <c r="GA66" s="131"/>
      <c r="GB66" s="131"/>
      <c r="GC66" s="131"/>
      <c r="GD66" s="131"/>
      <c r="GE66" s="131"/>
      <c r="GF66" s="131"/>
      <c r="GG66" s="131"/>
      <c r="GH66" s="131"/>
      <c r="GI66" s="131"/>
      <c r="GJ66" s="131"/>
      <c r="GK66" s="131"/>
      <c r="GL66" s="131"/>
      <c r="GM66" s="131"/>
      <c r="GN66" s="131"/>
      <c r="GO66" s="131"/>
      <c r="GP66" s="131"/>
      <c r="GQ66" s="131"/>
      <c r="GR66" s="131"/>
      <c r="GS66" s="131"/>
      <c r="GT66" s="131"/>
      <c r="GU66" s="131"/>
      <c r="GV66" s="131"/>
      <c r="GW66" s="131"/>
      <c r="GX66" s="131"/>
      <c r="GY66" s="131"/>
      <c r="GZ66" s="131"/>
      <c r="HA66" s="131"/>
      <c r="HB66" s="131"/>
      <c r="HC66" s="131"/>
      <c r="HD66" s="131"/>
      <c r="HE66" s="131"/>
      <c r="HF66" s="131"/>
      <c r="HG66" s="131"/>
      <c r="HH66" s="131"/>
      <c r="HI66" s="131"/>
      <c r="HJ66" s="131"/>
      <c r="HK66" s="131"/>
      <c r="HL66" s="131"/>
      <c r="HM66" s="131"/>
      <c r="HN66" s="131"/>
      <c r="HO66" s="131"/>
      <c r="HP66" s="131"/>
      <c r="HQ66" s="131"/>
      <c r="HR66" s="131"/>
      <c r="HS66" s="131"/>
      <c r="HT66" s="131"/>
      <c r="HU66" s="131"/>
      <c r="HV66" s="131"/>
      <c r="HW66" s="131"/>
      <c r="HX66" s="131"/>
      <c r="HY66" s="131"/>
      <c r="HZ66" s="131"/>
      <c r="IA66" s="131"/>
      <c r="IB66" s="131"/>
      <c r="IC66" s="131"/>
      <c r="ID66" s="131"/>
      <c r="IE66" s="131"/>
      <c r="IF66" s="131"/>
      <c r="IG66" s="131"/>
      <c r="IH66" s="131"/>
      <c r="II66" s="131"/>
      <c r="IJ66" s="131"/>
      <c r="IK66" s="131"/>
      <c r="IL66" s="131"/>
      <c r="IM66" s="131"/>
      <c r="IN66" s="131"/>
      <c r="IO66" s="131"/>
      <c r="IP66" s="131"/>
      <c r="IQ66" s="131"/>
      <c r="IR66" s="131"/>
      <c r="IS66" s="131"/>
      <c r="IT66" s="131"/>
      <c r="IU66" s="131"/>
      <c r="IV66" s="131"/>
      <c r="IW66" s="131"/>
      <c r="IX66" s="131"/>
      <c r="IY66" s="131"/>
      <c r="IZ66" s="131"/>
      <c r="JA66" s="131"/>
      <c r="JB66" s="131"/>
      <c r="JC66" s="131"/>
      <c r="JD66" s="131"/>
      <c r="JE66" s="131"/>
      <c r="JF66" s="131"/>
      <c r="JG66" s="131"/>
      <c r="JH66" s="131"/>
      <c r="JI66" s="131"/>
      <c r="JJ66" s="131"/>
      <c r="JK66" s="131"/>
      <c r="JL66" s="131"/>
      <c r="JM66" s="131"/>
      <c r="JN66" s="131"/>
      <c r="JO66" s="131"/>
      <c r="JP66" s="131"/>
      <c r="JQ66" s="131"/>
      <c r="JR66" s="131"/>
      <c r="JS66" s="131"/>
      <c r="JT66" s="131"/>
      <c r="JU66" s="131"/>
      <c r="JV66" s="131"/>
      <c r="JW66" s="131"/>
      <c r="JX66" s="131"/>
      <c r="JY66" s="131"/>
      <c r="JZ66" s="131"/>
      <c r="KA66" s="131"/>
      <c r="KB66" s="131"/>
      <c r="KC66" s="131"/>
      <c r="KD66" s="131"/>
      <c r="KE66" s="131"/>
      <c r="KF66" s="131"/>
      <c r="KG66" s="131"/>
      <c r="KH66" s="131"/>
      <c r="KI66" s="131"/>
      <c r="KJ66" s="131"/>
      <c r="KK66" s="131"/>
      <c r="KL66" s="131"/>
      <c r="KM66" s="131"/>
      <c r="KN66" s="131"/>
      <c r="KO66" s="131"/>
      <c r="KP66" s="131"/>
      <c r="KQ66" s="131"/>
      <c r="KR66" s="131"/>
      <c r="KS66" s="131"/>
      <c r="KT66" s="131"/>
      <c r="KU66" s="131"/>
      <c r="KV66" s="131"/>
      <c r="KW66" s="131"/>
      <c r="KX66" s="131"/>
      <c r="KY66" s="131"/>
      <c r="KZ66" s="131"/>
      <c r="LA66" s="131"/>
      <c r="LB66" s="131"/>
      <c r="LC66" s="131"/>
      <c r="LD66" s="131"/>
      <c r="LE66" s="131"/>
      <c r="LF66" s="131"/>
      <c r="LG66" s="131"/>
      <c r="LH66" s="131"/>
      <c r="LI66" s="131"/>
      <c r="LJ66" s="131"/>
      <c r="LK66" s="131"/>
      <c r="LL66" s="131"/>
      <c r="LM66" s="131"/>
      <c r="LN66" s="131"/>
      <c r="LO66" s="131"/>
      <c r="LP66" s="131"/>
      <c r="LQ66" s="131"/>
      <c r="LR66" s="131"/>
      <c r="LS66" s="131"/>
      <c r="LT66" s="131"/>
      <c r="LU66" s="131"/>
      <c r="LV66" s="131"/>
      <c r="LW66" s="131"/>
      <c r="LX66" s="131"/>
      <c r="LY66" s="131"/>
      <c r="LZ66" s="131"/>
      <c r="MA66" s="131"/>
      <c r="MB66" s="131"/>
      <c r="MC66" s="131"/>
      <c r="MD66" s="131"/>
      <c r="ME66" s="131"/>
      <c r="MF66" s="131"/>
      <c r="MG66" s="131"/>
      <c r="MH66" s="131"/>
      <c r="MI66" s="131"/>
      <c r="MJ66" s="131"/>
      <c r="MK66" s="131"/>
      <c r="ML66" s="131"/>
      <c r="MM66" s="131"/>
      <c r="MN66" s="131"/>
      <c r="MO66" s="131"/>
      <c r="MP66" s="131"/>
      <c r="MQ66" s="131"/>
      <c r="MR66" s="131"/>
      <c r="MS66" s="131"/>
      <c r="MT66" s="131"/>
      <c r="MU66" s="131"/>
      <c r="MV66" s="131"/>
      <c r="MW66" s="131"/>
      <c r="MX66" s="131"/>
      <c r="MY66" s="131"/>
      <c r="MZ66" s="131"/>
      <c r="NA66" s="131"/>
      <c r="NB66" s="131"/>
      <c r="NC66" s="131"/>
      <c r="ND66" s="131"/>
      <c r="NE66" s="131"/>
      <c r="NF66" s="131"/>
      <c r="NG66" s="131"/>
      <c r="NH66" s="131"/>
      <c r="NI66" s="131"/>
      <c r="NJ66" s="131"/>
      <c r="NK66" s="131"/>
      <c r="NL66" s="131"/>
      <c r="NM66" s="131"/>
      <c r="NN66" s="131"/>
      <c r="NO66" s="131"/>
      <c r="NP66" s="131"/>
      <c r="NQ66" s="131"/>
      <c r="NR66" s="131"/>
      <c r="NS66" s="131"/>
      <c r="NT66" s="131"/>
      <c r="NU66" s="131"/>
      <c r="NV66" s="131"/>
      <c r="NW66" s="24">
        <f t="shared" si="11"/>
        <v>0</v>
      </c>
      <c r="NX66" s="56" t="s">
        <v>72</v>
      </c>
      <c r="NY66" s="127">
        <v>76.31</v>
      </c>
      <c r="NZ66" s="78">
        <f t="shared" si="2"/>
        <v>76.31</v>
      </c>
      <c r="OA66" s="78">
        <v>47.53</v>
      </c>
      <c r="OB66" s="127">
        <f t="shared" ref="OB66:OB128" si="12">NY66-NZ66</f>
        <v>0</v>
      </c>
      <c r="OC66" s="153">
        <v>76.31</v>
      </c>
      <c r="OD66" s="108">
        <f t="shared" ref="OD66:OD97" si="13">NY66/OA66</f>
        <v>1.6055123080159899</v>
      </c>
      <c r="OE66" s="160" t="s">
        <v>523</v>
      </c>
    </row>
    <row r="67" spans="1:395" s="5" customFormat="1" ht="12.75" customHeight="1" x14ac:dyDescent="0.25">
      <c r="A67" s="62">
        <v>44537</v>
      </c>
      <c r="B67" s="116" t="s">
        <v>57</v>
      </c>
      <c r="C67" s="129"/>
      <c r="D67" s="129"/>
      <c r="E67" s="130"/>
      <c r="F67" s="130"/>
      <c r="G67" s="130"/>
      <c r="H67" s="130"/>
      <c r="I67" s="130"/>
      <c r="J67" s="130"/>
      <c r="K67" s="130"/>
      <c r="L67" s="130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  <c r="AE67" s="131"/>
      <c r="AF67" s="131"/>
      <c r="AG67" s="131"/>
      <c r="AH67" s="131"/>
      <c r="AI67" s="131"/>
      <c r="AJ67" s="131"/>
      <c r="AK67" s="131"/>
      <c r="AL67" s="131"/>
      <c r="AM67" s="131"/>
      <c r="AN67" s="131"/>
      <c r="AO67" s="131"/>
      <c r="AP67" s="131"/>
      <c r="AQ67" s="131"/>
      <c r="AR67" s="131"/>
      <c r="AS67" s="131"/>
      <c r="AT67" s="131"/>
      <c r="AU67" s="131"/>
      <c r="AV67" s="131"/>
      <c r="AW67" s="131"/>
      <c r="AX67" s="131"/>
      <c r="AY67" s="131"/>
      <c r="AZ67" s="131"/>
      <c r="BA67" s="131"/>
      <c r="BB67" s="131"/>
      <c r="BC67" s="131"/>
      <c r="BD67" s="131"/>
      <c r="BE67" s="131"/>
      <c r="BF67" s="131"/>
      <c r="BG67" s="131"/>
      <c r="BH67" s="131"/>
      <c r="BI67" s="131"/>
      <c r="BJ67" s="131"/>
      <c r="BK67" s="131"/>
      <c r="BL67" s="131"/>
      <c r="BM67" s="131"/>
      <c r="BN67" s="131"/>
      <c r="BO67" s="131"/>
      <c r="BP67" s="131"/>
      <c r="BQ67" s="131"/>
      <c r="BR67" s="131"/>
      <c r="BS67" s="131"/>
      <c r="BT67" s="131"/>
      <c r="BU67" s="131"/>
      <c r="BV67" s="131"/>
      <c r="BW67" s="131"/>
      <c r="BX67" s="131"/>
      <c r="BY67" s="131"/>
      <c r="BZ67" s="131"/>
      <c r="CA67" s="131"/>
      <c r="CB67" s="131"/>
      <c r="CC67" s="131"/>
      <c r="CD67" s="131"/>
      <c r="CE67" s="131"/>
      <c r="CF67" s="131"/>
      <c r="CG67" s="131"/>
      <c r="CH67" s="131"/>
      <c r="CI67" s="131"/>
      <c r="CJ67" s="131"/>
      <c r="CK67" s="131"/>
      <c r="CL67" s="131"/>
      <c r="CM67" s="131"/>
      <c r="CN67" s="131"/>
      <c r="CO67" s="131"/>
      <c r="CP67" s="131"/>
      <c r="CQ67" s="131"/>
      <c r="CR67" s="131"/>
      <c r="CS67" s="131"/>
      <c r="CT67" s="131"/>
      <c r="CU67" s="131"/>
      <c r="CV67" s="131"/>
      <c r="CW67" s="131"/>
      <c r="CX67" s="131"/>
      <c r="CY67" s="131"/>
      <c r="CZ67" s="131"/>
      <c r="DA67" s="131"/>
      <c r="DB67" s="131"/>
      <c r="DC67" s="131"/>
      <c r="DD67" s="131"/>
      <c r="DE67" s="131"/>
      <c r="DF67" s="131"/>
      <c r="DG67" s="131"/>
      <c r="DH67" s="131"/>
      <c r="DI67" s="131"/>
      <c r="DJ67" s="131"/>
      <c r="DK67" s="131"/>
      <c r="DL67" s="131"/>
      <c r="DM67" s="131"/>
      <c r="DN67" s="131"/>
      <c r="DO67" s="131"/>
      <c r="DP67" s="131"/>
      <c r="DQ67" s="131"/>
      <c r="DR67" s="131"/>
      <c r="DS67" s="131"/>
      <c r="DT67" s="131"/>
      <c r="DU67" s="131"/>
      <c r="DV67" s="131"/>
      <c r="DW67" s="131"/>
      <c r="DX67" s="131"/>
      <c r="DY67" s="131"/>
      <c r="DZ67" s="131"/>
      <c r="EA67" s="131"/>
      <c r="EB67" s="131"/>
      <c r="EC67" s="131"/>
      <c r="ED67" s="131"/>
      <c r="EE67" s="131"/>
      <c r="EF67" s="131"/>
      <c r="EG67" s="131"/>
      <c r="EH67" s="131"/>
      <c r="EI67" s="131"/>
      <c r="EJ67" s="131"/>
      <c r="EK67" s="131"/>
      <c r="EL67" s="131"/>
      <c r="EM67" s="131"/>
      <c r="EN67" s="131"/>
      <c r="EO67" s="131"/>
      <c r="EP67" s="131"/>
      <c r="EQ67" s="131"/>
      <c r="ER67" s="131"/>
      <c r="ES67" s="131"/>
      <c r="ET67" s="131"/>
      <c r="EU67" s="131"/>
      <c r="EV67" s="131"/>
      <c r="EW67" s="131"/>
      <c r="EX67" s="131"/>
      <c r="EY67" s="131"/>
      <c r="EZ67" s="131"/>
      <c r="FA67" s="131"/>
      <c r="FB67" s="131"/>
      <c r="FC67" s="131"/>
      <c r="FD67" s="131"/>
      <c r="FE67" s="131"/>
      <c r="FF67" s="131"/>
      <c r="FG67" s="131"/>
      <c r="FH67" s="131"/>
      <c r="FI67" s="131"/>
      <c r="FJ67" s="131"/>
      <c r="FK67" s="131"/>
      <c r="FL67" s="131"/>
      <c r="FM67" s="131"/>
      <c r="FN67" s="131"/>
      <c r="FO67" s="131"/>
      <c r="FP67" s="131"/>
      <c r="FQ67" s="131"/>
      <c r="FR67" s="131"/>
      <c r="FS67" s="131"/>
      <c r="FT67" s="131"/>
      <c r="FU67" s="131"/>
      <c r="FV67" s="131"/>
      <c r="FW67" s="131"/>
      <c r="FX67" s="131"/>
      <c r="FY67" s="131"/>
      <c r="FZ67" s="131"/>
      <c r="GA67" s="131"/>
      <c r="GB67" s="131"/>
      <c r="GC67" s="131"/>
      <c r="GD67" s="131"/>
      <c r="GE67" s="131"/>
      <c r="GF67" s="131"/>
      <c r="GG67" s="131"/>
      <c r="GH67" s="131"/>
      <c r="GI67" s="131"/>
      <c r="GJ67" s="131"/>
      <c r="GK67" s="131"/>
      <c r="GL67" s="131"/>
      <c r="GM67" s="131"/>
      <c r="GN67" s="131"/>
      <c r="GO67" s="131"/>
      <c r="GP67" s="131"/>
      <c r="GQ67" s="131"/>
      <c r="GR67" s="131"/>
      <c r="GS67" s="131"/>
      <c r="GT67" s="131"/>
      <c r="GU67" s="131"/>
      <c r="GV67" s="131"/>
      <c r="GW67" s="131"/>
      <c r="GX67" s="131"/>
      <c r="GY67" s="131"/>
      <c r="GZ67" s="131"/>
      <c r="HA67" s="131"/>
      <c r="HB67" s="131"/>
      <c r="HC67" s="131"/>
      <c r="HD67" s="131"/>
      <c r="HE67" s="131"/>
      <c r="HF67" s="131"/>
      <c r="HG67" s="131"/>
      <c r="HH67" s="131"/>
      <c r="HI67" s="131"/>
      <c r="HJ67" s="131"/>
      <c r="HK67" s="131"/>
      <c r="HL67" s="131"/>
      <c r="HM67" s="131"/>
      <c r="HN67" s="131"/>
      <c r="HO67" s="131"/>
      <c r="HP67" s="131"/>
      <c r="HQ67" s="131"/>
      <c r="HR67" s="131"/>
      <c r="HS67" s="131"/>
      <c r="HT67" s="131"/>
      <c r="HU67" s="131"/>
      <c r="HV67" s="131"/>
      <c r="HW67" s="131"/>
      <c r="HX67" s="131"/>
      <c r="HY67" s="131"/>
      <c r="HZ67" s="131"/>
      <c r="IA67" s="131"/>
      <c r="IB67" s="131"/>
      <c r="IC67" s="131"/>
      <c r="ID67" s="131"/>
      <c r="IE67" s="131"/>
      <c r="IF67" s="131"/>
      <c r="IG67" s="131"/>
      <c r="IH67" s="131"/>
      <c r="II67" s="131"/>
      <c r="IJ67" s="131"/>
      <c r="IK67" s="131"/>
      <c r="IL67" s="131"/>
      <c r="IM67" s="131"/>
      <c r="IN67" s="131"/>
      <c r="IO67" s="131"/>
      <c r="IP67" s="131"/>
      <c r="IQ67" s="131"/>
      <c r="IR67" s="131"/>
      <c r="IS67" s="131"/>
      <c r="IT67" s="131"/>
      <c r="IU67" s="131"/>
      <c r="IV67" s="131"/>
      <c r="IW67" s="131"/>
      <c r="IX67" s="131"/>
      <c r="IY67" s="131"/>
      <c r="IZ67" s="131"/>
      <c r="JA67" s="131"/>
      <c r="JB67" s="131"/>
      <c r="JC67" s="131"/>
      <c r="JD67" s="131"/>
      <c r="JE67" s="131"/>
      <c r="JF67" s="131"/>
      <c r="JG67" s="131"/>
      <c r="JH67" s="131"/>
      <c r="JI67" s="131"/>
      <c r="JJ67" s="131"/>
      <c r="JK67" s="131"/>
      <c r="JL67" s="131"/>
      <c r="JM67" s="131"/>
      <c r="JN67" s="131"/>
      <c r="JO67" s="131"/>
      <c r="JP67" s="131"/>
      <c r="JQ67" s="131"/>
      <c r="JR67" s="131"/>
      <c r="JS67" s="131"/>
      <c r="JT67" s="131"/>
      <c r="JU67" s="131"/>
      <c r="JV67" s="131"/>
      <c r="JW67" s="131"/>
      <c r="JX67" s="131"/>
      <c r="JY67" s="131"/>
      <c r="JZ67" s="131"/>
      <c r="KA67" s="131"/>
      <c r="KB67" s="131"/>
      <c r="KC67" s="131"/>
      <c r="KD67" s="131"/>
      <c r="KE67" s="131"/>
      <c r="KF67" s="131"/>
      <c r="KG67" s="131"/>
      <c r="KH67" s="131"/>
      <c r="KI67" s="131"/>
      <c r="KJ67" s="131"/>
      <c r="KK67" s="131"/>
      <c r="KL67" s="131"/>
      <c r="KM67" s="131"/>
      <c r="KN67" s="131"/>
      <c r="KO67" s="131"/>
      <c r="KP67" s="131"/>
      <c r="KQ67" s="131"/>
      <c r="KR67" s="131"/>
      <c r="KS67" s="131"/>
      <c r="KT67" s="131"/>
      <c r="KU67" s="131"/>
      <c r="KV67" s="131"/>
      <c r="KW67" s="131"/>
      <c r="KX67" s="131"/>
      <c r="KY67" s="131"/>
      <c r="KZ67" s="131"/>
      <c r="LA67" s="131"/>
      <c r="LB67" s="131"/>
      <c r="LC67" s="131"/>
      <c r="LD67" s="131"/>
      <c r="LE67" s="131"/>
      <c r="LF67" s="131"/>
      <c r="LG67" s="131"/>
      <c r="LH67" s="131"/>
      <c r="LI67" s="131"/>
      <c r="LJ67" s="131"/>
      <c r="LK67" s="131"/>
      <c r="LL67" s="131"/>
      <c r="LM67" s="131"/>
      <c r="LN67" s="131"/>
      <c r="LO67" s="131"/>
      <c r="LP67" s="131"/>
      <c r="LQ67" s="131"/>
      <c r="LR67" s="131"/>
      <c r="LS67" s="131"/>
      <c r="LT67" s="131"/>
      <c r="LU67" s="131"/>
      <c r="LV67" s="131"/>
      <c r="LW67" s="131"/>
      <c r="LX67" s="131"/>
      <c r="LY67" s="131"/>
      <c r="LZ67" s="131"/>
      <c r="MA67" s="131"/>
      <c r="MB67" s="131"/>
      <c r="MC67" s="131"/>
      <c r="MD67" s="131"/>
      <c r="ME67" s="131"/>
      <c r="MF67" s="131"/>
      <c r="MG67" s="131"/>
      <c r="MH67" s="131"/>
      <c r="MI67" s="131"/>
      <c r="MJ67" s="131"/>
      <c r="MK67" s="131"/>
      <c r="ML67" s="131"/>
      <c r="MM67" s="131"/>
      <c r="MN67" s="131"/>
      <c r="MO67" s="131"/>
      <c r="MP67" s="131"/>
      <c r="MQ67" s="131"/>
      <c r="MR67" s="131"/>
      <c r="MS67" s="131"/>
      <c r="MT67" s="131"/>
      <c r="MU67" s="131"/>
      <c r="MV67" s="131"/>
      <c r="MW67" s="131"/>
      <c r="MX67" s="131"/>
      <c r="MY67" s="131"/>
      <c r="MZ67" s="131"/>
      <c r="NA67" s="131"/>
      <c r="NB67" s="131"/>
      <c r="NC67" s="131"/>
      <c r="ND67" s="131"/>
      <c r="NE67" s="131"/>
      <c r="NF67" s="131"/>
      <c r="NG67" s="131"/>
      <c r="NH67" s="131"/>
      <c r="NI67" s="131"/>
      <c r="NJ67" s="131"/>
      <c r="NK67" s="131"/>
      <c r="NL67" s="131"/>
      <c r="NM67" s="131"/>
      <c r="NN67" s="131"/>
      <c r="NO67" s="131"/>
      <c r="NP67" s="131"/>
      <c r="NQ67" s="131"/>
      <c r="NR67" s="131"/>
      <c r="NS67" s="131"/>
      <c r="NT67" s="131"/>
      <c r="NU67" s="131"/>
      <c r="NV67" s="131"/>
      <c r="NW67" s="24">
        <f t="shared" si="11"/>
        <v>0</v>
      </c>
      <c r="NX67" s="56" t="s">
        <v>36</v>
      </c>
      <c r="NY67" s="127">
        <v>9024</v>
      </c>
      <c r="NZ67" s="78">
        <f t="shared" ref="NZ67:NZ128" si="14">OC67</f>
        <v>0</v>
      </c>
      <c r="OA67" s="78">
        <v>6646</v>
      </c>
      <c r="OB67" s="127">
        <f t="shared" si="12"/>
        <v>9024</v>
      </c>
      <c r="OC67" s="153"/>
      <c r="OD67" s="108">
        <f t="shared" si="13"/>
        <v>1.3578092085464941</v>
      </c>
      <c r="OE67" s="160" t="s">
        <v>531</v>
      </c>
    </row>
    <row r="68" spans="1:395" s="5" customFormat="1" ht="12.75" customHeight="1" x14ac:dyDescent="0.25">
      <c r="A68" s="62">
        <v>44537</v>
      </c>
      <c r="B68" s="116" t="s">
        <v>57</v>
      </c>
      <c r="C68" s="129"/>
      <c r="D68" s="129"/>
      <c r="E68" s="130"/>
      <c r="F68" s="130"/>
      <c r="G68" s="130"/>
      <c r="H68" s="130"/>
      <c r="I68" s="130"/>
      <c r="J68" s="130"/>
      <c r="K68" s="130"/>
      <c r="L68" s="130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31"/>
      <c r="Y68" s="131"/>
      <c r="Z68" s="131"/>
      <c r="AA68" s="131"/>
      <c r="AB68" s="131"/>
      <c r="AC68" s="131"/>
      <c r="AD68" s="131"/>
      <c r="AE68" s="131"/>
      <c r="AF68" s="131"/>
      <c r="AG68" s="131"/>
      <c r="AH68" s="131"/>
      <c r="AI68" s="131"/>
      <c r="AJ68" s="131"/>
      <c r="AK68" s="131"/>
      <c r="AL68" s="131"/>
      <c r="AM68" s="131"/>
      <c r="AN68" s="131"/>
      <c r="AO68" s="131"/>
      <c r="AP68" s="131"/>
      <c r="AQ68" s="131"/>
      <c r="AR68" s="131"/>
      <c r="AS68" s="131"/>
      <c r="AT68" s="131"/>
      <c r="AU68" s="131"/>
      <c r="AV68" s="131"/>
      <c r="AW68" s="131"/>
      <c r="AX68" s="131"/>
      <c r="AY68" s="131"/>
      <c r="AZ68" s="131"/>
      <c r="BA68" s="131"/>
      <c r="BB68" s="131"/>
      <c r="BC68" s="131"/>
      <c r="BD68" s="131"/>
      <c r="BE68" s="131"/>
      <c r="BF68" s="131"/>
      <c r="BG68" s="131"/>
      <c r="BH68" s="131"/>
      <c r="BI68" s="131"/>
      <c r="BJ68" s="131"/>
      <c r="BK68" s="131"/>
      <c r="BL68" s="131"/>
      <c r="BM68" s="131"/>
      <c r="BN68" s="131"/>
      <c r="BO68" s="131"/>
      <c r="BP68" s="131"/>
      <c r="BQ68" s="131"/>
      <c r="BR68" s="131"/>
      <c r="BS68" s="131"/>
      <c r="BT68" s="131"/>
      <c r="BU68" s="131"/>
      <c r="BV68" s="131"/>
      <c r="BW68" s="131"/>
      <c r="BX68" s="131"/>
      <c r="BY68" s="131"/>
      <c r="BZ68" s="131"/>
      <c r="CA68" s="131"/>
      <c r="CB68" s="131"/>
      <c r="CC68" s="131"/>
      <c r="CD68" s="131"/>
      <c r="CE68" s="131"/>
      <c r="CF68" s="131"/>
      <c r="CG68" s="131"/>
      <c r="CH68" s="131"/>
      <c r="CI68" s="131"/>
      <c r="CJ68" s="131"/>
      <c r="CK68" s="131"/>
      <c r="CL68" s="131"/>
      <c r="CM68" s="131"/>
      <c r="CN68" s="131"/>
      <c r="CO68" s="131"/>
      <c r="CP68" s="131"/>
      <c r="CQ68" s="131"/>
      <c r="CR68" s="131"/>
      <c r="CS68" s="131"/>
      <c r="CT68" s="131"/>
      <c r="CU68" s="131"/>
      <c r="CV68" s="131"/>
      <c r="CW68" s="131"/>
      <c r="CX68" s="131"/>
      <c r="CY68" s="131"/>
      <c r="CZ68" s="131"/>
      <c r="DA68" s="131"/>
      <c r="DB68" s="131"/>
      <c r="DC68" s="131"/>
      <c r="DD68" s="131"/>
      <c r="DE68" s="131"/>
      <c r="DF68" s="131"/>
      <c r="DG68" s="131"/>
      <c r="DH68" s="131"/>
      <c r="DI68" s="131"/>
      <c r="DJ68" s="131"/>
      <c r="DK68" s="131"/>
      <c r="DL68" s="131"/>
      <c r="DM68" s="131"/>
      <c r="DN68" s="131"/>
      <c r="DO68" s="131"/>
      <c r="DP68" s="131"/>
      <c r="DQ68" s="131"/>
      <c r="DR68" s="131"/>
      <c r="DS68" s="131"/>
      <c r="DT68" s="131"/>
      <c r="DU68" s="131"/>
      <c r="DV68" s="131"/>
      <c r="DW68" s="131"/>
      <c r="DX68" s="131"/>
      <c r="DY68" s="131"/>
      <c r="DZ68" s="131"/>
      <c r="EA68" s="131"/>
      <c r="EB68" s="131"/>
      <c r="EC68" s="131"/>
      <c r="ED68" s="131"/>
      <c r="EE68" s="131"/>
      <c r="EF68" s="131"/>
      <c r="EG68" s="131"/>
      <c r="EH68" s="131"/>
      <c r="EI68" s="131"/>
      <c r="EJ68" s="131"/>
      <c r="EK68" s="131"/>
      <c r="EL68" s="131"/>
      <c r="EM68" s="131"/>
      <c r="EN68" s="131"/>
      <c r="EO68" s="131"/>
      <c r="EP68" s="131"/>
      <c r="EQ68" s="131"/>
      <c r="ER68" s="131"/>
      <c r="ES68" s="131"/>
      <c r="ET68" s="131"/>
      <c r="EU68" s="131"/>
      <c r="EV68" s="131"/>
      <c r="EW68" s="131"/>
      <c r="EX68" s="131"/>
      <c r="EY68" s="131"/>
      <c r="EZ68" s="131"/>
      <c r="FA68" s="131"/>
      <c r="FB68" s="131"/>
      <c r="FC68" s="131"/>
      <c r="FD68" s="131"/>
      <c r="FE68" s="131"/>
      <c r="FF68" s="131"/>
      <c r="FG68" s="131"/>
      <c r="FH68" s="131"/>
      <c r="FI68" s="131"/>
      <c r="FJ68" s="131"/>
      <c r="FK68" s="131"/>
      <c r="FL68" s="131"/>
      <c r="FM68" s="131"/>
      <c r="FN68" s="131"/>
      <c r="FO68" s="131"/>
      <c r="FP68" s="131"/>
      <c r="FQ68" s="131"/>
      <c r="FR68" s="131"/>
      <c r="FS68" s="131"/>
      <c r="FT68" s="131"/>
      <c r="FU68" s="131"/>
      <c r="FV68" s="131"/>
      <c r="FW68" s="131"/>
      <c r="FX68" s="131"/>
      <c r="FY68" s="131"/>
      <c r="FZ68" s="131"/>
      <c r="GA68" s="131"/>
      <c r="GB68" s="131"/>
      <c r="GC68" s="131"/>
      <c r="GD68" s="131"/>
      <c r="GE68" s="131"/>
      <c r="GF68" s="131"/>
      <c r="GG68" s="131"/>
      <c r="GH68" s="131"/>
      <c r="GI68" s="131"/>
      <c r="GJ68" s="131"/>
      <c r="GK68" s="131"/>
      <c r="GL68" s="131"/>
      <c r="GM68" s="131"/>
      <c r="GN68" s="131"/>
      <c r="GO68" s="131"/>
      <c r="GP68" s="131"/>
      <c r="GQ68" s="131"/>
      <c r="GR68" s="131"/>
      <c r="GS68" s="131"/>
      <c r="GT68" s="131"/>
      <c r="GU68" s="131"/>
      <c r="GV68" s="131"/>
      <c r="GW68" s="131"/>
      <c r="GX68" s="131"/>
      <c r="GY68" s="131"/>
      <c r="GZ68" s="131"/>
      <c r="HA68" s="131"/>
      <c r="HB68" s="131"/>
      <c r="HC68" s="131"/>
      <c r="HD68" s="131"/>
      <c r="HE68" s="131"/>
      <c r="HF68" s="131"/>
      <c r="HG68" s="131"/>
      <c r="HH68" s="131"/>
      <c r="HI68" s="131"/>
      <c r="HJ68" s="131"/>
      <c r="HK68" s="131"/>
      <c r="HL68" s="131"/>
      <c r="HM68" s="131"/>
      <c r="HN68" s="131"/>
      <c r="HO68" s="131"/>
      <c r="HP68" s="131"/>
      <c r="HQ68" s="131"/>
      <c r="HR68" s="131"/>
      <c r="HS68" s="131"/>
      <c r="HT68" s="131"/>
      <c r="HU68" s="131"/>
      <c r="HV68" s="131"/>
      <c r="HW68" s="131"/>
      <c r="HX68" s="131"/>
      <c r="HY68" s="131"/>
      <c r="HZ68" s="131"/>
      <c r="IA68" s="131"/>
      <c r="IB68" s="131"/>
      <c r="IC68" s="131"/>
      <c r="ID68" s="131"/>
      <c r="IE68" s="131"/>
      <c r="IF68" s="131"/>
      <c r="IG68" s="131"/>
      <c r="IH68" s="131"/>
      <c r="II68" s="131"/>
      <c r="IJ68" s="131"/>
      <c r="IK68" s="131"/>
      <c r="IL68" s="131"/>
      <c r="IM68" s="131"/>
      <c r="IN68" s="131"/>
      <c r="IO68" s="131"/>
      <c r="IP68" s="131"/>
      <c r="IQ68" s="131"/>
      <c r="IR68" s="131"/>
      <c r="IS68" s="131"/>
      <c r="IT68" s="131"/>
      <c r="IU68" s="131"/>
      <c r="IV68" s="131"/>
      <c r="IW68" s="131"/>
      <c r="IX68" s="131"/>
      <c r="IY68" s="131"/>
      <c r="IZ68" s="131"/>
      <c r="JA68" s="131"/>
      <c r="JB68" s="131"/>
      <c r="JC68" s="131"/>
      <c r="JD68" s="131"/>
      <c r="JE68" s="131"/>
      <c r="JF68" s="131"/>
      <c r="JG68" s="131"/>
      <c r="JH68" s="131"/>
      <c r="JI68" s="131"/>
      <c r="JJ68" s="131"/>
      <c r="JK68" s="131"/>
      <c r="JL68" s="131"/>
      <c r="JM68" s="131"/>
      <c r="JN68" s="131"/>
      <c r="JO68" s="131"/>
      <c r="JP68" s="131"/>
      <c r="JQ68" s="131"/>
      <c r="JR68" s="131"/>
      <c r="JS68" s="131"/>
      <c r="JT68" s="131"/>
      <c r="JU68" s="131"/>
      <c r="JV68" s="131"/>
      <c r="JW68" s="131"/>
      <c r="JX68" s="131"/>
      <c r="JY68" s="131"/>
      <c r="JZ68" s="131"/>
      <c r="KA68" s="131"/>
      <c r="KB68" s="131"/>
      <c r="KC68" s="131"/>
      <c r="KD68" s="131"/>
      <c r="KE68" s="131"/>
      <c r="KF68" s="131"/>
      <c r="KG68" s="131"/>
      <c r="KH68" s="131"/>
      <c r="KI68" s="131"/>
      <c r="KJ68" s="131"/>
      <c r="KK68" s="131"/>
      <c r="KL68" s="131"/>
      <c r="KM68" s="131"/>
      <c r="KN68" s="131"/>
      <c r="KO68" s="131"/>
      <c r="KP68" s="131"/>
      <c r="KQ68" s="131"/>
      <c r="KR68" s="131"/>
      <c r="KS68" s="131"/>
      <c r="KT68" s="131"/>
      <c r="KU68" s="131"/>
      <c r="KV68" s="131"/>
      <c r="KW68" s="131"/>
      <c r="KX68" s="131"/>
      <c r="KY68" s="131"/>
      <c r="KZ68" s="131"/>
      <c r="LA68" s="131"/>
      <c r="LB68" s="131"/>
      <c r="LC68" s="131"/>
      <c r="LD68" s="131"/>
      <c r="LE68" s="131"/>
      <c r="LF68" s="131"/>
      <c r="LG68" s="131"/>
      <c r="LH68" s="131"/>
      <c r="LI68" s="131"/>
      <c r="LJ68" s="131"/>
      <c r="LK68" s="131"/>
      <c r="LL68" s="131"/>
      <c r="LM68" s="131"/>
      <c r="LN68" s="131"/>
      <c r="LO68" s="131"/>
      <c r="LP68" s="131"/>
      <c r="LQ68" s="131"/>
      <c r="LR68" s="131"/>
      <c r="LS68" s="131"/>
      <c r="LT68" s="131"/>
      <c r="LU68" s="131"/>
      <c r="LV68" s="131"/>
      <c r="LW68" s="131"/>
      <c r="LX68" s="131"/>
      <c r="LY68" s="131"/>
      <c r="LZ68" s="131"/>
      <c r="MA68" s="131"/>
      <c r="MB68" s="131"/>
      <c r="MC68" s="131"/>
      <c r="MD68" s="131"/>
      <c r="ME68" s="131"/>
      <c r="MF68" s="131"/>
      <c r="MG68" s="131"/>
      <c r="MH68" s="131"/>
      <c r="MI68" s="131"/>
      <c r="MJ68" s="131"/>
      <c r="MK68" s="131"/>
      <c r="ML68" s="131"/>
      <c r="MM68" s="131"/>
      <c r="MN68" s="131"/>
      <c r="MO68" s="131"/>
      <c r="MP68" s="131"/>
      <c r="MQ68" s="131"/>
      <c r="MR68" s="131"/>
      <c r="MS68" s="131"/>
      <c r="MT68" s="131"/>
      <c r="MU68" s="131"/>
      <c r="MV68" s="131"/>
      <c r="MW68" s="131"/>
      <c r="MX68" s="131"/>
      <c r="MY68" s="131"/>
      <c r="MZ68" s="131"/>
      <c r="NA68" s="131"/>
      <c r="NB68" s="131"/>
      <c r="NC68" s="131"/>
      <c r="ND68" s="131"/>
      <c r="NE68" s="131"/>
      <c r="NF68" s="131"/>
      <c r="NG68" s="131"/>
      <c r="NH68" s="131"/>
      <c r="NI68" s="131"/>
      <c r="NJ68" s="131"/>
      <c r="NK68" s="131"/>
      <c r="NL68" s="131"/>
      <c r="NM68" s="131"/>
      <c r="NN68" s="131"/>
      <c r="NO68" s="131"/>
      <c r="NP68" s="131"/>
      <c r="NQ68" s="131"/>
      <c r="NR68" s="131"/>
      <c r="NS68" s="131"/>
      <c r="NT68" s="131"/>
      <c r="NU68" s="131"/>
      <c r="NV68" s="131"/>
      <c r="NW68" s="24">
        <f t="shared" si="11"/>
        <v>0</v>
      </c>
      <c r="NX68" s="56" t="s">
        <v>36</v>
      </c>
      <c r="NY68" s="127">
        <v>2816.64</v>
      </c>
      <c r="NZ68" s="78">
        <f t="shared" si="14"/>
        <v>0</v>
      </c>
      <c r="OA68" s="78">
        <v>1884.6</v>
      </c>
      <c r="OB68" s="127">
        <f t="shared" si="12"/>
        <v>2816.64</v>
      </c>
      <c r="OC68" s="153"/>
      <c r="OD68" s="108">
        <f t="shared" si="13"/>
        <v>1.4945558739255014</v>
      </c>
      <c r="OE68" s="160" t="s">
        <v>532</v>
      </c>
    </row>
    <row r="69" spans="1:395" s="5" customFormat="1" ht="12.75" customHeight="1" x14ac:dyDescent="0.25">
      <c r="A69" s="62">
        <v>44537</v>
      </c>
      <c r="B69" s="116" t="s">
        <v>57</v>
      </c>
      <c r="C69" s="129"/>
      <c r="D69" s="129"/>
      <c r="E69" s="130"/>
      <c r="F69" s="130"/>
      <c r="G69" s="130"/>
      <c r="H69" s="130"/>
      <c r="I69" s="130"/>
      <c r="J69" s="130"/>
      <c r="K69" s="130"/>
      <c r="L69" s="130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  <c r="AH69" s="131"/>
      <c r="AI69" s="131"/>
      <c r="AJ69" s="131"/>
      <c r="AK69" s="131"/>
      <c r="AL69" s="131"/>
      <c r="AM69" s="131"/>
      <c r="AN69" s="131"/>
      <c r="AO69" s="131"/>
      <c r="AP69" s="131"/>
      <c r="AQ69" s="131"/>
      <c r="AR69" s="131"/>
      <c r="AS69" s="131"/>
      <c r="AT69" s="131"/>
      <c r="AU69" s="131"/>
      <c r="AV69" s="131"/>
      <c r="AW69" s="131"/>
      <c r="AX69" s="131"/>
      <c r="AY69" s="131"/>
      <c r="AZ69" s="131"/>
      <c r="BA69" s="131"/>
      <c r="BB69" s="131"/>
      <c r="BC69" s="131"/>
      <c r="BD69" s="131"/>
      <c r="BE69" s="131"/>
      <c r="BF69" s="131"/>
      <c r="BG69" s="131"/>
      <c r="BH69" s="131"/>
      <c r="BI69" s="131"/>
      <c r="BJ69" s="131"/>
      <c r="BK69" s="131"/>
      <c r="BL69" s="131"/>
      <c r="BM69" s="131"/>
      <c r="BN69" s="131"/>
      <c r="BO69" s="131"/>
      <c r="BP69" s="131"/>
      <c r="BQ69" s="131"/>
      <c r="BR69" s="131"/>
      <c r="BS69" s="131"/>
      <c r="BT69" s="131"/>
      <c r="BU69" s="131"/>
      <c r="BV69" s="131"/>
      <c r="BW69" s="131"/>
      <c r="BX69" s="131"/>
      <c r="BY69" s="131"/>
      <c r="BZ69" s="131"/>
      <c r="CA69" s="131"/>
      <c r="CB69" s="131"/>
      <c r="CC69" s="131"/>
      <c r="CD69" s="131"/>
      <c r="CE69" s="131"/>
      <c r="CF69" s="131"/>
      <c r="CG69" s="131"/>
      <c r="CH69" s="131"/>
      <c r="CI69" s="131"/>
      <c r="CJ69" s="131"/>
      <c r="CK69" s="131"/>
      <c r="CL69" s="131"/>
      <c r="CM69" s="131"/>
      <c r="CN69" s="131"/>
      <c r="CO69" s="131"/>
      <c r="CP69" s="131"/>
      <c r="CQ69" s="131"/>
      <c r="CR69" s="131"/>
      <c r="CS69" s="131"/>
      <c r="CT69" s="131"/>
      <c r="CU69" s="131"/>
      <c r="CV69" s="131"/>
      <c r="CW69" s="131"/>
      <c r="CX69" s="131"/>
      <c r="CY69" s="131"/>
      <c r="CZ69" s="131"/>
      <c r="DA69" s="131"/>
      <c r="DB69" s="131"/>
      <c r="DC69" s="131"/>
      <c r="DD69" s="131"/>
      <c r="DE69" s="131"/>
      <c r="DF69" s="131"/>
      <c r="DG69" s="131"/>
      <c r="DH69" s="131"/>
      <c r="DI69" s="131"/>
      <c r="DJ69" s="131"/>
      <c r="DK69" s="131"/>
      <c r="DL69" s="131"/>
      <c r="DM69" s="131"/>
      <c r="DN69" s="131"/>
      <c r="DO69" s="131"/>
      <c r="DP69" s="131"/>
      <c r="DQ69" s="131"/>
      <c r="DR69" s="131"/>
      <c r="DS69" s="131"/>
      <c r="DT69" s="131"/>
      <c r="DU69" s="131"/>
      <c r="DV69" s="131"/>
      <c r="DW69" s="131"/>
      <c r="DX69" s="131"/>
      <c r="DY69" s="131"/>
      <c r="DZ69" s="131"/>
      <c r="EA69" s="131"/>
      <c r="EB69" s="131"/>
      <c r="EC69" s="131"/>
      <c r="ED69" s="131"/>
      <c r="EE69" s="131"/>
      <c r="EF69" s="131"/>
      <c r="EG69" s="131"/>
      <c r="EH69" s="131"/>
      <c r="EI69" s="131"/>
      <c r="EJ69" s="131"/>
      <c r="EK69" s="131"/>
      <c r="EL69" s="131"/>
      <c r="EM69" s="131"/>
      <c r="EN69" s="131"/>
      <c r="EO69" s="131"/>
      <c r="EP69" s="131"/>
      <c r="EQ69" s="131"/>
      <c r="ER69" s="131"/>
      <c r="ES69" s="131"/>
      <c r="ET69" s="131"/>
      <c r="EU69" s="131"/>
      <c r="EV69" s="131"/>
      <c r="EW69" s="131"/>
      <c r="EX69" s="131"/>
      <c r="EY69" s="131"/>
      <c r="EZ69" s="131"/>
      <c r="FA69" s="131"/>
      <c r="FB69" s="131"/>
      <c r="FC69" s="131"/>
      <c r="FD69" s="131"/>
      <c r="FE69" s="131"/>
      <c r="FF69" s="131"/>
      <c r="FG69" s="131"/>
      <c r="FH69" s="131"/>
      <c r="FI69" s="131"/>
      <c r="FJ69" s="131"/>
      <c r="FK69" s="131"/>
      <c r="FL69" s="131"/>
      <c r="FM69" s="131"/>
      <c r="FN69" s="131"/>
      <c r="FO69" s="131"/>
      <c r="FP69" s="131"/>
      <c r="FQ69" s="131"/>
      <c r="FR69" s="131"/>
      <c r="FS69" s="131"/>
      <c r="FT69" s="131"/>
      <c r="FU69" s="131"/>
      <c r="FV69" s="131"/>
      <c r="FW69" s="131"/>
      <c r="FX69" s="131"/>
      <c r="FY69" s="131"/>
      <c r="FZ69" s="131"/>
      <c r="GA69" s="131"/>
      <c r="GB69" s="131"/>
      <c r="GC69" s="131"/>
      <c r="GD69" s="131"/>
      <c r="GE69" s="131"/>
      <c r="GF69" s="131"/>
      <c r="GG69" s="131"/>
      <c r="GH69" s="131"/>
      <c r="GI69" s="131"/>
      <c r="GJ69" s="131"/>
      <c r="GK69" s="131"/>
      <c r="GL69" s="131"/>
      <c r="GM69" s="131"/>
      <c r="GN69" s="131"/>
      <c r="GO69" s="131"/>
      <c r="GP69" s="131"/>
      <c r="GQ69" s="131"/>
      <c r="GR69" s="131"/>
      <c r="GS69" s="131"/>
      <c r="GT69" s="131"/>
      <c r="GU69" s="131"/>
      <c r="GV69" s="131"/>
      <c r="GW69" s="131"/>
      <c r="GX69" s="131"/>
      <c r="GY69" s="131"/>
      <c r="GZ69" s="131"/>
      <c r="HA69" s="131"/>
      <c r="HB69" s="131"/>
      <c r="HC69" s="131"/>
      <c r="HD69" s="131"/>
      <c r="HE69" s="131"/>
      <c r="HF69" s="131"/>
      <c r="HG69" s="131"/>
      <c r="HH69" s="131"/>
      <c r="HI69" s="131"/>
      <c r="HJ69" s="131"/>
      <c r="HK69" s="131"/>
      <c r="HL69" s="131"/>
      <c r="HM69" s="131"/>
      <c r="HN69" s="131"/>
      <c r="HO69" s="131"/>
      <c r="HP69" s="131"/>
      <c r="HQ69" s="131"/>
      <c r="HR69" s="131"/>
      <c r="HS69" s="131"/>
      <c r="HT69" s="131"/>
      <c r="HU69" s="131"/>
      <c r="HV69" s="131"/>
      <c r="HW69" s="131"/>
      <c r="HX69" s="131"/>
      <c r="HY69" s="131"/>
      <c r="HZ69" s="131"/>
      <c r="IA69" s="131"/>
      <c r="IB69" s="131"/>
      <c r="IC69" s="131"/>
      <c r="ID69" s="131"/>
      <c r="IE69" s="131"/>
      <c r="IF69" s="131"/>
      <c r="IG69" s="131"/>
      <c r="IH69" s="131"/>
      <c r="II69" s="131"/>
      <c r="IJ69" s="131"/>
      <c r="IK69" s="131"/>
      <c r="IL69" s="131"/>
      <c r="IM69" s="131"/>
      <c r="IN69" s="131"/>
      <c r="IO69" s="131"/>
      <c r="IP69" s="131"/>
      <c r="IQ69" s="131"/>
      <c r="IR69" s="131"/>
      <c r="IS69" s="131"/>
      <c r="IT69" s="131"/>
      <c r="IU69" s="131"/>
      <c r="IV69" s="131"/>
      <c r="IW69" s="131"/>
      <c r="IX69" s="131"/>
      <c r="IY69" s="131"/>
      <c r="IZ69" s="131"/>
      <c r="JA69" s="131"/>
      <c r="JB69" s="131"/>
      <c r="JC69" s="131"/>
      <c r="JD69" s="131"/>
      <c r="JE69" s="131"/>
      <c r="JF69" s="131"/>
      <c r="JG69" s="131"/>
      <c r="JH69" s="131"/>
      <c r="JI69" s="131"/>
      <c r="JJ69" s="131"/>
      <c r="JK69" s="131"/>
      <c r="JL69" s="131"/>
      <c r="JM69" s="131"/>
      <c r="JN69" s="131"/>
      <c r="JO69" s="131"/>
      <c r="JP69" s="131"/>
      <c r="JQ69" s="131"/>
      <c r="JR69" s="131"/>
      <c r="JS69" s="131"/>
      <c r="JT69" s="131"/>
      <c r="JU69" s="131"/>
      <c r="JV69" s="131"/>
      <c r="JW69" s="131"/>
      <c r="JX69" s="131"/>
      <c r="JY69" s="131"/>
      <c r="JZ69" s="131"/>
      <c r="KA69" s="131"/>
      <c r="KB69" s="131"/>
      <c r="KC69" s="131"/>
      <c r="KD69" s="131"/>
      <c r="KE69" s="131"/>
      <c r="KF69" s="131"/>
      <c r="KG69" s="131"/>
      <c r="KH69" s="131"/>
      <c r="KI69" s="131"/>
      <c r="KJ69" s="131"/>
      <c r="KK69" s="131"/>
      <c r="KL69" s="131"/>
      <c r="KM69" s="131"/>
      <c r="KN69" s="131"/>
      <c r="KO69" s="131"/>
      <c r="KP69" s="131"/>
      <c r="KQ69" s="131"/>
      <c r="KR69" s="131"/>
      <c r="KS69" s="131"/>
      <c r="KT69" s="131"/>
      <c r="KU69" s="131"/>
      <c r="KV69" s="131"/>
      <c r="KW69" s="131"/>
      <c r="KX69" s="131"/>
      <c r="KY69" s="131"/>
      <c r="KZ69" s="131"/>
      <c r="LA69" s="131"/>
      <c r="LB69" s="131"/>
      <c r="LC69" s="131"/>
      <c r="LD69" s="131"/>
      <c r="LE69" s="131"/>
      <c r="LF69" s="131"/>
      <c r="LG69" s="131"/>
      <c r="LH69" s="131"/>
      <c r="LI69" s="131"/>
      <c r="LJ69" s="131"/>
      <c r="LK69" s="131"/>
      <c r="LL69" s="131"/>
      <c r="LM69" s="131"/>
      <c r="LN69" s="131"/>
      <c r="LO69" s="131"/>
      <c r="LP69" s="131"/>
      <c r="LQ69" s="131"/>
      <c r="LR69" s="131"/>
      <c r="LS69" s="131"/>
      <c r="LT69" s="131"/>
      <c r="LU69" s="131"/>
      <c r="LV69" s="131"/>
      <c r="LW69" s="131"/>
      <c r="LX69" s="131"/>
      <c r="LY69" s="131"/>
      <c r="LZ69" s="131"/>
      <c r="MA69" s="131"/>
      <c r="MB69" s="131"/>
      <c r="MC69" s="131"/>
      <c r="MD69" s="131"/>
      <c r="ME69" s="131"/>
      <c r="MF69" s="131"/>
      <c r="MG69" s="131"/>
      <c r="MH69" s="131"/>
      <c r="MI69" s="131"/>
      <c r="MJ69" s="131"/>
      <c r="MK69" s="131"/>
      <c r="ML69" s="131"/>
      <c r="MM69" s="131"/>
      <c r="MN69" s="131"/>
      <c r="MO69" s="131"/>
      <c r="MP69" s="131"/>
      <c r="MQ69" s="131"/>
      <c r="MR69" s="131"/>
      <c r="MS69" s="131"/>
      <c r="MT69" s="131"/>
      <c r="MU69" s="131"/>
      <c r="MV69" s="131"/>
      <c r="MW69" s="131"/>
      <c r="MX69" s="131"/>
      <c r="MY69" s="131"/>
      <c r="MZ69" s="131"/>
      <c r="NA69" s="131"/>
      <c r="NB69" s="131"/>
      <c r="NC69" s="131"/>
      <c r="ND69" s="131"/>
      <c r="NE69" s="131"/>
      <c r="NF69" s="131"/>
      <c r="NG69" s="131"/>
      <c r="NH69" s="131"/>
      <c r="NI69" s="131"/>
      <c r="NJ69" s="131"/>
      <c r="NK69" s="131"/>
      <c r="NL69" s="131"/>
      <c r="NM69" s="131"/>
      <c r="NN69" s="131"/>
      <c r="NO69" s="131"/>
      <c r="NP69" s="131"/>
      <c r="NQ69" s="131"/>
      <c r="NR69" s="131"/>
      <c r="NS69" s="131"/>
      <c r="NT69" s="131"/>
      <c r="NU69" s="131"/>
      <c r="NV69" s="131"/>
      <c r="NW69" s="24">
        <f t="shared" si="11"/>
        <v>0</v>
      </c>
      <c r="NX69" s="56" t="s">
        <v>36</v>
      </c>
      <c r="NY69" s="127">
        <v>2898.6</v>
      </c>
      <c r="NZ69" s="78">
        <f t="shared" si="14"/>
        <v>0</v>
      </c>
      <c r="OA69" s="78">
        <v>1780.9999999999998</v>
      </c>
      <c r="OB69" s="127">
        <f t="shared" si="12"/>
        <v>2898.6</v>
      </c>
      <c r="OC69" s="153"/>
      <c r="OD69" s="108">
        <f t="shared" si="13"/>
        <v>1.6275126333520495</v>
      </c>
      <c r="OE69" s="160" t="s">
        <v>533</v>
      </c>
    </row>
    <row r="70" spans="1:395" s="5" customFormat="1" ht="12.75" customHeight="1" x14ac:dyDescent="0.25">
      <c r="A70" s="62">
        <v>44538</v>
      </c>
      <c r="B70" s="116" t="s">
        <v>81</v>
      </c>
      <c r="C70" s="129"/>
      <c r="D70" s="129"/>
      <c r="E70" s="130"/>
      <c r="F70" s="130"/>
      <c r="G70" s="130"/>
      <c r="H70" s="130"/>
      <c r="I70" s="130"/>
      <c r="J70" s="130"/>
      <c r="K70" s="130"/>
      <c r="L70" s="130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  <c r="AA70" s="131"/>
      <c r="AB70" s="131"/>
      <c r="AC70" s="131"/>
      <c r="AD70" s="131"/>
      <c r="AE70" s="131"/>
      <c r="AF70" s="131"/>
      <c r="AG70" s="131"/>
      <c r="AH70" s="131"/>
      <c r="AI70" s="131"/>
      <c r="AJ70" s="131"/>
      <c r="AK70" s="131"/>
      <c r="AL70" s="131"/>
      <c r="AM70" s="131"/>
      <c r="AN70" s="131"/>
      <c r="AO70" s="131"/>
      <c r="AP70" s="131"/>
      <c r="AQ70" s="131"/>
      <c r="AR70" s="131"/>
      <c r="AS70" s="131"/>
      <c r="AT70" s="131"/>
      <c r="AU70" s="131"/>
      <c r="AV70" s="131"/>
      <c r="AW70" s="131"/>
      <c r="AX70" s="131"/>
      <c r="AY70" s="131"/>
      <c r="AZ70" s="131"/>
      <c r="BA70" s="131"/>
      <c r="BB70" s="131"/>
      <c r="BC70" s="131"/>
      <c r="BD70" s="131"/>
      <c r="BE70" s="131"/>
      <c r="BF70" s="131"/>
      <c r="BG70" s="131"/>
      <c r="BH70" s="131"/>
      <c r="BI70" s="131"/>
      <c r="BJ70" s="131"/>
      <c r="BK70" s="131"/>
      <c r="BL70" s="131"/>
      <c r="BM70" s="131"/>
      <c r="BN70" s="131"/>
      <c r="BO70" s="131"/>
      <c r="BP70" s="131"/>
      <c r="BQ70" s="131"/>
      <c r="BR70" s="131"/>
      <c r="BS70" s="131"/>
      <c r="BT70" s="131"/>
      <c r="BU70" s="131"/>
      <c r="BV70" s="131"/>
      <c r="BW70" s="131"/>
      <c r="BX70" s="131"/>
      <c r="BY70" s="131"/>
      <c r="BZ70" s="131"/>
      <c r="CA70" s="131"/>
      <c r="CB70" s="131"/>
      <c r="CC70" s="131"/>
      <c r="CD70" s="131"/>
      <c r="CE70" s="131"/>
      <c r="CF70" s="131"/>
      <c r="CG70" s="131"/>
      <c r="CH70" s="131"/>
      <c r="CI70" s="131"/>
      <c r="CJ70" s="131"/>
      <c r="CK70" s="131"/>
      <c r="CL70" s="131"/>
      <c r="CM70" s="131"/>
      <c r="CN70" s="131"/>
      <c r="CO70" s="131"/>
      <c r="CP70" s="131"/>
      <c r="CQ70" s="131"/>
      <c r="CR70" s="131"/>
      <c r="CS70" s="131"/>
      <c r="CT70" s="131"/>
      <c r="CU70" s="131"/>
      <c r="CV70" s="131"/>
      <c r="CW70" s="131"/>
      <c r="CX70" s="131"/>
      <c r="CY70" s="131"/>
      <c r="CZ70" s="131"/>
      <c r="DA70" s="131"/>
      <c r="DB70" s="131"/>
      <c r="DC70" s="131"/>
      <c r="DD70" s="131"/>
      <c r="DE70" s="131"/>
      <c r="DF70" s="131"/>
      <c r="DG70" s="131"/>
      <c r="DH70" s="131"/>
      <c r="DI70" s="131"/>
      <c r="DJ70" s="131"/>
      <c r="DK70" s="131"/>
      <c r="DL70" s="131"/>
      <c r="DM70" s="131"/>
      <c r="DN70" s="131"/>
      <c r="DO70" s="131"/>
      <c r="DP70" s="131"/>
      <c r="DQ70" s="131"/>
      <c r="DR70" s="131"/>
      <c r="DS70" s="131"/>
      <c r="DT70" s="131"/>
      <c r="DU70" s="131"/>
      <c r="DV70" s="131"/>
      <c r="DW70" s="131"/>
      <c r="DX70" s="131"/>
      <c r="DY70" s="131"/>
      <c r="DZ70" s="131"/>
      <c r="EA70" s="131"/>
      <c r="EB70" s="131"/>
      <c r="EC70" s="131"/>
      <c r="ED70" s="131"/>
      <c r="EE70" s="131"/>
      <c r="EF70" s="131"/>
      <c r="EG70" s="131"/>
      <c r="EH70" s="131"/>
      <c r="EI70" s="131"/>
      <c r="EJ70" s="131"/>
      <c r="EK70" s="131"/>
      <c r="EL70" s="131"/>
      <c r="EM70" s="131"/>
      <c r="EN70" s="131"/>
      <c r="EO70" s="131"/>
      <c r="EP70" s="131"/>
      <c r="EQ70" s="131"/>
      <c r="ER70" s="131"/>
      <c r="ES70" s="131"/>
      <c r="ET70" s="131"/>
      <c r="EU70" s="131"/>
      <c r="EV70" s="131"/>
      <c r="EW70" s="131"/>
      <c r="EX70" s="131"/>
      <c r="EY70" s="131"/>
      <c r="EZ70" s="131"/>
      <c r="FA70" s="131"/>
      <c r="FB70" s="131"/>
      <c r="FC70" s="131"/>
      <c r="FD70" s="131"/>
      <c r="FE70" s="131"/>
      <c r="FF70" s="131"/>
      <c r="FG70" s="131"/>
      <c r="FH70" s="131"/>
      <c r="FI70" s="131"/>
      <c r="FJ70" s="131"/>
      <c r="FK70" s="131"/>
      <c r="FL70" s="131"/>
      <c r="FM70" s="131"/>
      <c r="FN70" s="131"/>
      <c r="FO70" s="131"/>
      <c r="FP70" s="131"/>
      <c r="FQ70" s="131"/>
      <c r="FR70" s="131"/>
      <c r="FS70" s="131"/>
      <c r="FT70" s="131"/>
      <c r="FU70" s="131"/>
      <c r="FV70" s="131"/>
      <c r="FW70" s="131"/>
      <c r="FX70" s="131"/>
      <c r="FY70" s="131"/>
      <c r="FZ70" s="131"/>
      <c r="GA70" s="131"/>
      <c r="GB70" s="131"/>
      <c r="GC70" s="131"/>
      <c r="GD70" s="131"/>
      <c r="GE70" s="131"/>
      <c r="GF70" s="131"/>
      <c r="GG70" s="131"/>
      <c r="GH70" s="131"/>
      <c r="GI70" s="131"/>
      <c r="GJ70" s="131"/>
      <c r="GK70" s="131"/>
      <c r="GL70" s="131"/>
      <c r="GM70" s="131"/>
      <c r="GN70" s="131"/>
      <c r="GO70" s="131"/>
      <c r="GP70" s="131"/>
      <c r="GQ70" s="131"/>
      <c r="GR70" s="131"/>
      <c r="GS70" s="131"/>
      <c r="GT70" s="131"/>
      <c r="GU70" s="131"/>
      <c r="GV70" s="131"/>
      <c r="GW70" s="131"/>
      <c r="GX70" s="131"/>
      <c r="GY70" s="131"/>
      <c r="GZ70" s="131"/>
      <c r="HA70" s="131"/>
      <c r="HB70" s="131"/>
      <c r="HC70" s="131"/>
      <c r="HD70" s="131"/>
      <c r="HE70" s="131"/>
      <c r="HF70" s="131"/>
      <c r="HG70" s="131"/>
      <c r="HH70" s="131"/>
      <c r="HI70" s="131"/>
      <c r="HJ70" s="131"/>
      <c r="HK70" s="131"/>
      <c r="HL70" s="131"/>
      <c r="HM70" s="131"/>
      <c r="HN70" s="131"/>
      <c r="HO70" s="131"/>
      <c r="HP70" s="131"/>
      <c r="HQ70" s="131"/>
      <c r="HR70" s="131"/>
      <c r="HS70" s="131"/>
      <c r="HT70" s="131"/>
      <c r="HU70" s="131"/>
      <c r="HV70" s="131"/>
      <c r="HW70" s="131"/>
      <c r="HX70" s="131"/>
      <c r="HY70" s="131"/>
      <c r="HZ70" s="131"/>
      <c r="IA70" s="131"/>
      <c r="IB70" s="131"/>
      <c r="IC70" s="131"/>
      <c r="ID70" s="131"/>
      <c r="IE70" s="131"/>
      <c r="IF70" s="131"/>
      <c r="IG70" s="131"/>
      <c r="IH70" s="131"/>
      <c r="II70" s="131"/>
      <c r="IJ70" s="131"/>
      <c r="IK70" s="131"/>
      <c r="IL70" s="131"/>
      <c r="IM70" s="131"/>
      <c r="IN70" s="131"/>
      <c r="IO70" s="131"/>
      <c r="IP70" s="131"/>
      <c r="IQ70" s="131"/>
      <c r="IR70" s="131"/>
      <c r="IS70" s="131"/>
      <c r="IT70" s="131"/>
      <c r="IU70" s="131"/>
      <c r="IV70" s="131"/>
      <c r="IW70" s="131"/>
      <c r="IX70" s="131"/>
      <c r="IY70" s="131"/>
      <c r="IZ70" s="131"/>
      <c r="JA70" s="131"/>
      <c r="JB70" s="131"/>
      <c r="JC70" s="131"/>
      <c r="JD70" s="131"/>
      <c r="JE70" s="131"/>
      <c r="JF70" s="131"/>
      <c r="JG70" s="131"/>
      <c r="JH70" s="131"/>
      <c r="JI70" s="131"/>
      <c r="JJ70" s="131"/>
      <c r="JK70" s="131"/>
      <c r="JL70" s="131"/>
      <c r="JM70" s="131"/>
      <c r="JN70" s="131"/>
      <c r="JO70" s="131"/>
      <c r="JP70" s="131"/>
      <c r="JQ70" s="131"/>
      <c r="JR70" s="131"/>
      <c r="JS70" s="131"/>
      <c r="JT70" s="131"/>
      <c r="JU70" s="131"/>
      <c r="JV70" s="131"/>
      <c r="JW70" s="131"/>
      <c r="JX70" s="131"/>
      <c r="JY70" s="131"/>
      <c r="JZ70" s="131"/>
      <c r="KA70" s="131"/>
      <c r="KB70" s="131"/>
      <c r="KC70" s="131"/>
      <c r="KD70" s="131"/>
      <c r="KE70" s="131"/>
      <c r="KF70" s="131"/>
      <c r="KG70" s="131"/>
      <c r="KH70" s="131"/>
      <c r="KI70" s="131"/>
      <c r="KJ70" s="131"/>
      <c r="KK70" s="131"/>
      <c r="KL70" s="131"/>
      <c r="KM70" s="131"/>
      <c r="KN70" s="131"/>
      <c r="KO70" s="131"/>
      <c r="KP70" s="131"/>
      <c r="KQ70" s="131"/>
      <c r="KR70" s="131"/>
      <c r="KS70" s="131"/>
      <c r="KT70" s="131"/>
      <c r="KU70" s="131"/>
      <c r="KV70" s="131"/>
      <c r="KW70" s="131"/>
      <c r="KX70" s="131"/>
      <c r="KY70" s="131"/>
      <c r="KZ70" s="131"/>
      <c r="LA70" s="131"/>
      <c r="LB70" s="131"/>
      <c r="LC70" s="131"/>
      <c r="LD70" s="131"/>
      <c r="LE70" s="131"/>
      <c r="LF70" s="131"/>
      <c r="LG70" s="131"/>
      <c r="LH70" s="131"/>
      <c r="LI70" s="131"/>
      <c r="LJ70" s="131"/>
      <c r="LK70" s="131"/>
      <c r="LL70" s="131"/>
      <c r="LM70" s="131"/>
      <c r="LN70" s="131"/>
      <c r="LO70" s="131"/>
      <c r="LP70" s="131"/>
      <c r="LQ70" s="131"/>
      <c r="LR70" s="131"/>
      <c r="LS70" s="131"/>
      <c r="LT70" s="131"/>
      <c r="LU70" s="131"/>
      <c r="LV70" s="131"/>
      <c r="LW70" s="131"/>
      <c r="LX70" s="131"/>
      <c r="LY70" s="131"/>
      <c r="LZ70" s="131"/>
      <c r="MA70" s="131"/>
      <c r="MB70" s="131"/>
      <c r="MC70" s="131"/>
      <c r="MD70" s="131"/>
      <c r="ME70" s="131"/>
      <c r="MF70" s="131"/>
      <c r="MG70" s="131"/>
      <c r="MH70" s="131"/>
      <c r="MI70" s="131"/>
      <c r="MJ70" s="131"/>
      <c r="MK70" s="131"/>
      <c r="ML70" s="131"/>
      <c r="MM70" s="131"/>
      <c r="MN70" s="131"/>
      <c r="MO70" s="131"/>
      <c r="MP70" s="131"/>
      <c r="MQ70" s="131"/>
      <c r="MR70" s="131"/>
      <c r="MS70" s="131"/>
      <c r="MT70" s="131"/>
      <c r="MU70" s="131"/>
      <c r="MV70" s="131"/>
      <c r="MW70" s="131"/>
      <c r="MX70" s="131"/>
      <c r="MY70" s="131"/>
      <c r="MZ70" s="131"/>
      <c r="NA70" s="131"/>
      <c r="NB70" s="131"/>
      <c r="NC70" s="131"/>
      <c r="ND70" s="131"/>
      <c r="NE70" s="131"/>
      <c r="NF70" s="131"/>
      <c r="NG70" s="131"/>
      <c r="NH70" s="131"/>
      <c r="NI70" s="131"/>
      <c r="NJ70" s="131"/>
      <c r="NK70" s="131"/>
      <c r="NL70" s="131"/>
      <c r="NM70" s="131"/>
      <c r="NN70" s="131"/>
      <c r="NO70" s="131"/>
      <c r="NP70" s="131"/>
      <c r="NQ70" s="131"/>
      <c r="NR70" s="131"/>
      <c r="NS70" s="131"/>
      <c r="NT70" s="131"/>
      <c r="NU70" s="131"/>
      <c r="NV70" s="131"/>
      <c r="NW70" s="24">
        <f t="shared" si="11"/>
        <v>0</v>
      </c>
      <c r="NX70" s="56" t="s">
        <v>253</v>
      </c>
      <c r="NY70" s="127">
        <v>5232</v>
      </c>
      <c r="NZ70" s="78">
        <f t="shared" si="14"/>
        <v>0</v>
      </c>
      <c r="OA70" s="78">
        <v>3299.5</v>
      </c>
      <c r="OB70" s="127">
        <f t="shared" si="12"/>
        <v>5232</v>
      </c>
      <c r="OC70" s="153"/>
      <c r="OD70" s="108">
        <f t="shared" si="13"/>
        <v>1.5856948022427642</v>
      </c>
      <c r="OE70" s="160" t="s">
        <v>526</v>
      </c>
    </row>
    <row r="71" spans="1:395" s="5" customFormat="1" ht="12.75" hidden="1" customHeight="1" x14ac:dyDescent="0.25">
      <c r="A71" s="62">
        <v>44538</v>
      </c>
      <c r="B71" s="116" t="s">
        <v>297</v>
      </c>
      <c r="C71" s="129"/>
      <c r="D71" s="129"/>
      <c r="E71" s="130"/>
      <c r="F71" s="130"/>
      <c r="G71" s="130"/>
      <c r="H71" s="130"/>
      <c r="I71" s="130"/>
      <c r="J71" s="130"/>
      <c r="K71" s="130"/>
      <c r="L71" s="130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131"/>
      <c r="AC71" s="131"/>
      <c r="AD71" s="131"/>
      <c r="AE71" s="131"/>
      <c r="AF71" s="131"/>
      <c r="AG71" s="131"/>
      <c r="AH71" s="131"/>
      <c r="AI71" s="131"/>
      <c r="AJ71" s="131"/>
      <c r="AK71" s="131"/>
      <c r="AL71" s="131"/>
      <c r="AM71" s="131"/>
      <c r="AN71" s="131"/>
      <c r="AO71" s="131"/>
      <c r="AP71" s="131"/>
      <c r="AQ71" s="131"/>
      <c r="AR71" s="131"/>
      <c r="AS71" s="131"/>
      <c r="AT71" s="131"/>
      <c r="AU71" s="131"/>
      <c r="AV71" s="131"/>
      <c r="AW71" s="131"/>
      <c r="AX71" s="131"/>
      <c r="AY71" s="131"/>
      <c r="AZ71" s="131"/>
      <c r="BA71" s="131"/>
      <c r="BB71" s="131"/>
      <c r="BC71" s="131"/>
      <c r="BD71" s="131"/>
      <c r="BE71" s="131"/>
      <c r="BF71" s="131"/>
      <c r="BG71" s="131"/>
      <c r="BH71" s="131"/>
      <c r="BI71" s="131"/>
      <c r="BJ71" s="131"/>
      <c r="BK71" s="131"/>
      <c r="BL71" s="131"/>
      <c r="BM71" s="131"/>
      <c r="BN71" s="131"/>
      <c r="BO71" s="131"/>
      <c r="BP71" s="131"/>
      <c r="BQ71" s="131"/>
      <c r="BR71" s="131"/>
      <c r="BS71" s="131"/>
      <c r="BT71" s="131"/>
      <c r="BU71" s="131"/>
      <c r="BV71" s="131"/>
      <c r="BW71" s="131"/>
      <c r="BX71" s="131"/>
      <c r="BY71" s="131"/>
      <c r="BZ71" s="131"/>
      <c r="CA71" s="131"/>
      <c r="CB71" s="131"/>
      <c r="CC71" s="131"/>
      <c r="CD71" s="131"/>
      <c r="CE71" s="131"/>
      <c r="CF71" s="131"/>
      <c r="CG71" s="131"/>
      <c r="CH71" s="131"/>
      <c r="CI71" s="131"/>
      <c r="CJ71" s="131"/>
      <c r="CK71" s="131"/>
      <c r="CL71" s="131"/>
      <c r="CM71" s="131"/>
      <c r="CN71" s="131"/>
      <c r="CO71" s="131"/>
      <c r="CP71" s="131"/>
      <c r="CQ71" s="131"/>
      <c r="CR71" s="131"/>
      <c r="CS71" s="131"/>
      <c r="CT71" s="131"/>
      <c r="CU71" s="131"/>
      <c r="CV71" s="131"/>
      <c r="CW71" s="131"/>
      <c r="CX71" s="131"/>
      <c r="CY71" s="131"/>
      <c r="CZ71" s="131"/>
      <c r="DA71" s="131"/>
      <c r="DB71" s="131"/>
      <c r="DC71" s="131"/>
      <c r="DD71" s="131"/>
      <c r="DE71" s="131"/>
      <c r="DF71" s="131"/>
      <c r="DG71" s="131"/>
      <c r="DH71" s="131"/>
      <c r="DI71" s="131"/>
      <c r="DJ71" s="131"/>
      <c r="DK71" s="131"/>
      <c r="DL71" s="131"/>
      <c r="DM71" s="131"/>
      <c r="DN71" s="131"/>
      <c r="DO71" s="131"/>
      <c r="DP71" s="131"/>
      <c r="DQ71" s="131"/>
      <c r="DR71" s="131"/>
      <c r="DS71" s="131"/>
      <c r="DT71" s="131"/>
      <c r="DU71" s="131"/>
      <c r="DV71" s="131"/>
      <c r="DW71" s="131"/>
      <c r="DX71" s="131"/>
      <c r="DY71" s="131"/>
      <c r="DZ71" s="131"/>
      <c r="EA71" s="131"/>
      <c r="EB71" s="131"/>
      <c r="EC71" s="131"/>
      <c r="ED71" s="131"/>
      <c r="EE71" s="131"/>
      <c r="EF71" s="131"/>
      <c r="EG71" s="131"/>
      <c r="EH71" s="131"/>
      <c r="EI71" s="131"/>
      <c r="EJ71" s="131"/>
      <c r="EK71" s="131"/>
      <c r="EL71" s="131"/>
      <c r="EM71" s="131"/>
      <c r="EN71" s="131"/>
      <c r="EO71" s="131"/>
      <c r="EP71" s="131"/>
      <c r="EQ71" s="131"/>
      <c r="ER71" s="131"/>
      <c r="ES71" s="131"/>
      <c r="ET71" s="131"/>
      <c r="EU71" s="131"/>
      <c r="EV71" s="131"/>
      <c r="EW71" s="131"/>
      <c r="EX71" s="131"/>
      <c r="EY71" s="131"/>
      <c r="EZ71" s="131"/>
      <c r="FA71" s="131"/>
      <c r="FB71" s="131"/>
      <c r="FC71" s="131"/>
      <c r="FD71" s="131"/>
      <c r="FE71" s="131"/>
      <c r="FF71" s="131"/>
      <c r="FG71" s="131"/>
      <c r="FH71" s="131"/>
      <c r="FI71" s="131"/>
      <c r="FJ71" s="131"/>
      <c r="FK71" s="131"/>
      <c r="FL71" s="131"/>
      <c r="FM71" s="131"/>
      <c r="FN71" s="131"/>
      <c r="FO71" s="131"/>
      <c r="FP71" s="131"/>
      <c r="FQ71" s="131"/>
      <c r="FR71" s="131"/>
      <c r="FS71" s="131"/>
      <c r="FT71" s="131"/>
      <c r="FU71" s="131"/>
      <c r="FV71" s="131"/>
      <c r="FW71" s="131"/>
      <c r="FX71" s="131"/>
      <c r="FY71" s="131"/>
      <c r="FZ71" s="131"/>
      <c r="GA71" s="131"/>
      <c r="GB71" s="131"/>
      <c r="GC71" s="131"/>
      <c r="GD71" s="131"/>
      <c r="GE71" s="131"/>
      <c r="GF71" s="131"/>
      <c r="GG71" s="131"/>
      <c r="GH71" s="131"/>
      <c r="GI71" s="131"/>
      <c r="GJ71" s="131"/>
      <c r="GK71" s="131"/>
      <c r="GL71" s="131"/>
      <c r="GM71" s="131"/>
      <c r="GN71" s="131"/>
      <c r="GO71" s="131"/>
      <c r="GP71" s="131"/>
      <c r="GQ71" s="131"/>
      <c r="GR71" s="131"/>
      <c r="GS71" s="131"/>
      <c r="GT71" s="131"/>
      <c r="GU71" s="131"/>
      <c r="GV71" s="131"/>
      <c r="GW71" s="131"/>
      <c r="GX71" s="131"/>
      <c r="GY71" s="131"/>
      <c r="GZ71" s="131"/>
      <c r="HA71" s="131"/>
      <c r="HB71" s="131"/>
      <c r="HC71" s="131"/>
      <c r="HD71" s="131"/>
      <c r="HE71" s="131"/>
      <c r="HF71" s="131"/>
      <c r="HG71" s="131"/>
      <c r="HH71" s="131"/>
      <c r="HI71" s="131"/>
      <c r="HJ71" s="131"/>
      <c r="HK71" s="131"/>
      <c r="HL71" s="131"/>
      <c r="HM71" s="131"/>
      <c r="HN71" s="131"/>
      <c r="HO71" s="131"/>
      <c r="HP71" s="131"/>
      <c r="HQ71" s="131"/>
      <c r="HR71" s="131"/>
      <c r="HS71" s="131"/>
      <c r="HT71" s="131"/>
      <c r="HU71" s="131"/>
      <c r="HV71" s="131"/>
      <c r="HW71" s="131"/>
      <c r="HX71" s="131"/>
      <c r="HY71" s="131"/>
      <c r="HZ71" s="131"/>
      <c r="IA71" s="131"/>
      <c r="IB71" s="131"/>
      <c r="IC71" s="131"/>
      <c r="ID71" s="131"/>
      <c r="IE71" s="131"/>
      <c r="IF71" s="131"/>
      <c r="IG71" s="131"/>
      <c r="IH71" s="131"/>
      <c r="II71" s="131"/>
      <c r="IJ71" s="131"/>
      <c r="IK71" s="131"/>
      <c r="IL71" s="131"/>
      <c r="IM71" s="131"/>
      <c r="IN71" s="131"/>
      <c r="IO71" s="131"/>
      <c r="IP71" s="131"/>
      <c r="IQ71" s="131"/>
      <c r="IR71" s="131"/>
      <c r="IS71" s="131"/>
      <c r="IT71" s="131"/>
      <c r="IU71" s="131"/>
      <c r="IV71" s="131"/>
      <c r="IW71" s="131"/>
      <c r="IX71" s="131"/>
      <c r="IY71" s="131"/>
      <c r="IZ71" s="131"/>
      <c r="JA71" s="131"/>
      <c r="JB71" s="131"/>
      <c r="JC71" s="131"/>
      <c r="JD71" s="131"/>
      <c r="JE71" s="131"/>
      <c r="JF71" s="131"/>
      <c r="JG71" s="131"/>
      <c r="JH71" s="131"/>
      <c r="JI71" s="131"/>
      <c r="JJ71" s="131"/>
      <c r="JK71" s="131"/>
      <c r="JL71" s="131"/>
      <c r="JM71" s="131"/>
      <c r="JN71" s="131"/>
      <c r="JO71" s="131"/>
      <c r="JP71" s="131"/>
      <c r="JQ71" s="131"/>
      <c r="JR71" s="131"/>
      <c r="JS71" s="131"/>
      <c r="JT71" s="131"/>
      <c r="JU71" s="131"/>
      <c r="JV71" s="131"/>
      <c r="JW71" s="131"/>
      <c r="JX71" s="131"/>
      <c r="JY71" s="131"/>
      <c r="JZ71" s="131"/>
      <c r="KA71" s="131"/>
      <c r="KB71" s="131"/>
      <c r="KC71" s="131"/>
      <c r="KD71" s="131"/>
      <c r="KE71" s="131"/>
      <c r="KF71" s="131"/>
      <c r="KG71" s="131"/>
      <c r="KH71" s="131"/>
      <c r="KI71" s="131"/>
      <c r="KJ71" s="131"/>
      <c r="KK71" s="131"/>
      <c r="KL71" s="131"/>
      <c r="KM71" s="131"/>
      <c r="KN71" s="131"/>
      <c r="KO71" s="131"/>
      <c r="KP71" s="131"/>
      <c r="KQ71" s="131"/>
      <c r="KR71" s="131"/>
      <c r="KS71" s="131"/>
      <c r="KT71" s="131"/>
      <c r="KU71" s="131"/>
      <c r="KV71" s="131"/>
      <c r="KW71" s="131"/>
      <c r="KX71" s="131"/>
      <c r="KY71" s="131"/>
      <c r="KZ71" s="131"/>
      <c r="LA71" s="131"/>
      <c r="LB71" s="131"/>
      <c r="LC71" s="131"/>
      <c r="LD71" s="131"/>
      <c r="LE71" s="131"/>
      <c r="LF71" s="131"/>
      <c r="LG71" s="131"/>
      <c r="LH71" s="131"/>
      <c r="LI71" s="131"/>
      <c r="LJ71" s="131"/>
      <c r="LK71" s="131"/>
      <c r="LL71" s="131"/>
      <c r="LM71" s="131"/>
      <c r="LN71" s="131"/>
      <c r="LO71" s="131"/>
      <c r="LP71" s="131"/>
      <c r="LQ71" s="131"/>
      <c r="LR71" s="131"/>
      <c r="LS71" s="131"/>
      <c r="LT71" s="131"/>
      <c r="LU71" s="131"/>
      <c r="LV71" s="131"/>
      <c r="LW71" s="131"/>
      <c r="LX71" s="131"/>
      <c r="LY71" s="131"/>
      <c r="LZ71" s="131"/>
      <c r="MA71" s="131"/>
      <c r="MB71" s="131"/>
      <c r="MC71" s="131"/>
      <c r="MD71" s="131"/>
      <c r="ME71" s="131"/>
      <c r="MF71" s="131"/>
      <c r="MG71" s="131"/>
      <c r="MH71" s="131"/>
      <c r="MI71" s="131"/>
      <c r="MJ71" s="131"/>
      <c r="MK71" s="131"/>
      <c r="ML71" s="131"/>
      <c r="MM71" s="131"/>
      <c r="MN71" s="131"/>
      <c r="MO71" s="131"/>
      <c r="MP71" s="131"/>
      <c r="MQ71" s="131"/>
      <c r="MR71" s="131"/>
      <c r="MS71" s="131"/>
      <c r="MT71" s="131"/>
      <c r="MU71" s="131"/>
      <c r="MV71" s="131"/>
      <c r="MW71" s="131"/>
      <c r="MX71" s="131"/>
      <c r="MY71" s="131"/>
      <c r="MZ71" s="131"/>
      <c r="NA71" s="131"/>
      <c r="NB71" s="131"/>
      <c r="NC71" s="131"/>
      <c r="ND71" s="131"/>
      <c r="NE71" s="131"/>
      <c r="NF71" s="131"/>
      <c r="NG71" s="131"/>
      <c r="NH71" s="131"/>
      <c r="NI71" s="131"/>
      <c r="NJ71" s="131"/>
      <c r="NK71" s="131"/>
      <c r="NL71" s="131"/>
      <c r="NM71" s="131"/>
      <c r="NN71" s="131"/>
      <c r="NO71" s="131"/>
      <c r="NP71" s="131"/>
      <c r="NQ71" s="131"/>
      <c r="NR71" s="131"/>
      <c r="NS71" s="131"/>
      <c r="NT71" s="131"/>
      <c r="NU71" s="131"/>
      <c r="NV71" s="131"/>
      <c r="NW71" s="24">
        <f t="shared" si="11"/>
        <v>0</v>
      </c>
      <c r="NX71" s="56" t="s">
        <v>36</v>
      </c>
      <c r="NY71" s="127">
        <v>5983.05</v>
      </c>
      <c r="NZ71" s="78">
        <f t="shared" si="14"/>
        <v>5983.05</v>
      </c>
      <c r="OA71" s="78">
        <f>4407.4/1.2</f>
        <v>3672.833333333333</v>
      </c>
      <c r="OB71" s="127">
        <f t="shared" si="12"/>
        <v>0</v>
      </c>
      <c r="OC71" s="153">
        <v>5983.05</v>
      </c>
      <c r="OD71" s="108">
        <f t="shared" si="13"/>
        <v>1.6290012252121433</v>
      </c>
      <c r="OE71" s="160" t="s">
        <v>526</v>
      </c>
    </row>
    <row r="72" spans="1:395" s="5" customFormat="1" ht="12.75" customHeight="1" x14ac:dyDescent="0.25">
      <c r="A72" s="62">
        <v>44539</v>
      </c>
      <c r="B72" s="116" t="s">
        <v>129</v>
      </c>
      <c r="C72" s="129"/>
      <c r="D72" s="129"/>
      <c r="E72" s="130"/>
      <c r="F72" s="130"/>
      <c r="G72" s="130"/>
      <c r="H72" s="130"/>
      <c r="I72" s="130"/>
      <c r="J72" s="130"/>
      <c r="K72" s="130"/>
      <c r="L72" s="130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  <c r="AE72" s="131"/>
      <c r="AF72" s="131"/>
      <c r="AG72" s="131"/>
      <c r="AH72" s="131"/>
      <c r="AI72" s="131"/>
      <c r="AJ72" s="131"/>
      <c r="AK72" s="131"/>
      <c r="AL72" s="131"/>
      <c r="AM72" s="131"/>
      <c r="AN72" s="131"/>
      <c r="AO72" s="131"/>
      <c r="AP72" s="131"/>
      <c r="AQ72" s="131"/>
      <c r="AR72" s="131"/>
      <c r="AS72" s="131"/>
      <c r="AT72" s="131"/>
      <c r="AU72" s="131"/>
      <c r="AV72" s="131"/>
      <c r="AW72" s="131"/>
      <c r="AX72" s="131"/>
      <c r="AY72" s="131"/>
      <c r="AZ72" s="131"/>
      <c r="BA72" s="131"/>
      <c r="BB72" s="131"/>
      <c r="BC72" s="131"/>
      <c r="BD72" s="131"/>
      <c r="BE72" s="131"/>
      <c r="BF72" s="131"/>
      <c r="BG72" s="131"/>
      <c r="BH72" s="131"/>
      <c r="BI72" s="131"/>
      <c r="BJ72" s="131"/>
      <c r="BK72" s="131"/>
      <c r="BL72" s="131"/>
      <c r="BM72" s="131"/>
      <c r="BN72" s="131"/>
      <c r="BO72" s="131"/>
      <c r="BP72" s="131"/>
      <c r="BQ72" s="131"/>
      <c r="BR72" s="131"/>
      <c r="BS72" s="131"/>
      <c r="BT72" s="131"/>
      <c r="BU72" s="131"/>
      <c r="BV72" s="131"/>
      <c r="BW72" s="131"/>
      <c r="BX72" s="131"/>
      <c r="BY72" s="131"/>
      <c r="BZ72" s="131"/>
      <c r="CA72" s="131"/>
      <c r="CB72" s="131"/>
      <c r="CC72" s="131"/>
      <c r="CD72" s="131"/>
      <c r="CE72" s="131"/>
      <c r="CF72" s="131"/>
      <c r="CG72" s="131"/>
      <c r="CH72" s="131"/>
      <c r="CI72" s="131"/>
      <c r="CJ72" s="131"/>
      <c r="CK72" s="131"/>
      <c r="CL72" s="131"/>
      <c r="CM72" s="131"/>
      <c r="CN72" s="131"/>
      <c r="CO72" s="131"/>
      <c r="CP72" s="131"/>
      <c r="CQ72" s="131"/>
      <c r="CR72" s="131"/>
      <c r="CS72" s="131"/>
      <c r="CT72" s="131"/>
      <c r="CU72" s="131"/>
      <c r="CV72" s="131"/>
      <c r="CW72" s="131"/>
      <c r="CX72" s="131"/>
      <c r="CY72" s="131"/>
      <c r="CZ72" s="131"/>
      <c r="DA72" s="131"/>
      <c r="DB72" s="131"/>
      <c r="DC72" s="131"/>
      <c r="DD72" s="131"/>
      <c r="DE72" s="131"/>
      <c r="DF72" s="131"/>
      <c r="DG72" s="131"/>
      <c r="DH72" s="131"/>
      <c r="DI72" s="131"/>
      <c r="DJ72" s="131"/>
      <c r="DK72" s="131"/>
      <c r="DL72" s="131"/>
      <c r="DM72" s="131"/>
      <c r="DN72" s="131"/>
      <c r="DO72" s="131"/>
      <c r="DP72" s="131"/>
      <c r="DQ72" s="131"/>
      <c r="DR72" s="131"/>
      <c r="DS72" s="131"/>
      <c r="DT72" s="131"/>
      <c r="DU72" s="131"/>
      <c r="DV72" s="131"/>
      <c r="DW72" s="131"/>
      <c r="DX72" s="131"/>
      <c r="DY72" s="131"/>
      <c r="DZ72" s="131"/>
      <c r="EA72" s="131"/>
      <c r="EB72" s="131"/>
      <c r="EC72" s="131"/>
      <c r="ED72" s="131"/>
      <c r="EE72" s="131"/>
      <c r="EF72" s="131"/>
      <c r="EG72" s="131"/>
      <c r="EH72" s="131"/>
      <c r="EI72" s="131"/>
      <c r="EJ72" s="131"/>
      <c r="EK72" s="131"/>
      <c r="EL72" s="131"/>
      <c r="EM72" s="131"/>
      <c r="EN72" s="131"/>
      <c r="EO72" s="131"/>
      <c r="EP72" s="131"/>
      <c r="EQ72" s="131"/>
      <c r="ER72" s="131"/>
      <c r="ES72" s="131"/>
      <c r="ET72" s="131"/>
      <c r="EU72" s="131"/>
      <c r="EV72" s="131"/>
      <c r="EW72" s="131"/>
      <c r="EX72" s="131"/>
      <c r="EY72" s="131"/>
      <c r="EZ72" s="131"/>
      <c r="FA72" s="131"/>
      <c r="FB72" s="131"/>
      <c r="FC72" s="131"/>
      <c r="FD72" s="131"/>
      <c r="FE72" s="131"/>
      <c r="FF72" s="131"/>
      <c r="FG72" s="131"/>
      <c r="FH72" s="131"/>
      <c r="FI72" s="131"/>
      <c r="FJ72" s="131"/>
      <c r="FK72" s="131"/>
      <c r="FL72" s="131"/>
      <c r="FM72" s="131"/>
      <c r="FN72" s="131"/>
      <c r="FO72" s="131"/>
      <c r="FP72" s="131"/>
      <c r="FQ72" s="131"/>
      <c r="FR72" s="131"/>
      <c r="FS72" s="131"/>
      <c r="FT72" s="131"/>
      <c r="FU72" s="131"/>
      <c r="FV72" s="131"/>
      <c r="FW72" s="131"/>
      <c r="FX72" s="131"/>
      <c r="FY72" s="131"/>
      <c r="FZ72" s="131"/>
      <c r="GA72" s="131"/>
      <c r="GB72" s="131"/>
      <c r="GC72" s="131"/>
      <c r="GD72" s="131"/>
      <c r="GE72" s="131"/>
      <c r="GF72" s="131"/>
      <c r="GG72" s="131"/>
      <c r="GH72" s="131"/>
      <c r="GI72" s="131"/>
      <c r="GJ72" s="131"/>
      <c r="GK72" s="131"/>
      <c r="GL72" s="131"/>
      <c r="GM72" s="131"/>
      <c r="GN72" s="131"/>
      <c r="GO72" s="131"/>
      <c r="GP72" s="131"/>
      <c r="GQ72" s="131"/>
      <c r="GR72" s="131"/>
      <c r="GS72" s="131"/>
      <c r="GT72" s="131"/>
      <c r="GU72" s="131"/>
      <c r="GV72" s="131"/>
      <c r="GW72" s="131"/>
      <c r="GX72" s="131"/>
      <c r="GY72" s="131"/>
      <c r="GZ72" s="131"/>
      <c r="HA72" s="131"/>
      <c r="HB72" s="131"/>
      <c r="HC72" s="131"/>
      <c r="HD72" s="131"/>
      <c r="HE72" s="131"/>
      <c r="HF72" s="131"/>
      <c r="HG72" s="131"/>
      <c r="HH72" s="131"/>
      <c r="HI72" s="131"/>
      <c r="HJ72" s="131"/>
      <c r="HK72" s="131"/>
      <c r="HL72" s="131"/>
      <c r="HM72" s="131"/>
      <c r="HN72" s="131"/>
      <c r="HO72" s="131"/>
      <c r="HP72" s="131"/>
      <c r="HQ72" s="131"/>
      <c r="HR72" s="131"/>
      <c r="HS72" s="131"/>
      <c r="HT72" s="131"/>
      <c r="HU72" s="131"/>
      <c r="HV72" s="131"/>
      <c r="HW72" s="131"/>
      <c r="HX72" s="131"/>
      <c r="HY72" s="131"/>
      <c r="HZ72" s="131"/>
      <c r="IA72" s="131"/>
      <c r="IB72" s="131"/>
      <c r="IC72" s="131"/>
      <c r="ID72" s="131"/>
      <c r="IE72" s="131"/>
      <c r="IF72" s="131"/>
      <c r="IG72" s="131"/>
      <c r="IH72" s="131"/>
      <c r="II72" s="131"/>
      <c r="IJ72" s="131"/>
      <c r="IK72" s="131"/>
      <c r="IL72" s="131"/>
      <c r="IM72" s="131"/>
      <c r="IN72" s="131"/>
      <c r="IO72" s="131"/>
      <c r="IP72" s="131"/>
      <c r="IQ72" s="131"/>
      <c r="IR72" s="131"/>
      <c r="IS72" s="131"/>
      <c r="IT72" s="131"/>
      <c r="IU72" s="131"/>
      <c r="IV72" s="131"/>
      <c r="IW72" s="131"/>
      <c r="IX72" s="131"/>
      <c r="IY72" s="131"/>
      <c r="IZ72" s="131"/>
      <c r="JA72" s="131"/>
      <c r="JB72" s="131"/>
      <c r="JC72" s="131"/>
      <c r="JD72" s="131"/>
      <c r="JE72" s="131"/>
      <c r="JF72" s="131"/>
      <c r="JG72" s="131"/>
      <c r="JH72" s="131"/>
      <c r="JI72" s="131"/>
      <c r="JJ72" s="131"/>
      <c r="JK72" s="131"/>
      <c r="JL72" s="131"/>
      <c r="JM72" s="131"/>
      <c r="JN72" s="131"/>
      <c r="JO72" s="131"/>
      <c r="JP72" s="131"/>
      <c r="JQ72" s="131"/>
      <c r="JR72" s="131"/>
      <c r="JS72" s="131"/>
      <c r="JT72" s="131"/>
      <c r="JU72" s="131"/>
      <c r="JV72" s="131"/>
      <c r="JW72" s="131"/>
      <c r="JX72" s="131"/>
      <c r="JY72" s="131"/>
      <c r="JZ72" s="131"/>
      <c r="KA72" s="131"/>
      <c r="KB72" s="131"/>
      <c r="KC72" s="131"/>
      <c r="KD72" s="131"/>
      <c r="KE72" s="131"/>
      <c r="KF72" s="131"/>
      <c r="KG72" s="131"/>
      <c r="KH72" s="131"/>
      <c r="KI72" s="131"/>
      <c r="KJ72" s="131"/>
      <c r="KK72" s="131"/>
      <c r="KL72" s="131"/>
      <c r="KM72" s="131"/>
      <c r="KN72" s="131"/>
      <c r="KO72" s="131"/>
      <c r="KP72" s="131"/>
      <c r="KQ72" s="131"/>
      <c r="KR72" s="131"/>
      <c r="KS72" s="131"/>
      <c r="KT72" s="131"/>
      <c r="KU72" s="131"/>
      <c r="KV72" s="131"/>
      <c r="KW72" s="131"/>
      <c r="KX72" s="131"/>
      <c r="KY72" s="131"/>
      <c r="KZ72" s="131"/>
      <c r="LA72" s="131"/>
      <c r="LB72" s="131"/>
      <c r="LC72" s="131"/>
      <c r="LD72" s="131"/>
      <c r="LE72" s="131"/>
      <c r="LF72" s="131"/>
      <c r="LG72" s="131"/>
      <c r="LH72" s="131"/>
      <c r="LI72" s="131"/>
      <c r="LJ72" s="131"/>
      <c r="LK72" s="131"/>
      <c r="LL72" s="131"/>
      <c r="LM72" s="131"/>
      <c r="LN72" s="131"/>
      <c r="LO72" s="131"/>
      <c r="LP72" s="131"/>
      <c r="LQ72" s="131"/>
      <c r="LR72" s="131"/>
      <c r="LS72" s="131"/>
      <c r="LT72" s="131"/>
      <c r="LU72" s="131"/>
      <c r="LV72" s="131"/>
      <c r="LW72" s="131"/>
      <c r="LX72" s="131"/>
      <c r="LY72" s="131"/>
      <c r="LZ72" s="131"/>
      <c r="MA72" s="131"/>
      <c r="MB72" s="131"/>
      <c r="MC72" s="131"/>
      <c r="MD72" s="131"/>
      <c r="ME72" s="131"/>
      <c r="MF72" s="131"/>
      <c r="MG72" s="131"/>
      <c r="MH72" s="131"/>
      <c r="MI72" s="131"/>
      <c r="MJ72" s="131"/>
      <c r="MK72" s="131"/>
      <c r="ML72" s="131"/>
      <c r="MM72" s="131"/>
      <c r="MN72" s="131"/>
      <c r="MO72" s="131"/>
      <c r="MP72" s="131"/>
      <c r="MQ72" s="131"/>
      <c r="MR72" s="131"/>
      <c r="MS72" s="131"/>
      <c r="MT72" s="131"/>
      <c r="MU72" s="131"/>
      <c r="MV72" s="131"/>
      <c r="MW72" s="131"/>
      <c r="MX72" s="131"/>
      <c r="MY72" s="131"/>
      <c r="MZ72" s="131"/>
      <c r="NA72" s="131"/>
      <c r="NB72" s="131"/>
      <c r="NC72" s="131"/>
      <c r="ND72" s="131"/>
      <c r="NE72" s="131"/>
      <c r="NF72" s="131"/>
      <c r="NG72" s="131"/>
      <c r="NH72" s="131"/>
      <c r="NI72" s="131"/>
      <c r="NJ72" s="131"/>
      <c r="NK72" s="131"/>
      <c r="NL72" s="131"/>
      <c r="NM72" s="131"/>
      <c r="NN72" s="131"/>
      <c r="NO72" s="131"/>
      <c r="NP72" s="131"/>
      <c r="NQ72" s="131"/>
      <c r="NR72" s="131"/>
      <c r="NS72" s="131"/>
      <c r="NT72" s="131"/>
      <c r="NU72" s="131"/>
      <c r="NV72" s="131"/>
      <c r="NW72" s="24">
        <f t="shared" si="11"/>
        <v>0</v>
      </c>
      <c r="NX72" s="56" t="s">
        <v>36</v>
      </c>
      <c r="NY72" s="127">
        <v>1131.98</v>
      </c>
      <c r="NZ72" s="78">
        <f t="shared" si="14"/>
        <v>1131.96</v>
      </c>
      <c r="OA72" s="78">
        <v>713.53</v>
      </c>
      <c r="OB72" s="127">
        <f t="shared" si="12"/>
        <v>1.999999999998181E-2</v>
      </c>
      <c r="OC72" s="153">
        <v>1131.96</v>
      </c>
      <c r="OD72" s="108">
        <f t="shared" si="13"/>
        <v>1.5864504645915378</v>
      </c>
      <c r="OE72" s="160" t="s">
        <v>538</v>
      </c>
    </row>
    <row r="73" spans="1:395" s="5" customFormat="1" ht="12.75" hidden="1" customHeight="1" x14ac:dyDescent="0.25">
      <c r="A73" s="62">
        <v>44539</v>
      </c>
      <c r="B73" s="116" t="s">
        <v>370</v>
      </c>
      <c r="C73" s="129"/>
      <c r="D73" s="129"/>
      <c r="E73" s="130"/>
      <c r="F73" s="130"/>
      <c r="G73" s="130"/>
      <c r="H73" s="130"/>
      <c r="I73" s="130"/>
      <c r="J73" s="130"/>
      <c r="K73" s="130"/>
      <c r="L73" s="130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  <c r="AE73" s="131"/>
      <c r="AF73" s="131"/>
      <c r="AG73" s="131"/>
      <c r="AH73" s="131"/>
      <c r="AI73" s="131"/>
      <c r="AJ73" s="131"/>
      <c r="AK73" s="131"/>
      <c r="AL73" s="131"/>
      <c r="AM73" s="131"/>
      <c r="AN73" s="131"/>
      <c r="AO73" s="131"/>
      <c r="AP73" s="131"/>
      <c r="AQ73" s="131"/>
      <c r="AR73" s="131"/>
      <c r="AS73" s="131"/>
      <c r="AT73" s="131"/>
      <c r="AU73" s="131"/>
      <c r="AV73" s="131"/>
      <c r="AW73" s="131"/>
      <c r="AX73" s="131"/>
      <c r="AY73" s="131"/>
      <c r="AZ73" s="131"/>
      <c r="BA73" s="131"/>
      <c r="BB73" s="131"/>
      <c r="BC73" s="131"/>
      <c r="BD73" s="131"/>
      <c r="BE73" s="131"/>
      <c r="BF73" s="131"/>
      <c r="BG73" s="131"/>
      <c r="BH73" s="131"/>
      <c r="BI73" s="131"/>
      <c r="BJ73" s="131"/>
      <c r="BK73" s="131"/>
      <c r="BL73" s="131"/>
      <c r="BM73" s="131"/>
      <c r="BN73" s="131"/>
      <c r="BO73" s="131"/>
      <c r="BP73" s="131"/>
      <c r="BQ73" s="131"/>
      <c r="BR73" s="131"/>
      <c r="BS73" s="131"/>
      <c r="BT73" s="131"/>
      <c r="BU73" s="131"/>
      <c r="BV73" s="131"/>
      <c r="BW73" s="131"/>
      <c r="BX73" s="131"/>
      <c r="BY73" s="131"/>
      <c r="BZ73" s="131"/>
      <c r="CA73" s="131"/>
      <c r="CB73" s="131"/>
      <c r="CC73" s="131"/>
      <c r="CD73" s="131"/>
      <c r="CE73" s="131"/>
      <c r="CF73" s="131"/>
      <c r="CG73" s="131"/>
      <c r="CH73" s="131"/>
      <c r="CI73" s="131"/>
      <c r="CJ73" s="131"/>
      <c r="CK73" s="131"/>
      <c r="CL73" s="131"/>
      <c r="CM73" s="131"/>
      <c r="CN73" s="131"/>
      <c r="CO73" s="131"/>
      <c r="CP73" s="131"/>
      <c r="CQ73" s="131"/>
      <c r="CR73" s="131"/>
      <c r="CS73" s="131"/>
      <c r="CT73" s="131"/>
      <c r="CU73" s="131"/>
      <c r="CV73" s="131"/>
      <c r="CW73" s="131"/>
      <c r="CX73" s="131"/>
      <c r="CY73" s="131"/>
      <c r="CZ73" s="131"/>
      <c r="DA73" s="131"/>
      <c r="DB73" s="131"/>
      <c r="DC73" s="131"/>
      <c r="DD73" s="131"/>
      <c r="DE73" s="131"/>
      <c r="DF73" s="131"/>
      <c r="DG73" s="131"/>
      <c r="DH73" s="131"/>
      <c r="DI73" s="131"/>
      <c r="DJ73" s="131"/>
      <c r="DK73" s="131"/>
      <c r="DL73" s="131"/>
      <c r="DM73" s="131"/>
      <c r="DN73" s="131"/>
      <c r="DO73" s="131"/>
      <c r="DP73" s="131"/>
      <c r="DQ73" s="131"/>
      <c r="DR73" s="131"/>
      <c r="DS73" s="131"/>
      <c r="DT73" s="131"/>
      <c r="DU73" s="131"/>
      <c r="DV73" s="131"/>
      <c r="DW73" s="131"/>
      <c r="DX73" s="131"/>
      <c r="DY73" s="131"/>
      <c r="DZ73" s="131"/>
      <c r="EA73" s="131"/>
      <c r="EB73" s="131"/>
      <c r="EC73" s="131"/>
      <c r="ED73" s="131"/>
      <c r="EE73" s="131"/>
      <c r="EF73" s="131"/>
      <c r="EG73" s="131"/>
      <c r="EH73" s="131"/>
      <c r="EI73" s="131"/>
      <c r="EJ73" s="131"/>
      <c r="EK73" s="131"/>
      <c r="EL73" s="131"/>
      <c r="EM73" s="131"/>
      <c r="EN73" s="131"/>
      <c r="EO73" s="131"/>
      <c r="EP73" s="131"/>
      <c r="EQ73" s="131"/>
      <c r="ER73" s="131"/>
      <c r="ES73" s="131"/>
      <c r="ET73" s="131"/>
      <c r="EU73" s="131"/>
      <c r="EV73" s="131"/>
      <c r="EW73" s="131"/>
      <c r="EX73" s="131"/>
      <c r="EY73" s="131"/>
      <c r="EZ73" s="131"/>
      <c r="FA73" s="131"/>
      <c r="FB73" s="131"/>
      <c r="FC73" s="131"/>
      <c r="FD73" s="131"/>
      <c r="FE73" s="131"/>
      <c r="FF73" s="131"/>
      <c r="FG73" s="131"/>
      <c r="FH73" s="131"/>
      <c r="FI73" s="131"/>
      <c r="FJ73" s="131"/>
      <c r="FK73" s="131"/>
      <c r="FL73" s="131"/>
      <c r="FM73" s="131"/>
      <c r="FN73" s="131"/>
      <c r="FO73" s="131"/>
      <c r="FP73" s="131"/>
      <c r="FQ73" s="131"/>
      <c r="FR73" s="131"/>
      <c r="FS73" s="131"/>
      <c r="FT73" s="131"/>
      <c r="FU73" s="131"/>
      <c r="FV73" s="131"/>
      <c r="FW73" s="131"/>
      <c r="FX73" s="131"/>
      <c r="FY73" s="131"/>
      <c r="FZ73" s="131"/>
      <c r="GA73" s="131"/>
      <c r="GB73" s="131"/>
      <c r="GC73" s="131"/>
      <c r="GD73" s="131"/>
      <c r="GE73" s="131"/>
      <c r="GF73" s="131"/>
      <c r="GG73" s="131"/>
      <c r="GH73" s="131"/>
      <c r="GI73" s="131"/>
      <c r="GJ73" s="131"/>
      <c r="GK73" s="131"/>
      <c r="GL73" s="131"/>
      <c r="GM73" s="131"/>
      <c r="GN73" s="131"/>
      <c r="GO73" s="131"/>
      <c r="GP73" s="131"/>
      <c r="GQ73" s="131"/>
      <c r="GR73" s="131"/>
      <c r="GS73" s="131"/>
      <c r="GT73" s="131"/>
      <c r="GU73" s="131"/>
      <c r="GV73" s="131"/>
      <c r="GW73" s="131"/>
      <c r="GX73" s="131"/>
      <c r="GY73" s="131"/>
      <c r="GZ73" s="131"/>
      <c r="HA73" s="131"/>
      <c r="HB73" s="131"/>
      <c r="HC73" s="131"/>
      <c r="HD73" s="131"/>
      <c r="HE73" s="131"/>
      <c r="HF73" s="131"/>
      <c r="HG73" s="131"/>
      <c r="HH73" s="131"/>
      <c r="HI73" s="131"/>
      <c r="HJ73" s="131"/>
      <c r="HK73" s="131"/>
      <c r="HL73" s="131"/>
      <c r="HM73" s="131"/>
      <c r="HN73" s="131"/>
      <c r="HO73" s="131"/>
      <c r="HP73" s="131"/>
      <c r="HQ73" s="131"/>
      <c r="HR73" s="131"/>
      <c r="HS73" s="131"/>
      <c r="HT73" s="131"/>
      <c r="HU73" s="131"/>
      <c r="HV73" s="131"/>
      <c r="HW73" s="131"/>
      <c r="HX73" s="131"/>
      <c r="HY73" s="131"/>
      <c r="HZ73" s="131"/>
      <c r="IA73" s="131"/>
      <c r="IB73" s="131"/>
      <c r="IC73" s="131"/>
      <c r="ID73" s="131"/>
      <c r="IE73" s="131"/>
      <c r="IF73" s="131"/>
      <c r="IG73" s="131"/>
      <c r="IH73" s="131"/>
      <c r="II73" s="131"/>
      <c r="IJ73" s="131"/>
      <c r="IK73" s="131"/>
      <c r="IL73" s="131"/>
      <c r="IM73" s="131"/>
      <c r="IN73" s="131"/>
      <c r="IO73" s="131"/>
      <c r="IP73" s="131"/>
      <c r="IQ73" s="131"/>
      <c r="IR73" s="131"/>
      <c r="IS73" s="131"/>
      <c r="IT73" s="131"/>
      <c r="IU73" s="131"/>
      <c r="IV73" s="131"/>
      <c r="IW73" s="131"/>
      <c r="IX73" s="131"/>
      <c r="IY73" s="131"/>
      <c r="IZ73" s="131"/>
      <c r="JA73" s="131"/>
      <c r="JB73" s="131"/>
      <c r="JC73" s="131"/>
      <c r="JD73" s="131"/>
      <c r="JE73" s="131"/>
      <c r="JF73" s="131"/>
      <c r="JG73" s="131"/>
      <c r="JH73" s="131"/>
      <c r="JI73" s="131"/>
      <c r="JJ73" s="131"/>
      <c r="JK73" s="131"/>
      <c r="JL73" s="131"/>
      <c r="JM73" s="131"/>
      <c r="JN73" s="131"/>
      <c r="JO73" s="131"/>
      <c r="JP73" s="131"/>
      <c r="JQ73" s="131"/>
      <c r="JR73" s="131"/>
      <c r="JS73" s="131"/>
      <c r="JT73" s="131"/>
      <c r="JU73" s="131"/>
      <c r="JV73" s="131"/>
      <c r="JW73" s="131"/>
      <c r="JX73" s="131"/>
      <c r="JY73" s="131"/>
      <c r="JZ73" s="131"/>
      <c r="KA73" s="131"/>
      <c r="KB73" s="131"/>
      <c r="KC73" s="131"/>
      <c r="KD73" s="131"/>
      <c r="KE73" s="131"/>
      <c r="KF73" s="131"/>
      <c r="KG73" s="131"/>
      <c r="KH73" s="131"/>
      <c r="KI73" s="131"/>
      <c r="KJ73" s="131"/>
      <c r="KK73" s="131"/>
      <c r="KL73" s="131"/>
      <c r="KM73" s="131"/>
      <c r="KN73" s="131"/>
      <c r="KO73" s="131"/>
      <c r="KP73" s="131"/>
      <c r="KQ73" s="131"/>
      <c r="KR73" s="131"/>
      <c r="KS73" s="131"/>
      <c r="KT73" s="131"/>
      <c r="KU73" s="131"/>
      <c r="KV73" s="131"/>
      <c r="KW73" s="131"/>
      <c r="KX73" s="131"/>
      <c r="KY73" s="131"/>
      <c r="KZ73" s="131"/>
      <c r="LA73" s="131"/>
      <c r="LB73" s="131"/>
      <c r="LC73" s="131"/>
      <c r="LD73" s="131"/>
      <c r="LE73" s="131"/>
      <c r="LF73" s="131"/>
      <c r="LG73" s="131"/>
      <c r="LH73" s="131"/>
      <c r="LI73" s="131"/>
      <c r="LJ73" s="131"/>
      <c r="LK73" s="131"/>
      <c r="LL73" s="131"/>
      <c r="LM73" s="131"/>
      <c r="LN73" s="131"/>
      <c r="LO73" s="131"/>
      <c r="LP73" s="131"/>
      <c r="LQ73" s="131"/>
      <c r="LR73" s="131"/>
      <c r="LS73" s="131"/>
      <c r="LT73" s="131"/>
      <c r="LU73" s="131"/>
      <c r="LV73" s="131"/>
      <c r="LW73" s="131"/>
      <c r="LX73" s="131"/>
      <c r="LY73" s="131"/>
      <c r="LZ73" s="131"/>
      <c r="MA73" s="131"/>
      <c r="MB73" s="131"/>
      <c r="MC73" s="131"/>
      <c r="MD73" s="131"/>
      <c r="ME73" s="131"/>
      <c r="MF73" s="131"/>
      <c r="MG73" s="131"/>
      <c r="MH73" s="131"/>
      <c r="MI73" s="131"/>
      <c r="MJ73" s="131"/>
      <c r="MK73" s="131"/>
      <c r="ML73" s="131"/>
      <c r="MM73" s="131"/>
      <c r="MN73" s="131"/>
      <c r="MO73" s="131"/>
      <c r="MP73" s="131"/>
      <c r="MQ73" s="131"/>
      <c r="MR73" s="131"/>
      <c r="MS73" s="131"/>
      <c r="MT73" s="131"/>
      <c r="MU73" s="131"/>
      <c r="MV73" s="131"/>
      <c r="MW73" s="131"/>
      <c r="MX73" s="131"/>
      <c r="MY73" s="131"/>
      <c r="MZ73" s="131"/>
      <c r="NA73" s="131"/>
      <c r="NB73" s="131"/>
      <c r="NC73" s="131"/>
      <c r="ND73" s="131"/>
      <c r="NE73" s="131"/>
      <c r="NF73" s="131"/>
      <c r="NG73" s="131"/>
      <c r="NH73" s="131"/>
      <c r="NI73" s="131"/>
      <c r="NJ73" s="131"/>
      <c r="NK73" s="131"/>
      <c r="NL73" s="131"/>
      <c r="NM73" s="131"/>
      <c r="NN73" s="131"/>
      <c r="NO73" s="131"/>
      <c r="NP73" s="131"/>
      <c r="NQ73" s="131"/>
      <c r="NR73" s="131"/>
      <c r="NS73" s="131"/>
      <c r="NT73" s="131"/>
      <c r="NU73" s="131"/>
      <c r="NV73" s="131"/>
      <c r="NW73" s="24">
        <f t="shared" si="11"/>
        <v>0</v>
      </c>
      <c r="NX73" s="56" t="s">
        <v>36</v>
      </c>
      <c r="NY73" s="127">
        <v>3084</v>
      </c>
      <c r="NZ73" s="78">
        <f t="shared" si="14"/>
        <v>3084</v>
      </c>
      <c r="OA73" s="78">
        <v>2092</v>
      </c>
      <c r="OB73" s="127">
        <f t="shared" si="12"/>
        <v>0</v>
      </c>
      <c r="OC73" s="153">
        <v>3084</v>
      </c>
      <c r="OD73" s="108">
        <f t="shared" si="13"/>
        <v>1.4741873804971319</v>
      </c>
      <c r="OE73" s="160" t="s">
        <v>539</v>
      </c>
    </row>
    <row r="74" spans="1:395" s="5" customFormat="1" ht="12.75" hidden="1" customHeight="1" x14ac:dyDescent="0.25">
      <c r="A74" s="62">
        <v>44543</v>
      </c>
      <c r="B74" s="106" t="s">
        <v>446</v>
      </c>
      <c r="C74" s="129"/>
      <c r="D74" s="129"/>
      <c r="E74" s="130"/>
      <c r="F74" s="130"/>
      <c r="G74" s="130"/>
      <c r="H74" s="130"/>
      <c r="I74" s="130"/>
      <c r="J74" s="130"/>
      <c r="K74" s="130"/>
      <c r="L74" s="130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  <c r="AE74" s="131"/>
      <c r="AF74" s="131"/>
      <c r="AG74" s="131"/>
      <c r="AH74" s="131"/>
      <c r="AI74" s="131"/>
      <c r="AJ74" s="131"/>
      <c r="AK74" s="131"/>
      <c r="AL74" s="131"/>
      <c r="AM74" s="131"/>
      <c r="AN74" s="131"/>
      <c r="AO74" s="131"/>
      <c r="AP74" s="131"/>
      <c r="AQ74" s="131"/>
      <c r="AR74" s="131"/>
      <c r="AS74" s="131"/>
      <c r="AT74" s="131"/>
      <c r="AU74" s="131"/>
      <c r="AV74" s="131"/>
      <c r="AW74" s="131"/>
      <c r="AX74" s="131"/>
      <c r="AY74" s="131"/>
      <c r="AZ74" s="131"/>
      <c r="BA74" s="131"/>
      <c r="BB74" s="131"/>
      <c r="BC74" s="131"/>
      <c r="BD74" s="131"/>
      <c r="BE74" s="131"/>
      <c r="BF74" s="131"/>
      <c r="BG74" s="131"/>
      <c r="BH74" s="131"/>
      <c r="BI74" s="131"/>
      <c r="BJ74" s="131"/>
      <c r="BK74" s="131"/>
      <c r="BL74" s="131"/>
      <c r="BM74" s="131"/>
      <c r="BN74" s="131"/>
      <c r="BO74" s="131"/>
      <c r="BP74" s="131"/>
      <c r="BQ74" s="131"/>
      <c r="BR74" s="131"/>
      <c r="BS74" s="131"/>
      <c r="BT74" s="131"/>
      <c r="BU74" s="131"/>
      <c r="BV74" s="131"/>
      <c r="BW74" s="131"/>
      <c r="BX74" s="131"/>
      <c r="BY74" s="131"/>
      <c r="BZ74" s="131"/>
      <c r="CA74" s="131"/>
      <c r="CB74" s="131"/>
      <c r="CC74" s="131"/>
      <c r="CD74" s="131"/>
      <c r="CE74" s="131"/>
      <c r="CF74" s="131"/>
      <c r="CG74" s="131"/>
      <c r="CH74" s="131"/>
      <c r="CI74" s="131"/>
      <c r="CJ74" s="131"/>
      <c r="CK74" s="131"/>
      <c r="CL74" s="131"/>
      <c r="CM74" s="131"/>
      <c r="CN74" s="131"/>
      <c r="CO74" s="131"/>
      <c r="CP74" s="131"/>
      <c r="CQ74" s="131"/>
      <c r="CR74" s="131"/>
      <c r="CS74" s="131"/>
      <c r="CT74" s="131"/>
      <c r="CU74" s="131"/>
      <c r="CV74" s="131"/>
      <c r="CW74" s="131"/>
      <c r="CX74" s="131"/>
      <c r="CY74" s="131"/>
      <c r="CZ74" s="131"/>
      <c r="DA74" s="131"/>
      <c r="DB74" s="131"/>
      <c r="DC74" s="131"/>
      <c r="DD74" s="131"/>
      <c r="DE74" s="131"/>
      <c r="DF74" s="131"/>
      <c r="DG74" s="131"/>
      <c r="DH74" s="131"/>
      <c r="DI74" s="131"/>
      <c r="DJ74" s="131"/>
      <c r="DK74" s="131"/>
      <c r="DL74" s="131"/>
      <c r="DM74" s="131"/>
      <c r="DN74" s="131"/>
      <c r="DO74" s="131"/>
      <c r="DP74" s="131"/>
      <c r="DQ74" s="131"/>
      <c r="DR74" s="131"/>
      <c r="DS74" s="131"/>
      <c r="DT74" s="131"/>
      <c r="DU74" s="131"/>
      <c r="DV74" s="131"/>
      <c r="DW74" s="131"/>
      <c r="DX74" s="131"/>
      <c r="DY74" s="131"/>
      <c r="DZ74" s="131"/>
      <c r="EA74" s="131"/>
      <c r="EB74" s="131"/>
      <c r="EC74" s="131"/>
      <c r="ED74" s="131"/>
      <c r="EE74" s="131"/>
      <c r="EF74" s="131"/>
      <c r="EG74" s="131"/>
      <c r="EH74" s="131"/>
      <c r="EI74" s="131"/>
      <c r="EJ74" s="131"/>
      <c r="EK74" s="131"/>
      <c r="EL74" s="131"/>
      <c r="EM74" s="131"/>
      <c r="EN74" s="131"/>
      <c r="EO74" s="131"/>
      <c r="EP74" s="131"/>
      <c r="EQ74" s="131"/>
      <c r="ER74" s="131"/>
      <c r="ES74" s="131"/>
      <c r="ET74" s="131"/>
      <c r="EU74" s="131"/>
      <c r="EV74" s="131"/>
      <c r="EW74" s="131"/>
      <c r="EX74" s="131"/>
      <c r="EY74" s="131"/>
      <c r="EZ74" s="131"/>
      <c r="FA74" s="131"/>
      <c r="FB74" s="131"/>
      <c r="FC74" s="131"/>
      <c r="FD74" s="131"/>
      <c r="FE74" s="131"/>
      <c r="FF74" s="131"/>
      <c r="FG74" s="131"/>
      <c r="FH74" s="131"/>
      <c r="FI74" s="131"/>
      <c r="FJ74" s="131"/>
      <c r="FK74" s="131"/>
      <c r="FL74" s="131"/>
      <c r="FM74" s="131"/>
      <c r="FN74" s="131"/>
      <c r="FO74" s="131"/>
      <c r="FP74" s="131"/>
      <c r="FQ74" s="131"/>
      <c r="FR74" s="131"/>
      <c r="FS74" s="131"/>
      <c r="FT74" s="131"/>
      <c r="FU74" s="131"/>
      <c r="FV74" s="131"/>
      <c r="FW74" s="131"/>
      <c r="FX74" s="131"/>
      <c r="FY74" s="131"/>
      <c r="FZ74" s="131"/>
      <c r="GA74" s="131"/>
      <c r="GB74" s="131"/>
      <c r="GC74" s="131"/>
      <c r="GD74" s="131"/>
      <c r="GE74" s="131"/>
      <c r="GF74" s="131"/>
      <c r="GG74" s="131"/>
      <c r="GH74" s="131"/>
      <c r="GI74" s="131"/>
      <c r="GJ74" s="131"/>
      <c r="GK74" s="131"/>
      <c r="GL74" s="131"/>
      <c r="GM74" s="131"/>
      <c r="GN74" s="131"/>
      <c r="GO74" s="131"/>
      <c r="GP74" s="131"/>
      <c r="GQ74" s="131"/>
      <c r="GR74" s="131"/>
      <c r="GS74" s="131"/>
      <c r="GT74" s="131"/>
      <c r="GU74" s="131"/>
      <c r="GV74" s="131"/>
      <c r="GW74" s="131"/>
      <c r="GX74" s="131"/>
      <c r="GY74" s="131"/>
      <c r="GZ74" s="131"/>
      <c r="HA74" s="131"/>
      <c r="HB74" s="131"/>
      <c r="HC74" s="131"/>
      <c r="HD74" s="131"/>
      <c r="HE74" s="131"/>
      <c r="HF74" s="131"/>
      <c r="HG74" s="131"/>
      <c r="HH74" s="131"/>
      <c r="HI74" s="131"/>
      <c r="HJ74" s="131"/>
      <c r="HK74" s="131"/>
      <c r="HL74" s="131"/>
      <c r="HM74" s="131"/>
      <c r="HN74" s="131"/>
      <c r="HO74" s="131"/>
      <c r="HP74" s="131"/>
      <c r="HQ74" s="131"/>
      <c r="HR74" s="131"/>
      <c r="HS74" s="131"/>
      <c r="HT74" s="131"/>
      <c r="HU74" s="131"/>
      <c r="HV74" s="131"/>
      <c r="HW74" s="131"/>
      <c r="HX74" s="131"/>
      <c r="HY74" s="131"/>
      <c r="HZ74" s="131"/>
      <c r="IA74" s="131"/>
      <c r="IB74" s="131"/>
      <c r="IC74" s="131"/>
      <c r="ID74" s="131"/>
      <c r="IE74" s="131"/>
      <c r="IF74" s="131"/>
      <c r="IG74" s="131"/>
      <c r="IH74" s="131"/>
      <c r="II74" s="131"/>
      <c r="IJ74" s="131"/>
      <c r="IK74" s="131"/>
      <c r="IL74" s="131"/>
      <c r="IM74" s="131"/>
      <c r="IN74" s="131"/>
      <c r="IO74" s="131"/>
      <c r="IP74" s="131"/>
      <c r="IQ74" s="131"/>
      <c r="IR74" s="131"/>
      <c r="IS74" s="131"/>
      <c r="IT74" s="131"/>
      <c r="IU74" s="131"/>
      <c r="IV74" s="131"/>
      <c r="IW74" s="131"/>
      <c r="IX74" s="131"/>
      <c r="IY74" s="131"/>
      <c r="IZ74" s="131"/>
      <c r="JA74" s="131"/>
      <c r="JB74" s="131"/>
      <c r="JC74" s="131"/>
      <c r="JD74" s="131"/>
      <c r="JE74" s="131"/>
      <c r="JF74" s="131"/>
      <c r="JG74" s="131"/>
      <c r="JH74" s="131"/>
      <c r="JI74" s="131"/>
      <c r="JJ74" s="131"/>
      <c r="JK74" s="131"/>
      <c r="JL74" s="131"/>
      <c r="JM74" s="131"/>
      <c r="JN74" s="131"/>
      <c r="JO74" s="131"/>
      <c r="JP74" s="131"/>
      <c r="JQ74" s="131"/>
      <c r="JR74" s="131"/>
      <c r="JS74" s="131"/>
      <c r="JT74" s="131"/>
      <c r="JU74" s="131"/>
      <c r="JV74" s="131"/>
      <c r="JW74" s="131"/>
      <c r="JX74" s="131"/>
      <c r="JY74" s="131"/>
      <c r="JZ74" s="131"/>
      <c r="KA74" s="131"/>
      <c r="KB74" s="131"/>
      <c r="KC74" s="131"/>
      <c r="KD74" s="131"/>
      <c r="KE74" s="131"/>
      <c r="KF74" s="131"/>
      <c r="KG74" s="131"/>
      <c r="KH74" s="131"/>
      <c r="KI74" s="131"/>
      <c r="KJ74" s="131"/>
      <c r="KK74" s="131"/>
      <c r="KL74" s="131"/>
      <c r="KM74" s="131"/>
      <c r="KN74" s="131"/>
      <c r="KO74" s="131"/>
      <c r="KP74" s="131"/>
      <c r="KQ74" s="131"/>
      <c r="KR74" s="131"/>
      <c r="KS74" s="131"/>
      <c r="KT74" s="131"/>
      <c r="KU74" s="131"/>
      <c r="KV74" s="131"/>
      <c r="KW74" s="131"/>
      <c r="KX74" s="131"/>
      <c r="KY74" s="131"/>
      <c r="KZ74" s="131"/>
      <c r="LA74" s="131"/>
      <c r="LB74" s="131"/>
      <c r="LC74" s="131"/>
      <c r="LD74" s="131"/>
      <c r="LE74" s="131"/>
      <c r="LF74" s="131"/>
      <c r="LG74" s="131"/>
      <c r="LH74" s="131"/>
      <c r="LI74" s="131"/>
      <c r="LJ74" s="131"/>
      <c r="LK74" s="131"/>
      <c r="LL74" s="131"/>
      <c r="LM74" s="131"/>
      <c r="LN74" s="131"/>
      <c r="LO74" s="131"/>
      <c r="LP74" s="131"/>
      <c r="LQ74" s="131"/>
      <c r="LR74" s="131"/>
      <c r="LS74" s="131"/>
      <c r="LT74" s="131"/>
      <c r="LU74" s="131"/>
      <c r="LV74" s="131"/>
      <c r="LW74" s="131"/>
      <c r="LX74" s="131"/>
      <c r="LY74" s="131"/>
      <c r="LZ74" s="131"/>
      <c r="MA74" s="131"/>
      <c r="MB74" s="131"/>
      <c r="MC74" s="131"/>
      <c r="MD74" s="131"/>
      <c r="ME74" s="131"/>
      <c r="MF74" s="131"/>
      <c r="MG74" s="131"/>
      <c r="MH74" s="131"/>
      <c r="MI74" s="131"/>
      <c r="MJ74" s="131"/>
      <c r="MK74" s="131"/>
      <c r="ML74" s="131"/>
      <c r="MM74" s="131"/>
      <c r="MN74" s="131"/>
      <c r="MO74" s="131"/>
      <c r="MP74" s="131"/>
      <c r="MQ74" s="131"/>
      <c r="MR74" s="131"/>
      <c r="MS74" s="131"/>
      <c r="MT74" s="131"/>
      <c r="MU74" s="131"/>
      <c r="MV74" s="131"/>
      <c r="MW74" s="131"/>
      <c r="MX74" s="131"/>
      <c r="MY74" s="131"/>
      <c r="MZ74" s="131"/>
      <c r="NA74" s="131"/>
      <c r="NB74" s="131"/>
      <c r="NC74" s="131"/>
      <c r="ND74" s="131"/>
      <c r="NE74" s="131"/>
      <c r="NF74" s="131"/>
      <c r="NG74" s="131"/>
      <c r="NH74" s="131"/>
      <c r="NI74" s="131"/>
      <c r="NJ74" s="131"/>
      <c r="NK74" s="131"/>
      <c r="NL74" s="131"/>
      <c r="NM74" s="131"/>
      <c r="NN74" s="131"/>
      <c r="NO74" s="131"/>
      <c r="NP74" s="131"/>
      <c r="NQ74" s="131"/>
      <c r="NR74" s="131"/>
      <c r="NS74" s="131"/>
      <c r="NT74" s="131"/>
      <c r="NU74" s="131"/>
      <c r="NV74" s="131"/>
      <c r="NW74" s="24">
        <f t="shared" si="11"/>
        <v>0</v>
      </c>
      <c r="NX74" s="56" t="s">
        <v>36</v>
      </c>
      <c r="NY74" s="127">
        <v>68.400000000000006</v>
      </c>
      <c r="NZ74" s="78">
        <f t="shared" si="14"/>
        <v>68.400000000000006</v>
      </c>
      <c r="OA74" s="78">
        <v>39.74</v>
      </c>
      <c r="OB74" s="127">
        <f t="shared" si="12"/>
        <v>0</v>
      </c>
      <c r="OC74" s="153">
        <v>68.400000000000006</v>
      </c>
      <c r="OD74" s="108">
        <f t="shared" si="13"/>
        <v>1.7211877201811776</v>
      </c>
      <c r="OE74" s="160" t="s">
        <v>542</v>
      </c>
    </row>
    <row r="75" spans="1:395" s="5" customFormat="1" ht="12.75" customHeight="1" x14ac:dyDescent="0.25">
      <c r="A75" s="62">
        <v>44543</v>
      </c>
      <c r="B75" s="116" t="s">
        <v>81</v>
      </c>
      <c r="C75" s="129"/>
      <c r="D75" s="129"/>
      <c r="E75" s="130"/>
      <c r="F75" s="130"/>
      <c r="G75" s="130"/>
      <c r="H75" s="130"/>
      <c r="I75" s="130"/>
      <c r="J75" s="130"/>
      <c r="K75" s="130"/>
      <c r="L75" s="130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  <c r="AE75" s="131"/>
      <c r="AF75" s="131"/>
      <c r="AG75" s="131"/>
      <c r="AH75" s="131"/>
      <c r="AI75" s="131"/>
      <c r="AJ75" s="131"/>
      <c r="AK75" s="131"/>
      <c r="AL75" s="131"/>
      <c r="AM75" s="131"/>
      <c r="AN75" s="131"/>
      <c r="AO75" s="131"/>
      <c r="AP75" s="131"/>
      <c r="AQ75" s="131"/>
      <c r="AR75" s="131"/>
      <c r="AS75" s="131"/>
      <c r="AT75" s="131"/>
      <c r="AU75" s="131"/>
      <c r="AV75" s="131"/>
      <c r="AW75" s="131"/>
      <c r="AX75" s="131"/>
      <c r="AY75" s="131"/>
      <c r="AZ75" s="131"/>
      <c r="BA75" s="131"/>
      <c r="BB75" s="131"/>
      <c r="BC75" s="131"/>
      <c r="BD75" s="131"/>
      <c r="BE75" s="131"/>
      <c r="BF75" s="131"/>
      <c r="BG75" s="131"/>
      <c r="BH75" s="131"/>
      <c r="BI75" s="131"/>
      <c r="BJ75" s="131"/>
      <c r="BK75" s="131"/>
      <c r="BL75" s="131"/>
      <c r="BM75" s="131"/>
      <c r="BN75" s="131"/>
      <c r="BO75" s="131"/>
      <c r="BP75" s="131"/>
      <c r="BQ75" s="131"/>
      <c r="BR75" s="131"/>
      <c r="BS75" s="131"/>
      <c r="BT75" s="131"/>
      <c r="BU75" s="131"/>
      <c r="BV75" s="131"/>
      <c r="BW75" s="131"/>
      <c r="BX75" s="131"/>
      <c r="BY75" s="131"/>
      <c r="BZ75" s="131"/>
      <c r="CA75" s="131"/>
      <c r="CB75" s="131"/>
      <c r="CC75" s="131"/>
      <c r="CD75" s="131"/>
      <c r="CE75" s="131"/>
      <c r="CF75" s="131"/>
      <c r="CG75" s="131"/>
      <c r="CH75" s="131"/>
      <c r="CI75" s="131"/>
      <c r="CJ75" s="131"/>
      <c r="CK75" s="131"/>
      <c r="CL75" s="131"/>
      <c r="CM75" s="131"/>
      <c r="CN75" s="131"/>
      <c r="CO75" s="131"/>
      <c r="CP75" s="131"/>
      <c r="CQ75" s="131"/>
      <c r="CR75" s="131"/>
      <c r="CS75" s="131"/>
      <c r="CT75" s="131"/>
      <c r="CU75" s="131"/>
      <c r="CV75" s="131"/>
      <c r="CW75" s="131"/>
      <c r="CX75" s="131"/>
      <c r="CY75" s="131"/>
      <c r="CZ75" s="131"/>
      <c r="DA75" s="131"/>
      <c r="DB75" s="131"/>
      <c r="DC75" s="131"/>
      <c r="DD75" s="131"/>
      <c r="DE75" s="131"/>
      <c r="DF75" s="131"/>
      <c r="DG75" s="131"/>
      <c r="DH75" s="131"/>
      <c r="DI75" s="131"/>
      <c r="DJ75" s="131"/>
      <c r="DK75" s="131"/>
      <c r="DL75" s="131"/>
      <c r="DM75" s="131"/>
      <c r="DN75" s="131"/>
      <c r="DO75" s="131"/>
      <c r="DP75" s="131"/>
      <c r="DQ75" s="131"/>
      <c r="DR75" s="131"/>
      <c r="DS75" s="131"/>
      <c r="DT75" s="131"/>
      <c r="DU75" s="131"/>
      <c r="DV75" s="131"/>
      <c r="DW75" s="131"/>
      <c r="DX75" s="131"/>
      <c r="DY75" s="131"/>
      <c r="DZ75" s="131"/>
      <c r="EA75" s="131"/>
      <c r="EB75" s="131"/>
      <c r="EC75" s="131"/>
      <c r="ED75" s="131"/>
      <c r="EE75" s="131"/>
      <c r="EF75" s="131"/>
      <c r="EG75" s="131"/>
      <c r="EH75" s="131"/>
      <c r="EI75" s="131"/>
      <c r="EJ75" s="131"/>
      <c r="EK75" s="131"/>
      <c r="EL75" s="131"/>
      <c r="EM75" s="131"/>
      <c r="EN75" s="131"/>
      <c r="EO75" s="131"/>
      <c r="EP75" s="131"/>
      <c r="EQ75" s="131"/>
      <c r="ER75" s="131"/>
      <c r="ES75" s="131"/>
      <c r="ET75" s="131"/>
      <c r="EU75" s="131"/>
      <c r="EV75" s="131"/>
      <c r="EW75" s="131"/>
      <c r="EX75" s="131"/>
      <c r="EY75" s="131"/>
      <c r="EZ75" s="131"/>
      <c r="FA75" s="131"/>
      <c r="FB75" s="131"/>
      <c r="FC75" s="131"/>
      <c r="FD75" s="131"/>
      <c r="FE75" s="131"/>
      <c r="FF75" s="131"/>
      <c r="FG75" s="131"/>
      <c r="FH75" s="131"/>
      <c r="FI75" s="131"/>
      <c r="FJ75" s="131"/>
      <c r="FK75" s="131"/>
      <c r="FL75" s="131"/>
      <c r="FM75" s="131"/>
      <c r="FN75" s="131"/>
      <c r="FO75" s="131"/>
      <c r="FP75" s="131"/>
      <c r="FQ75" s="131"/>
      <c r="FR75" s="131"/>
      <c r="FS75" s="131"/>
      <c r="FT75" s="131"/>
      <c r="FU75" s="131"/>
      <c r="FV75" s="131"/>
      <c r="FW75" s="131"/>
      <c r="FX75" s="131"/>
      <c r="FY75" s="131"/>
      <c r="FZ75" s="131"/>
      <c r="GA75" s="131"/>
      <c r="GB75" s="131"/>
      <c r="GC75" s="131"/>
      <c r="GD75" s="131"/>
      <c r="GE75" s="131"/>
      <c r="GF75" s="131"/>
      <c r="GG75" s="131"/>
      <c r="GH75" s="131"/>
      <c r="GI75" s="131"/>
      <c r="GJ75" s="131"/>
      <c r="GK75" s="131"/>
      <c r="GL75" s="131"/>
      <c r="GM75" s="131"/>
      <c r="GN75" s="131"/>
      <c r="GO75" s="131"/>
      <c r="GP75" s="131"/>
      <c r="GQ75" s="131"/>
      <c r="GR75" s="131"/>
      <c r="GS75" s="131"/>
      <c r="GT75" s="131"/>
      <c r="GU75" s="131"/>
      <c r="GV75" s="131"/>
      <c r="GW75" s="131"/>
      <c r="GX75" s="131"/>
      <c r="GY75" s="131"/>
      <c r="GZ75" s="131"/>
      <c r="HA75" s="131"/>
      <c r="HB75" s="131"/>
      <c r="HC75" s="131"/>
      <c r="HD75" s="131"/>
      <c r="HE75" s="131"/>
      <c r="HF75" s="131"/>
      <c r="HG75" s="131"/>
      <c r="HH75" s="131"/>
      <c r="HI75" s="131"/>
      <c r="HJ75" s="131"/>
      <c r="HK75" s="131"/>
      <c r="HL75" s="131"/>
      <c r="HM75" s="131"/>
      <c r="HN75" s="131"/>
      <c r="HO75" s="131"/>
      <c r="HP75" s="131"/>
      <c r="HQ75" s="131"/>
      <c r="HR75" s="131"/>
      <c r="HS75" s="131"/>
      <c r="HT75" s="131"/>
      <c r="HU75" s="131"/>
      <c r="HV75" s="131"/>
      <c r="HW75" s="131"/>
      <c r="HX75" s="131"/>
      <c r="HY75" s="131"/>
      <c r="HZ75" s="131"/>
      <c r="IA75" s="131"/>
      <c r="IB75" s="131"/>
      <c r="IC75" s="131"/>
      <c r="ID75" s="131"/>
      <c r="IE75" s="131"/>
      <c r="IF75" s="131"/>
      <c r="IG75" s="131"/>
      <c r="IH75" s="131"/>
      <c r="II75" s="131"/>
      <c r="IJ75" s="131"/>
      <c r="IK75" s="131"/>
      <c r="IL75" s="131"/>
      <c r="IM75" s="131"/>
      <c r="IN75" s="131"/>
      <c r="IO75" s="131"/>
      <c r="IP75" s="131"/>
      <c r="IQ75" s="131"/>
      <c r="IR75" s="131"/>
      <c r="IS75" s="131"/>
      <c r="IT75" s="131"/>
      <c r="IU75" s="131"/>
      <c r="IV75" s="131"/>
      <c r="IW75" s="131"/>
      <c r="IX75" s="131"/>
      <c r="IY75" s="131"/>
      <c r="IZ75" s="131"/>
      <c r="JA75" s="131"/>
      <c r="JB75" s="131"/>
      <c r="JC75" s="131"/>
      <c r="JD75" s="131"/>
      <c r="JE75" s="131"/>
      <c r="JF75" s="131"/>
      <c r="JG75" s="131"/>
      <c r="JH75" s="131"/>
      <c r="JI75" s="131"/>
      <c r="JJ75" s="131"/>
      <c r="JK75" s="131"/>
      <c r="JL75" s="131"/>
      <c r="JM75" s="131"/>
      <c r="JN75" s="131"/>
      <c r="JO75" s="131"/>
      <c r="JP75" s="131"/>
      <c r="JQ75" s="131"/>
      <c r="JR75" s="131"/>
      <c r="JS75" s="131"/>
      <c r="JT75" s="131"/>
      <c r="JU75" s="131"/>
      <c r="JV75" s="131"/>
      <c r="JW75" s="131"/>
      <c r="JX75" s="131"/>
      <c r="JY75" s="131"/>
      <c r="JZ75" s="131"/>
      <c r="KA75" s="131"/>
      <c r="KB75" s="131"/>
      <c r="KC75" s="131"/>
      <c r="KD75" s="131"/>
      <c r="KE75" s="131"/>
      <c r="KF75" s="131"/>
      <c r="KG75" s="131"/>
      <c r="KH75" s="131"/>
      <c r="KI75" s="131"/>
      <c r="KJ75" s="131"/>
      <c r="KK75" s="131"/>
      <c r="KL75" s="131"/>
      <c r="KM75" s="131"/>
      <c r="KN75" s="131"/>
      <c r="KO75" s="131"/>
      <c r="KP75" s="131"/>
      <c r="KQ75" s="131"/>
      <c r="KR75" s="131"/>
      <c r="KS75" s="131"/>
      <c r="KT75" s="131"/>
      <c r="KU75" s="131"/>
      <c r="KV75" s="131"/>
      <c r="KW75" s="131"/>
      <c r="KX75" s="131"/>
      <c r="KY75" s="131"/>
      <c r="KZ75" s="131"/>
      <c r="LA75" s="131"/>
      <c r="LB75" s="131"/>
      <c r="LC75" s="131"/>
      <c r="LD75" s="131"/>
      <c r="LE75" s="131"/>
      <c r="LF75" s="131"/>
      <c r="LG75" s="131"/>
      <c r="LH75" s="131"/>
      <c r="LI75" s="131"/>
      <c r="LJ75" s="131"/>
      <c r="LK75" s="131"/>
      <c r="LL75" s="131"/>
      <c r="LM75" s="131"/>
      <c r="LN75" s="131"/>
      <c r="LO75" s="131"/>
      <c r="LP75" s="131"/>
      <c r="LQ75" s="131"/>
      <c r="LR75" s="131"/>
      <c r="LS75" s="131"/>
      <c r="LT75" s="131"/>
      <c r="LU75" s="131"/>
      <c r="LV75" s="131"/>
      <c r="LW75" s="131"/>
      <c r="LX75" s="131"/>
      <c r="LY75" s="131"/>
      <c r="LZ75" s="131"/>
      <c r="MA75" s="131"/>
      <c r="MB75" s="131"/>
      <c r="MC75" s="131"/>
      <c r="MD75" s="131"/>
      <c r="ME75" s="131"/>
      <c r="MF75" s="131"/>
      <c r="MG75" s="131"/>
      <c r="MH75" s="131"/>
      <c r="MI75" s="131"/>
      <c r="MJ75" s="131"/>
      <c r="MK75" s="131"/>
      <c r="ML75" s="131"/>
      <c r="MM75" s="131"/>
      <c r="MN75" s="131"/>
      <c r="MO75" s="131"/>
      <c r="MP75" s="131"/>
      <c r="MQ75" s="131"/>
      <c r="MR75" s="131"/>
      <c r="MS75" s="131"/>
      <c r="MT75" s="131"/>
      <c r="MU75" s="131"/>
      <c r="MV75" s="131"/>
      <c r="MW75" s="131"/>
      <c r="MX75" s="131"/>
      <c r="MY75" s="131"/>
      <c r="MZ75" s="131"/>
      <c r="NA75" s="131"/>
      <c r="NB75" s="131"/>
      <c r="NC75" s="131"/>
      <c r="ND75" s="131"/>
      <c r="NE75" s="131"/>
      <c r="NF75" s="131"/>
      <c r="NG75" s="131"/>
      <c r="NH75" s="131"/>
      <c r="NI75" s="131"/>
      <c r="NJ75" s="131"/>
      <c r="NK75" s="131"/>
      <c r="NL75" s="131"/>
      <c r="NM75" s="131"/>
      <c r="NN75" s="131"/>
      <c r="NO75" s="131"/>
      <c r="NP75" s="131"/>
      <c r="NQ75" s="131"/>
      <c r="NR75" s="131"/>
      <c r="NS75" s="131"/>
      <c r="NT75" s="131"/>
      <c r="NU75" s="131"/>
      <c r="NV75" s="131"/>
      <c r="NW75" s="24">
        <f t="shared" si="11"/>
        <v>0</v>
      </c>
      <c r="NX75" s="56" t="s">
        <v>36</v>
      </c>
      <c r="NY75" s="127">
        <v>3351.86</v>
      </c>
      <c r="NZ75" s="78">
        <f t="shared" si="14"/>
        <v>0</v>
      </c>
      <c r="OA75" s="78">
        <v>1971.5500000000002</v>
      </c>
      <c r="OB75" s="127">
        <f t="shared" si="12"/>
        <v>3351.86</v>
      </c>
      <c r="OC75" s="153"/>
      <c r="OD75" s="108">
        <f t="shared" si="13"/>
        <v>1.7001141234054424</v>
      </c>
      <c r="OE75" s="160" t="s">
        <v>542</v>
      </c>
    </row>
    <row r="76" spans="1:395" s="5" customFormat="1" ht="12.75" hidden="1" customHeight="1" x14ac:dyDescent="0.25">
      <c r="A76" s="62">
        <v>44543</v>
      </c>
      <c r="B76" s="106" t="s">
        <v>380</v>
      </c>
      <c r="C76" s="129"/>
      <c r="D76" s="129"/>
      <c r="E76" s="130"/>
      <c r="F76" s="130"/>
      <c r="G76" s="130"/>
      <c r="H76" s="130"/>
      <c r="I76" s="130"/>
      <c r="J76" s="130"/>
      <c r="K76" s="130"/>
      <c r="L76" s="130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  <c r="AE76" s="131"/>
      <c r="AF76" s="131"/>
      <c r="AG76" s="131"/>
      <c r="AH76" s="131"/>
      <c r="AI76" s="131"/>
      <c r="AJ76" s="131"/>
      <c r="AK76" s="131"/>
      <c r="AL76" s="131"/>
      <c r="AM76" s="131"/>
      <c r="AN76" s="131"/>
      <c r="AO76" s="131"/>
      <c r="AP76" s="131"/>
      <c r="AQ76" s="131"/>
      <c r="AR76" s="131"/>
      <c r="AS76" s="131"/>
      <c r="AT76" s="131"/>
      <c r="AU76" s="131"/>
      <c r="AV76" s="131"/>
      <c r="AW76" s="131"/>
      <c r="AX76" s="131"/>
      <c r="AY76" s="131"/>
      <c r="AZ76" s="131"/>
      <c r="BA76" s="131"/>
      <c r="BB76" s="131"/>
      <c r="BC76" s="131"/>
      <c r="BD76" s="131"/>
      <c r="BE76" s="131"/>
      <c r="BF76" s="131"/>
      <c r="BG76" s="131"/>
      <c r="BH76" s="131"/>
      <c r="BI76" s="131"/>
      <c r="BJ76" s="131"/>
      <c r="BK76" s="131"/>
      <c r="BL76" s="131"/>
      <c r="BM76" s="131"/>
      <c r="BN76" s="131"/>
      <c r="BO76" s="131"/>
      <c r="BP76" s="131"/>
      <c r="BQ76" s="131"/>
      <c r="BR76" s="131"/>
      <c r="BS76" s="131"/>
      <c r="BT76" s="131"/>
      <c r="BU76" s="131"/>
      <c r="BV76" s="131"/>
      <c r="BW76" s="131"/>
      <c r="BX76" s="131"/>
      <c r="BY76" s="131"/>
      <c r="BZ76" s="131"/>
      <c r="CA76" s="131"/>
      <c r="CB76" s="131"/>
      <c r="CC76" s="131"/>
      <c r="CD76" s="131"/>
      <c r="CE76" s="131"/>
      <c r="CF76" s="131"/>
      <c r="CG76" s="131"/>
      <c r="CH76" s="131"/>
      <c r="CI76" s="131"/>
      <c r="CJ76" s="131"/>
      <c r="CK76" s="131"/>
      <c r="CL76" s="131"/>
      <c r="CM76" s="131"/>
      <c r="CN76" s="131"/>
      <c r="CO76" s="131"/>
      <c r="CP76" s="131"/>
      <c r="CQ76" s="131"/>
      <c r="CR76" s="131"/>
      <c r="CS76" s="131"/>
      <c r="CT76" s="131"/>
      <c r="CU76" s="131"/>
      <c r="CV76" s="131"/>
      <c r="CW76" s="131"/>
      <c r="CX76" s="131"/>
      <c r="CY76" s="131"/>
      <c r="CZ76" s="131"/>
      <c r="DA76" s="131"/>
      <c r="DB76" s="131"/>
      <c r="DC76" s="131"/>
      <c r="DD76" s="131"/>
      <c r="DE76" s="131"/>
      <c r="DF76" s="131"/>
      <c r="DG76" s="131"/>
      <c r="DH76" s="131"/>
      <c r="DI76" s="131"/>
      <c r="DJ76" s="131"/>
      <c r="DK76" s="131"/>
      <c r="DL76" s="131"/>
      <c r="DM76" s="131"/>
      <c r="DN76" s="131"/>
      <c r="DO76" s="131"/>
      <c r="DP76" s="131"/>
      <c r="DQ76" s="131"/>
      <c r="DR76" s="131"/>
      <c r="DS76" s="131"/>
      <c r="DT76" s="131"/>
      <c r="DU76" s="131"/>
      <c r="DV76" s="131"/>
      <c r="DW76" s="131"/>
      <c r="DX76" s="131"/>
      <c r="DY76" s="131"/>
      <c r="DZ76" s="131"/>
      <c r="EA76" s="131"/>
      <c r="EB76" s="131"/>
      <c r="EC76" s="131"/>
      <c r="ED76" s="131"/>
      <c r="EE76" s="131"/>
      <c r="EF76" s="131"/>
      <c r="EG76" s="131"/>
      <c r="EH76" s="131"/>
      <c r="EI76" s="131"/>
      <c r="EJ76" s="131"/>
      <c r="EK76" s="131"/>
      <c r="EL76" s="131"/>
      <c r="EM76" s="131"/>
      <c r="EN76" s="131"/>
      <c r="EO76" s="131"/>
      <c r="EP76" s="131"/>
      <c r="EQ76" s="131"/>
      <c r="ER76" s="131"/>
      <c r="ES76" s="131"/>
      <c r="ET76" s="131"/>
      <c r="EU76" s="131"/>
      <c r="EV76" s="131"/>
      <c r="EW76" s="131"/>
      <c r="EX76" s="131"/>
      <c r="EY76" s="131"/>
      <c r="EZ76" s="131"/>
      <c r="FA76" s="131"/>
      <c r="FB76" s="131"/>
      <c r="FC76" s="131"/>
      <c r="FD76" s="131"/>
      <c r="FE76" s="131"/>
      <c r="FF76" s="131"/>
      <c r="FG76" s="131"/>
      <c r="FH76" s="131"/>
      <c r="FI76" s="131"/>
      <c r="FJ76" s="131"/>
      <c r="FK76" s="131"/>
      <c r="FL76" s="131"/>
      <c r="FM76" s="131"/>
      <c r="FN76" s="131"/>
      <c r="FO76" s="131"/>
      <c r="FP76" s="131"/>
      <c r="FQ76" s="131"/>
      <c r="FR76" s="131"/>
      <c r="FS76" s="131"/>
      <c r="FT76" s="131"/>
      <c r="FU76" s="131"/>
      <c r="FV76" s="131"/>
      <c r="FW76" s="131"/>
      <c r="FX76" s="131"/>
      <c r="FY76" s="131"/>
      <c r="FZ76" s="131"/>
      <c r="GA76" s="131"/>
      <c r="GB76" s="131"/>
      <c r="GC76" s="131"/>
      <c r="GD76" s="131"/>
      <c r="GE76" s="131"/>
      <c r="GF76" s="131"/>
      <c r="GG76" s="131"/>
      <c r="GH76" s="131"/>
      <c r="GI76" s="131"/>
      <c r="GJ76" s="131"/>
      <c r="GK76" s="131"/>
      <c r="GL76" s="131"/>
      <c r="GM76" s="131"/>
      <c r="GN76" s="131"/>
      <c r="GO76" s="131"/>
      <c r="GP76" s="131"/>
      <c r="GQ76" s="131"/>
      <c r="GR76" s="131"/>
      <c r="GS76" s="131"/>
      <c r="GT76" s="131"/>
      <c r="GU76" s="131"/>
      <c r="GV76" s="131"/>
      <c r="GW76" s="131"/>
      <c r="GX76" s="131"/>
      <c r="GY76" s="131"/>
      <c r="GZ76" s="131"/>
      <c r="HA76" s="131"/>
      <c r="HB76" s="131"/>
      <c r="HC76" s="131"/>
      <c r="HD76" s="131"/>
      <c r="HE76" s="131"/>
      <c r="HF76" s="131"/>
      <c r="HG76" s="131"/>
      <c r="HH76" s="131"/>
      <c r="HI76" s="131"/>
      <c r="HJ76" s="131"/>
      <c r="HK76" s="131"/>
      <c r="HL76" s="131"/>
      <c r="HM76" s="131"/>
      <c r="HN76" s="131"/>
      <c r="HO76" s="131"/>
      <c r="HP76" s="131"/>
      <c r="HQ76" s="131"/>
      <c r="HR76" s="131"/>
      <c r="HS76" s="131"/>
      <c r="HT76" s="131"/>
      <c r="HU76" s="131"/>
      <c r="HV76" s="131"/>
      <c r="HW76" s="131"/>
      <c r="HX76" s="131"/>
      <c r="HY76" s="131"/>
      <c r="HZ76" s="131"/>
      <c r="IA76" s="131"/>
      <c r="IB76" s="131"/>
      <c r="IC76" s="131"/>
      <c r="ID76" s="131"/>
      <c r="IE76" s="131"/>
      <c r="IF76" s="131"/>
      <c r="IG76" s="131"/>
      <c r="IH76" s="131"/>
      <c r="II76" s="131"/>
      <c r="IJ76" s="131"/>
      <c r="IK76" s="131"/>
      <c r="IL76" s="131"/>
      <c r="IM76" s="131"/>
      <c r="IN76" s="131"/>
      <c r="IO76" s="131"/>
      <c r="IP76" s="131"/>
      <c r="IQ76" s="131"/>
      <c r="IR76" s="131"/>
      <c r="IS76" s="131"/>
      <c r="IT76" s="131"/>
      <c r="IU76" s="131"/>
      <c r="IV76" s="131"/>
      <c r="IW76" s="131"/>
      <c r="IX76" s="131"/>
      <c r="IY76" s="131"/>
      <c r="IZ76" s="131"/>
      <c r="JA76" s="131"/>
      <c r="JB76" s="131"/>
      <c r="JC76" s="131"/>
      <c r="JD76" s="131"/>
      <c r="JE76" s="131"/>
      <c r="JF76" s="131"/>
      <c r="JG76" s="131"/>
      <c r="JH76" s="131"/>
      <c r="JI76" s="131"/>
      <c r="JJ76" s="131"/>
      <c r="JK76" s="131"/>
      <c r="JL76" s="131"/>
      <c r="JM76" s="131"/>
      <c r="JN76" s="131"/>
      <c r="JO76" s="131"/>
      <c r="JP76" s="131"/>
      <c r="JQ76" s="131"/>
      <c r="JR76" s="131"/>
      <c r="JS76" s="131"/>
      <c r="JT76" s="131"/>
      <c r="JU76" s="131"/>
      <c r="JV76" s="131"/>
      <c r="JW76" s="131"/>
      <c r="JX76" s="131"/>
      <c r="JY76" s="131"/>
      <c r="JZ76" s="131"/>
      <c r="KA76" s="131"/>
      <c r="KB76" s="131"/>
      <c r="KC76" s="131"/>
      <c r="KD76" s="131"/>
      <c r="KE76" s="131"/>
      <c r="KF76" s="131"/>
      <c r="KG76" s="131"/>
      <c r="KH76" s="131"/>
      <c r="KI76" s="131"/>
      <c r="KJ76" s="131"/>
      <c r="KK76" s="131"/>
      <c r="KL76" s="131"/>
      <c r="KM76" s="131"/>
      <c r="KN76" s="131"/>
      <c r="KO76" s="131"/>
      <c r="KP76" s="131"/>
      <c r="KQ76" s="131"/>
      <c r="KR76" s="131"/>
      <c r="KS76" s="131"/>
      <c r="KT76" s="131"/>
      <c r="KU76" s="131"/>
      <c r="KV76" s="131"/>
      <c r="KW76" s="131"/>
      <c r="KX76" s="131"/>
      <c r="KY76" s="131"/>
      <c r="KZ76" s="131"/>
      <c r="LA76" s="131"/>
      <c r="LB76" s="131"/>
      <c r="LC76" s="131"/>
      <c r="LD76" s="131"/>
      <c r="LE76" s="131"/>
      <c r="LF76" s="131"/>
      <c r="LG76" s="131"/>
      <c r="LH76" s="131"/>
      <c r="LI76" s="131"/>
      <c r="LJ76" s="131"/>
      <c r="LK76" s="131"/>
      <c r="LL76" s="131"/>
      <c r="LM76" s="131"/>
      <c r="LN76" s="131"/>
      <c r="LO76" s="131"/>
      <c r="LP76" s="131"/>
      <c r="LQ76" s="131"/>
      <c r="LR76" s="131"/>
      <c r="LS76" s="131"/>
      <c r="LT76" s="131"/>
      <c r="LU76" s="131"/>
      <c r="LV76" s="131"/>
      <c r="LW76" s="131"/>
      <c r="LX76" s="131"/>
      <c r="LY76" s="131"/>
      <c r="LZ76" s="131"/>
      <c r="MA76" s="131"/>
      <c r="MB76" s="131"/>
      <c r="MC76" s="131"/>
      <c r="MD76" s="131"/>
      <c r="ME76" s="131"/>
      <c r="MF76" s="131"/>
      <c r="MG76" s="131"/>
      <c r="MH76" s="131"/>
      <c r="MI76" s="131"/>
      <c r="MJ76" s="131"/>
      <c r="MK76" s="131"/>
      <c r="ML76" s="131"/>
      <c r="MM76" s="131"/>
      <c r="MN76" s="131"/>
      <c r="MO76" s="131"/>
      <c r="MP76" s="131"/>
      <c r="MQ76" s="131"/>
      <c r="MR76" s="131"/>
      <c r="MS76" s="131"/>
      <c r="MT76" s="131"/>
      <c r="MU76" s="131"/>
      <c r="MV76" s="131"/>
      <c r="MW76" s="131"/>
      <c r="MX76" s="131"/>
      <c r="MY76" s="131"/>
      <c r="MZ76" s="131"/>
      <c r="NA76" s="131"/>
      <c r="NB76" s="131"/>
      <c r="NC76" s="131"/>
      <c r="ND76" s="131"/>
      <c r="NE76" s="131"/>
      <c r="NF76" s="131"/>
      <c r="NG76" s="131"/>
      <c r="NH76" s="131"/>
      <c r="NI76" s="131"/>
      <c r="NJ76" s="131"/>
      <c r="NK76" s="131"/>
      <c r="NL76" s="131"/>
      <c r="NM76" s="131"/>
      <c r="NN76" s="131"/>
      <c r="NO76" s="131"/>
      <c r="NP76" s="131"/>
      <c r="NQ76" s="131"/>
      <c r="NR76" s="131"/>
      <c r="NS76" s="131"/>
      <c r="NT76" s="131"/>
      <c r="NU76" s="131"/>
      <c r="NV76" s="131"/>
      <c r="NW76" s="24">
        <f t="shared" si="11"/>
        <v>0</v>
      </c>
      <c r="NX76" s="56" t="s">
        <v>36</v>
      </c>
      <c r="NY76" s="127">
        <v>871.44</v>
      </c>
      <c r="NZ76" s="78">
        <f t="shared" si="14"/>
        <v>871.44</v>
      </c>
      <c r="OA76" s="78">
        <v>568.20000000000005</v>
      </c>
      <c r="OB76" s="127">
        <f t="shared" si="12"/>
        <v>0</v>
      </c>
      <c r="OC76" s="153">
        <v>871.44</v>
      </c>
      <c r="OD76" s="108">
        <f t="shared" si="13"/>
        <v>1.5336853220696938</v>
      </c>
      <c r="OE76" s="160" t="s">
        <v>542</v>
      </c>
    </row>
    <row r="77" spans="1:395" s="5" customFormat="1" ht="12.75" hidden="1" customHeight="1" x14ac:dyDescent="0.25">
      <c r="A77" s="62">
        <v>44544</v>
      </c>
      <c r="B77" s="116" t="s">
        <v>302</v>
      </c>
      <c r="C77" s="129"/>
      <c r="D77" s="129"/>
      <c r="E77" s="130"/>
      <c r="F77" s="130"/>
      <c r="G77" s="130"/>
      <c r="H77" s="130"/>
      <c r="I77" s="130"/>
      <c r="J77" s="130"/>
      <c r="K77" s="130"/>
      <c r="L77" s="130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  <c r="AE77" s="131"/>
      <c r="AF77" s="131"/>
      <c r="AG77" s="131"/>
      <c r="AH77" s="131"/>
      <c r="AI77" s="131"/>
      <c r="AJ77" s="131"/>
      <c r="AK77" s="131"/>
      <c r="AL77" s="131"/>
      <c r="AM77" s="131"/>
      <c r="AN77" s="131"/>
      <c r="AO77" s="131"/>
      <c r="AP77" s="131"/>
      <c r="AQ77" s="131"/>
      <c r="AR77" s="131"/>
      <c r="AS77" s="131"/>
      <c r="AT77" s="131"/>
      <c r="AU77" s="131"/>
      <c r="AV77" s="131"/>
      <c r="AW77" s="131"/>
      <c r="AX77" s="131"/>
      <c r="AY77" s="131"/>
      <c r="AZ77" s="131"/>
      <c r="BA77" s="131"/>
      <c r="BB77" s="131"/>
      <c r="BC77" s="131"/>
      <c r="BD77" s="131"/>
      <c r="BE77" s="131"/>
      <c r="BF77" s="131"/>
      <c r="BG77" s="131"/>
      <c r="BH77" s="131"/>
      <c r="BI77" s="131"/>
      <c r="BJ77" s="131"/>
      <c r="BK77" s="131"/>
      <c r="BL77" s="131"/>
      <c r="BM77" s="131"/>
      <c r="BN77" s="131"/>
      <c r="BO77" s="131"/>
      <c r="BP77" s="131"/>
      <c r="BQ77" s="131"/>
      <c r="BR77" s="131"/>
      <c r="BS77" s="131"/>
      <c r="BT77" s="131"/>
      <c r="BU77" s="131"/>
      <c r="BV77" s="131"/>
      <c r="BW77" s="131"/>
      <c r="BX77" s="131"/>
      <c r="BY77" s="131"/>
      <c r="BZ77" s="131"/>
      <c r="CA77" s="131"/>
      <c r="CB77" s="131"/>
      <c r="CC77" s="131"/>
      <c r="CD77" s="131"/>
      <c r="CE77" s="131"/>
      <c r="CF77" s="131"/>
      <c r="CG77" s="131"/>
      <c r="CH77" s="131"/>
      <c r="CI77" s="131"/>
      <c r="CJ77" s="131"/>
      <c r="CK77" s="131"/>
      <c r="CL77" s="131"/>
      <c r="CM77" s="131"/>
      <c r="CN77" s="131"/>
      <c r="CO77" s="131"/>
      <c r="CP77" s="131"/>
      <c r="CQ77" s="131"/>
      <c r="CR77" s="131"/>
      <c r="CS77" s="131"/>
      <c r="CT77" s="131"/>
      <c r="CU77" s="131"/>
      <c r="CV77" s="131"/>
      <c r="CW77" s="131"/>
      <c r="CX77" s="131"/>
      <c r="CY77" s="131"/>
      <c r="CZ77" s="131"/>
      <c r="DA77" s="131"/>
      <c r="DB77" s="131"/>
      <c r="DC77" s="131"/>
      <c r="DD77" s="131"/>
      <c r="DE77" s="131"/>
      <c r="DF77" s="131"/>
      <c r="DG77" s="131"/>
      <c r="DH77" s="131"/>
      <c r="DI77" s="131"/>
      <c r="DJ77" s="131"/>
      <c r="DK77" s="131"/>
      <c r="DL77" s="131"/>
      <c r="DM77" s="131"/>
      <c r="DN77" s="131"/>
      <c r="DO77" s="131"/>
      <c r="DP77" s="131"/>
      <c r="DQ77" s="131"/>
      <c r="DR77" s="131"/>
      <c r="DS77" s="131"/>
      <c r="DT77" s="131"/>
      <c r="DU77" s="131"/>
      <c r="DV77" s="131"/>
      <c r="DW77" s="131"/>
      <c r="DX77" s="131"/>
      <c r="DY77" s="131"/>
      <c r="DZ77" s="131"/>
      <c r="EA77" s="131"/>
      <c r="EB77" s="131"/>
      <c r="EC77" s="131"/>
      <c r="ED77" s="131"/>
      <c r="EE77" s="131"/>
      <c r="EF77" s="131"/>
      <c r="EG77" s="131"/>
      <c r="EH77" s="131"/>
      <c r="EI77" s="131"/>
      <c r="EJ77" s="131"/>
      <c r="EK77" s="131"/>
      <c r="EL77" s="131"/>
      <c r="EM77" s="131"/>
      <c r="EN77" s="131"/>
      <c r="EO77" s="131"/>
      <c r="EP77" s="131"/>
      <c r="EQ77" s="131"/>
      <c r="ER77" s="131"/>
      <c r="ES77" s="131"/>
      <c r="ET77" s="131"/>
      <c r="EU77" s="131"/>
      <c r="EV77" s="131"/>
      <c r="EW77" s="131"/>
      <c r="EX77" s="131"/>
      <c r="EY77" s="131"/>
      <c r="EZ77" s="131"/>
      <c r="FA77" s="131"/>
      <c r="FB77" s="131"/>
      <c r="FC77" s="131"/>
      <c r="FD77" s="131"/>
      <c r="FE77" s="131"/>
      <c r="FF77" s="131"/>
      <c r="FG77" s="131"/>
      <c r="FH77" s="131"/>
      <c r="FI77" s="131"/>
      <c r="FJ77" s="131"/>
      <c r="FK77" s="131"/>
      <c r="FL77" s="131"/>
      <c r="FM77" s="131"/>
      <c r="FN77" s="131"/>
      <c r="FO77" s="131"/>
      <c r="FP77" s="131"/>
      <c r="FQ77" s="131"/>
      <c r="FR77" s="131"/>
      <c r="FS77" s="131"/>
      <c r="FT77" s="131"/>
      <c r="FU77" s="131"/>
      <c r="FV77" s="131"/>
      <c r="FW77" s="131"/>
      <c r="FX77" s="131"/>
      <c r="FY77" s="131"/>
      <c r="FZ77" s="131"/>
      <c r="GA77" s="131"/>
      <c r="GB77" s="131"/>
      <c r="GC77" s="131"/>
      <c r="GD77" s="131"/>
      <c r="GE77" s="131"/>
      <c r="GF77" s="131"/>
      <c r="GG77" s="131"/>
      <c r="GH77" s="131"/>
      <c r="GI77" s="131"/>
      <c r="GJ77" s="131"/>
      <c r="GK77" s="131"/>
      <c r="GL77" s="131"/>
      <c r="GM77" s="131"/>
      <c r="GN77" s="131"/>
      <c r="GO77" s="131"/>
      <c r="GP77" s="131"/>
      <c r="GQ77" s="131"/>
      <c r="GR77" s="131"/>
      <c r="GS77" s="131"/>
      <c r="GT77" s="131"/>
      <c r="GU77" s="131"/>
      <c r="GV77" s="131"/>
      <c r="GW77" s="131"/>
      <c r="GX77" s="131"/>
      <c r="GY77" s="131"/>
      <c r="GZ77" s="131"/>
      <c r="HA77" s="131"/>
      <c r="HB77" s="131"/>
      <c r="HC77" s="131"/>
      <c r="HD77" s="131"/>
      <c r="HE77" s="131"/>
      <c r="HF77" s="131"/>
      <c r="HG77" s="131"/>
      <c r="HH77" s="131"/>
      <c r="HI77" s="131"/>
      <c r="HJ77" s="131"/>
      <c r="HK77" s="131"/>
      <c r="HL77" s="131"/>
      <c r="HM77" s="131"/>
      <c r="HN77" s="131"/>
      <c r="HO77" s="131"/>
      <c r="HP77" s="131"/>
      <c r="HQ77" s="131"/>
      <c r="HR77" s="131"/>
      <c r="HS77" s="131"/>
      <c r="HT77" s="131"/>
      <c r="HU77" s="131"/>
      <c r="HV77" s="131"/>
      <c r="HW77" s="131"/>
      <c r="HX77" s="131"/>
      <c r="HY77" s="131"/>
      <c r="HZ77" s="131"/>
      <c r="IA77" s="131"/>
      <c r="IB77" s="131"/>
      <c r="IC77" s="131"/>
      <c r="ID77" s="131"/>
      <c r="IE77" s="131"/>
      <c r="IF77" s="131"/>
      <c r="IG77" s="131"/>
      <c r="IH77" s="131"/>
      <c r="II77" s="131"/>
      <c r="IJ77" s="131"/>
      <c r="IK77" s="131"/>
      <c r="IL77" s="131"/>
      <c r="IM77" s="131"/>
      <c r="IN77" s="131"/>
      <c r="IO77" s="131"/>
      <c r="IP77" s="131"/>
      <c r="IQ77" s="131"/>
      <c r="IR77" s="131"/>
      <c r="IS77" s="131"/>
      <c r="IT77" s="131"/>
      <c r="IU77" s="131"/>
      <c r="IV77" s="131"/>
      <c r="IW77" s="131"/>
      <c r="IX77" s="131"/>
      <c r="IY77" s="131"/>
      <c r="IZ77" s="131"/>
      <c r="JA77" s="131"/>
      <c r="JB77" s="131"/>
      <c r="JC77" s="131"/>
      <c r="JD77" s="131"/>
      <c r="JE77" s="131"/>
      <c r="JF77" s="131"/>
      <c r="JG77" s="131"/>
      <c r="JH77" s="131"/>
      <c r="JI77" s="131"/>
      <c r="JJ77" s="131"/>
      <c r="JK77" s="131"/>
      <c r="JL77" s="131"/>
      <c r="JM77" s="131"/>
      <c r="JN77" s="131"/>
      <c r="JO77" s="131"/>
      <c r="JP77" s="131"/>
      <c r="JQ77" s="131"/>
      <c r="JR77" s="131"/>
      <c r="JS77" s="131"/>
      <c r="JT77" s="131"/>
      <c r="JU77" s="131"/>
      <c r="JV77" s="131"/>
      <c r="JW77" s="131"/>
      <c r="JX77" s="131"/>
      <c r="JY77" s="131"/>
      <c r="JZ77" s="131"/>
      <c r="KA77" s="131"/>
      <c r="KB77" s="131"/>
      <c r="KC77" s="131"/>
      <c r="KD77" s="131"/>
      <c r="KE77" s="131"/>
      <c r="KF77" s="131"/>
      <c r="KG77" s="131"/>
      <c r="KH77" s="131"/>
      <c r="KI77" s="131"/>
      <c r="KJ77" s="131"/>
      <c r="KK77" s="131"/>
      <c r="KL77" s="131"/>
      <c r="KM77" s="131"/>
      <c r="KN77" s="131"/>
      <c r="KO77" s="131"/>
      <c r="KP77" s="131"/>
      <c r="KQ77" s="131"/>
      <c r="KR77" s="131"/>
      <c r="KS77" s="131"/>
      <c r="KT77" s="131"/>
      <c r="KU77" s="131"/>
      <c r="KV77" s="131"/>
      <c r="KW77" s="131"/>
      <c r="KX77" s="131"/>
      <c r="KY77" s="131"/>
      <c r="KZ77" s="131"/>
      <c r="LA77" s="131"/>
      <c r="LB77" s="131"/>
      <c r="LC77" s="131"/>
      <c r="LD77" s="131"/>
      <c r="LE77" s="131"/>
      <c r="LF77" s="131"/>
      <c r="LG77" s="131"/>
      <c r="LH77" s="131"/>
      <c r="LI77" s="131"/>
      <c r="LJ77" s="131"/>
      <c r="LK77" s="131"/>
      <c r="LL77" s="131"/>
      <c r="LM77" s="131"/>
      <c r="LN77" s="131"/>
      <c r="LO77" s="131"/>
      <c r="LP77" s="131"/>
      <c r="LQ77" s="131"/>
      <c r="LR77" s="131"/>
      <c r="LS77" s="131"/>
      <c r="LT77" s="131"/>
      <c r="LU77" s="131"/>
      <c r="LV77" s="131"/>
      <c r="LW77" s="131"/>
      <c r="LX77" s="131"/>
      <c r="LY77" s="131"/>
      <c r="LZ77" s="131"/>
      <c r="MA77" s="131"/>
      <c r="MB77" s="131"/>
      <c r="MC77" s="131"/>
      <c r="MD77" s="131"/>
      <c r="ME77" s="131"/>
      <c r="MF77" s="131"/>
      <c r="MG77" s="131"/>
      <c r="MH77" s="131"/>
      <c r="MI77" s="131"/>
      <c r="MJ77" s="131"/>
      <c r="MK77" s="131"/>
      <c r="ML77" s="131"/>
      <c r="MM77" s="131"/>
      <c r="MN77" s="131"/>
      <c r="MO77" s="131"/>
      <c r="MP77" s="131"/>
      <c r="MQ77" s="131"/>
      <c r="MR77" s="131"/>
      <c r="MS77" s="131"/>
      <c r="MT77" s="131"/>
      <c r="MU77" s="131"/>
      <c r="MV77" s="131"/>
      <c r="MW77" s="131"/>
      <c r="MX77" s="131"/>
      <c r="MY77" s="131"/>
      <c r="MZ77" s="131"/>
      <c r="NA77" s="131"/>
      <c r="NB77" s="131"/>
      <c r="NC77" s="131"/>
      <c r="ND77" s="131"/>
      <c r="NE77" s="131"/>
      <c r="NF77" s="131"/>
      <c r="NG77" s="131"/>
      <c r="NH77" s="131"/>
      <c r="NI77" s="131"/>
      <c r="NJ77" s="131"/>
      <c r="NK77" s="131"/>
      <c r="NL77" s="131"/>
      <c r="NM77" s="131"/>
      <c r="NN77" s="131"/>
      <c r="NO77" s="131"/>
      <c r="NP77" s="131"/>
      <c r="NQ77" s="131"/>
      <c r="NR77" s="131"/>
      <c r="NS77" s="131"/>
      <c r="NT77" s="131"/>
      <c r="NU77" s="131"/>
      <c r="NV77" s="131"/>
      <c r="NW77" s="24">
        <f t="shared" si="11"/>
        <v>0</v>
      </c>
      <c r="NX77" s="56" t="s">
        <v>36</v>
      </c>
      <c r="NY77" s="127">
        <v>845.04</v>
      </c>
      <c r="NZ77" s="78">
        <f t="shared" si="14"/>
        <v>845.04</v>
      </c>
      <c r="OA77" s="78">
        <v>529.4</v>
      </c>
      <c r="OB77" s="127">
        <f t="shared" si="12"/>
        <v>0</v>
      </c>
      <c r="OC77" s="153">
        <v>845.04</v>
      </c>
      <c r="OD77" s="108">
        <f t="shared" si="13"/>
        <v>1.5962221382697392</v>
      </c>
      <c r="OE77" s="160" t="s">
        <v>543</v>
      </c>
    </row>
    <row r="78" spans="1:395" s="5" customFormat="1" ht="12.75" customHeight="1" x14ac:dyDescent="0.25">
      <c r="A78" s="62">
        <v>44544</v>
      </c>
      <c r="B78" s="106" t="s">
        <v>402</v>
      </c>
      <c r="C78" s="129"/>
      <c r="D78" s="129"/>
      <c r="E78" s="130"/>
      <c r="F78" s="130"/>
      <c r="G78" s="130"/>
      <c r="H78" s="130"/>
      <c r="I78" s="130"/>
      <c r="J78" s="130"/>
      <c r="K78" s="130"/>
      <c r="L78" s="130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  <c r="AE78" s="131"/>
      <c r="AF78" s="131"/>
      <c r="AG78" s="131"/>
      <c r="AH78" s="131"/>
      <c r="AI78" s="131"/>
      <c r="AJ78" s="131"/>
      <c r="AK78" s="131"/>
      <c r="AL78" s="131"/>
      <c r="AM78" s="131"/>
      <c r="AN78" s="131"/>
      <c r="AO78" s="131"/>
      <c r="AP78" s="131"/>
      <c r="AQ78" s="131"/>
      <c r="AR78" s="131"/>
      <c r="AS78" s="131"/>
      <c r="AT78" s="131"/>
      <c r="AU78" s="131"/>
      <c r="AV78" s="131"/>
      <c r="AW78" s="131"/>
      <c r="AX78" s="131"/>
      <c r="AY78" s="131"/>
      <c r="AZ78" s="131"/>
      <c r="BA78" s="131"/>
      <c r="BB78" s="131"/>
      <c r="BC78" s="131"/>
      <c r="BD78" s="131"/>
      <c r="BE78" s="131"/>
      <c r="BF78" s="131"/>
      <c r="BG78" s="131"/>
      <c r="BH78" s="131"/>
      <c r="BI78" s="131"/>
      <c r="BJ78" s="131"/>
      <c r="BK78" s="131"/>
      <c r="BL78" s="131"/>
      <c r="BM78" s="131"/>
      <c r="BN78" s="131"/>
      <c r="BO78" s="131"/>
      <c r="BP78" s="131"/>
      <c r="BQ78" s="131"/>
      <c r="BR78" s="131"/>
      <c r="BS78" s="131"/>
      <c r="BT78" s="131"/>
      <c r="BU78" s="131"/>
      <c r="BV78" s="131"/>
      <c r="BW78" s="131"/>
      <c r="BX78" s="131"/>
      <c r="BY78" s="131"/>
      <c r="BZ78" s="131"/>
      <c r="CA78" s="131"/>
      <c r="CB78" s="131"/>
      <c r="CC78" s="131"/>
      <c r="CD78" s="131"/>
      <c r="CE78" s="131"/>
      <c r="CF78" s="131"/>
      <c r="CG78" s="131"/>
      <c r="CH78" s="131"/>
      <c r="CI78" s="131"/>
      <c r="CJ78" s="131"/>
      <c r="CK78" s="131"/>
      <c r="CL78" s="131"/>
      <c r="CM78" s="131"/>
      <c r="CN78" s="131"/>
      <c r="CO78" s="131"/>
      <c r="CP78" s="131"/>
      <c r="CQ78" s="131"/>
      <c r="CR78" s="131"/>
      <c r="CS78" s="131"/>
      <c r="CT78" s="131"/>
      <c r="CU78" s="131"/>
      <c r="CV78" s="131"/>
      <c r="CW78" s="131"/>
      <c r="CX78" s="131"/>
      <c r="CY78" s="131"/>
      <c r="CZ78" s="131"/>
      <c r="DA78" s="131"/>
      <c r="DB78" s="131"/>
      <c r="DC78" s="131"/>
      <c r="DD78" s="131"/>
      <c r="DE78" s="131"/>
      <c r="DF78" s="131"/>
      <c r="DG78" s="131"/>
      <c r="DH78" s="131"/>
      <c r="DI78" s="131"/>
      <c r="DJ78" s="131"/>
      <c r="DK78" s="131"/>
      <c r="DL78" s="131"/>
      <c r="DM78" s="131"/>
      <c r="DN78" s="131"/>
      <c r="DO78" s="131"/>
      <c r="DP78" s="131"/>
      <c r="DQ78" s="131"/>
      <c r="DR78" s="131"/>
      <c r="DS78" s="131"/>
      <c r="DT78" s="131"/>
      <c r="DU78" s="131"/>
      <c r="DV78" s="131"/>
      <c r="DW78" s="131"/>
      <c r="DX78" s="131"/>
      <c r="DY78" s="131"/>
      <c r="DZ78" s="131"/>
      <c r="EA78" s="131"/>
      <c r="EB78" s="131"/>
      <c r="EC78" s="131"/>
      <c r="ED78" s="131"/>
      <c r="EE78" s="131"/>
      <c r="EF78" s="131"/>
      <c r="EG78" s="131"/>
      <c r="EH78" s="131"/>
      <c r="EI78" s="131"/>
      <c r="EJ78" s="131"/>
      <c r="EK78" s="131"/>
      <c r="EL78" s="131"/>
      <c r="EM78" s="131"/>
      <c r="EN78" s="131"/>
      <c r="EO78" s="131"/>
      <c r="EP78" s="131"/>
      <c r="EQ78" s="131"/>
      <c r="ER78" s="131"/>
      <c r="ES78" s="131"/>
      <c r="ET78" s="131"/>
      <c r="EU78" s="131"/>
      <c r="EV78" s="131"/>
      <c r="EW78" s="131"/>
      <c r="EX78" s="131"/>
      <c r="EY78" s="131"/>
      <c r="EZ78" s="131"/>
      <c r="FA78" s="131"/>
      <c r="FB78" s="131"/>
      <c r="FC78" s="131"/>
      <c r="FD78" s="131"/>
      <c r="FE78" s="131"/>
      <c r="FF78" s="131"/>
      <c r="FG78" s="131"/>
      <c r="FH78" s="131"/>
      <c r="FI78" s="131"/>
      <c r="FJ78" s="131"/>
      <c r="FK78" s="131"/>
      <c r="FL78" s="131"/>
      <c r="FM78" s="131"/>
      <c r="FN78" s="131"/>
      <c r="FO78" s="131"/>
      <c r="FP78" s="131"/>
      <c r="FQ78" s="131"/>
      <c r="FR78" s="131"/>
      <c r="FS78" s="131"/>
      <c r="FT78" s="131"/>
      <c r="FU78" s="131"/>
      <c r="FV78" s="131"/>
      <c r="FW78" s="131"/>
      <c r="FX78" s="131"/>
      <c r="FY78" s="131"/>
      <c r="FZ78" s="131"/>
      <c r="GA78" s="131"/>
      <c r="GB78" s="131"/>
      <c r="GC78" s="131"/>
      <c r="GD78" s="131"/>
      <c r="GE78" s="131"/>
      <c r="GF78" s="131"/>
      <c r="GG78" s="131"/>
      <c r="GH78" s="131"/>
      <c r="GI78" s="131"/>
      <c r="GJ78" s="131"/>
      <c r="GK78" s="131"/>
      <c r="GL78" s="131"/>
      <c r="GM78" s="131"/>
      <c r="GN78" s="131"/>
      <c r="GO78" s="131"/>
      <c r="GP78" s="131"/>
      <c r="GQ78" s="131"/>
      <c r="GR78" s="131"/>
      <c r="GS78" s="131"/>
      <c r="GT78" s="131"/>
      <c r="GU78" s="131"/>
      <c r="GV78" s="131"/>
      <c r="GW78" s="131"/>
      <c r="GX78" s="131"/>
      <c r="GY78" s="131"/>
      <c r="GZ78" s="131"/>
      <c r="HA78" s="131"/>
      <c r="HB78" s="131"/>
      <c r="HC78" s="131"/>
      <c r="HD78" s="131"/>
      <c r="HE78" s="131"/>
      <c r="HF78" s="131"/>
      <c r="HG78" s="131"/>
      <c r="HH78" s="131"/>
      <c r="HI78" s="131"/>
      <c r="HJ78" s="131"/>
      <c r="HK78" s="131"/>
      <c r="HL78" s="131"/>
      <c r="HM78" s="131"/>
      <c r="HN78" s="131"/>
      <c r="HO78" s="131"/>
      <c r="HP78" s="131"/>
      <c r="HQ78" s="131"/>
      <c r="HR78" s="131"/>
      <c r="HS78" s="131"/>
      <c r="HT78" s="131"/>
      <c r="HU78" s="131"/>
      <c r="HV78" s="131"/>
      <c r="HW78" s="131"/>
      <c r="HX78" s="131"/>
      <c r="HY78" s="131"/>
      <c r="HZ78" s="131"/>
      <c r="IA78" s="131"/>
      <c r="IB78" s="131"/>
      <c r="IC78" s="131"/>
      <c r="ID78" s="131"/>
      <c r="IE78" s="131"/>
      <c r="IF78" s="131"/>
      <c r="IG78" s="131"/>
      <c r="IH78" s="131"/>
      <c r="II78" s="131"/>
      <c r="IJ78" s="131"/>
      <c r="IK78" s="131"/>
      <c r="IL78" s="131"/>
      <c r="IM78" s="131"/>
      <c r="IN78" s="131"/>
      <c r="IO78" s="131"/>
      <c r="IP78" s="131"/>
      <c r="IQ78" s="131"/>
      <c r="IR78" s="131"/>
      <c r="IS78" s="131"/>
      <c r="IT78" s="131"/>
      <c r="IU78" s="131"/>
      <c r="IV78" s="131"/>
      <c r="IW78" s="131"/>
      <c r="IX78" s="131"/>
      <c r="IY78" s="131"/>
      <c r="IZ78" s="131"/>
      <c r="JA78" s="131"/>
      <c r="JB78" s="131"/>
      <c r="JC78" s="131"/>
      <c r="JD78" s="131"/>
      <c r="JE78" s="131"/>
      <c r="JF78" s="131"/>
      <c r="JG78" s="131"/>
      <c r="JH78" s="131"/>
      <c r="JI78" s="131"/>
      <c r="JJ78" s="131"/>
      <c r="JK78" s="131"/>
      <c r="JL78" s="131"/>
      <c r="JM78" s="131"/>
      <c r="JN78" s="131"/>
      <c r="JO78" s="131"/>
      <c r="JP78" s="131"/>
      <c r="JQ78" s="131"/>
      <c r="JR78" s="131"/>
      <c r="JS78" s="131"/>
      <c r="JT78" s="131"/>
      <c r="JU78" s="131"/>
      <c r="JV78" s="131"/>
      <c r="JW78" s="131"/>
      <c r="JX78" s="131"/>
      <c r="JY78" s="131"/>
      <c r="JZ78" s="131"/>
      <c r="KA78" s="131"/>
      <c r="KB78" s="131"/>
      <c r="KC78" s="131"/>
      <c r="KD78" s="131"/>
      <c r="KE78" s="131"/>
      <c r="KF78" s="131"/>
      <c r="KG78" s="131"/>
      <c r="KH78" s="131"/>
      <c r="KI78" s="131"/>
      <c r="KJ78" s="131"/>
      <c r="KK78" s="131"/>
      <c r="KL78" s="131"/>
      <c r="KM78" s="131"/>
      <c r="KN78" s="131"/>
      <c r="KO78" s="131"/>
      <c r="KP78" s="131"/>
      <c r="KQ78" s="131"/>
      <c r="KR78" s="131"/>
      <c r="KS78" s="131"/>
      <c r="KT78" s="131"/>
      <c r="KU78" s="131"/>
      <c r="KV78" s="131"/>
      <c r="KW78" s="131"/>
      <c r="KX78" s="131"/>
      <c r="KY78" s="131"/>
      <c r="KZ78" s="131"/>
      <c r="LA78" s="131"/>
      <c r="LB78" s="131"/>
      <c r="LC78" s="131"/>
      <c r="LD78" s="131"/>
      <c r="LE78" s="131"/>
      <c r="LF78" s="131"/>
      <c r="LG78" s="131"/>
      <c r="LH78" s="131"/>
      <c r="LI78" s="131"/>
      <c r="LJ78" s="131"/>
      <c r="LK78" s="131"/>
      <c r="LL78" s="131"/>
      <c r="LM78" s="131"/>
      <c r="LN78" s="131"/>
      <c r="LO78" s="131"/>
      <c r="LP78" s="131"/>
      <c r="LQ78" s="131"/>
      <c r="LR78" s="131"/>
      <c r="LS78" s="131"/>
      <c r="LT78" s="131"/>
      <c r="LU78" s="131"/>
      <c r="LV78" s="131"/>
      <c r="LW78" s="131"/>
      <c r="LX78" s="131"/>
      <c r="LY78" s="131"/>
      <c r="LZ78" s="131"/>
      <c r="MA78" s="131"/>
      <c r="MB78" s="131"/>
      <c r="MC78" s="131"/>
      <c r="MD78" s="131"/>
      <c r="ME78" s="131"/>
      <c r="MF78" s="131"/>
      <c r="MG78" s="131"/>
      <c r="MH78" s="131"/>
      <c r="MI78" s="131"/>
      <c r="MJ78" s="131"/>
      <c r="MK78" s="131"/>
      <c r="ML78" s="131"/>
      <c r="MM78" s="131"/>
      <c r="MN78" s="131"/>
      <c r="MO78" s="131"/>
      <c r="MP78" s="131"/>
      <c r="MQ78" s="131"/>
      <c r="MR78" s="131"/>
      <c r="MS78" s="131"/>
      <c r="MT78" s="131"/>
      <c r="MU78" s="131"/>
      <c r="MV78" s="131"/>
      <c r="MW78" s="131"/>
      <c r="MX78" s="131"/>
      <c r="MY78" s="131"/>
      <c r="MZ78" s="131"/>
      <c r="NA78" s="131"/>
      <c r="NB78" s="131"/>
      <c r="NC78" s="131"/>
      <c r="ND78" s="131"/>
      <c r="NE78" s="131"/>
      <c r="NF78" s="131"/>
      <c r="NG78" s="131"/>
      <c r="NH78" s="131"/>
      <c r="NI78" s="131"/>
      <c r="NJ78" s="131"/>
      <c r="NK78" s="131"/>
      <c r="NL78" s="131"/>
      <c r="NM78" s="131"/>
      <c r="NN78" s="131"/>
      <c r="NO78" s="131"/>
      <c r="NP78" s="131"/>
      <c r="NQ78" s="131"/>
      <c r="NR78" s="131"/>
      <c r="NS78" s="131"/>
      <c r="NT78" s="131"/>
      <c r="NU78" s="131"/>
      <c r="NV78" s="131"/>
      <c r="NW78" s="24">
        <f t="shared" si="11"/>
        <v>0</v>
      </c>
      <c r="NX78" s="56" t="s">
        <v>36</v>
      </c>
      <c r="NY78" s="127">
        <v>74.180000000000007</v>
      </c>
      <c r="NZ78" s="78">
        <f t="shared" si="14"/>
        <v>0</v>
      </c>
      <c r="OA78" s="78">
        <v>43.34</v>
      </c>
      <c r="OB78" s="127">
        <f t="shared" si="12"/>
        <v>74.180000000000007</v>
      </c>
      <c r="OC78" s="153"/>
      <c r="OD78" s="108">
        <f t="shared" si="13"/>
        <v>1.7115828334102445</v>
      </c>
      <c r="OE78" s="160" t="s">
        <v>543</v>
      </c>
    </row>
    <row r="79" spans="1:395" s="5" customFormat="1" ht="12.75" customHeight="1" x14ac:dyDescent="0.25">
      <c r="A79" s="62">
        <v>44544</v>
      </c>
      <c r="B79" s="106" t="s">
        <v>541</v>
      </c>
      <c r="C79" s="129"/>
      <c r="D79" s="129"/>
      <c r="E79" s="130"/>
      <c r="F79" s="130"/>
      <c r="G79" s="130"/>
      <c r="H79" s="130"/>
      <c r="I79" s="130"/>
      <c r="J79" s="130"/>
      <c r="K79" s="130"/>
      <c r="L79" s="130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  <c r="AE79" s="131"/>
      <c r="AF79" s="131"/>
      <c r="AG79" s="131"/>
      <c r="AH79" s="131"/>
      <c r="AI79" s="131"/>
      <c r="AJ79" s="131"/>
      <c r="AK79" s="131"/>
      <c r="AL79" s="131"/>
      <c r="AM79" s="131"/>
      <c r="AN79" s="131"/>
      <c r="AO79" s="131"/>
      <c r="AP79" s="131"/>
      <c r="AQ79" s="131"/>
      <c r="AR79" s="131"/>
      <c r="AS79" s="131"/>
      <c r="AT79" s="131"/>
      <c r="AU79" s="131"/>
      <c r="AV79" s="131"/>
      <c r="AW79" s="131"/>
      <c r="AX79" s="131"/>
      <c r="AY79" s="131"/>
      <c r="AZ79" s="131"/>
      <c r="BA79" s="131"/>
      <c r="BB79" s="131"/>
      <c r="BC79" s="131"/>
      <c r="BD79" s="131"/>
      <c r="BE79" s="131"/>
      <c r="BF79" s="131"/>
      <c r="BG79" s="131"/>
      <c r="BH79" s="131"/>
      <c r="BI79" s="131"/>
      <c r="BJ79" s="131"/>
      <c r="BK79" s="131"/>
      <c r="BL79" s="131"/>
      <c r="BM79" s="131"/>
      <c r="BN79" s="131"/>
      <c r="BO79" s="131"/>
      <c r="BP79" s="131"/>
      <c r="BQ79" s="131"/>
      <c r="BR79" s="131"/>
      <c r="BS79" s="131"/>
      <c r="BT79" s="131"/>
      <c r="BU79" s="131"/>
      <c r="BV79" s="131"/>
      <c r="BW79" s="131"/>
      <c r="BX79" s="131"/>
      <c r="BY79" s="131"/>
      <c r="BZ79" s="131"/>
      <c r="CA79" s="131"/>
      <c r="CB79" s="131"/>
      <c r="CC79" s="131"/>
      <c r="CD79" s="131"/>
      <c r="CE79" s="131"/>
      <c r="CF79" s="131"/>
      <c r="CG79" s="131"/>
      <c r="CH79" s="131"/>
      <c r="CI79" s="131"/>
      <c r="CJ79" s="131"/>
      <c r="CK79" s="131"/>
      <c r="CL79" s="131"/>
      <c r="CM79" s="131"/>
      <c r="CN79" s="131"/>
      <c r="CO79" s="131"/>
      <c r="CP79" s="131"/>
      <c r="CQ79" s="131"/>
      <c r="CR79" s="131"/>
      <c r="CS79" s="131"/>
      <c r="CT79" s="131"/>
      <c r="CU79" s="131"/>
      <c r="CV79" s="131"/>
      <c r="CW79" s="131"/>
      <c r="CX79" s="131"/>
      <c r="CY79" s="131"/>
      <c r="CZ79" s="131"/>
      <c r="DA79" s="131"/>
      <c r="DB79" s="131"/>
      <c r="DC79" s="131"/>
      <c r="DD79" s="131"/>
      <c r="DE79" s="131"/>
      <c r="DF79" s="131"/>
      <c r="DG79" s="131"/>
      <c r="DH79" s="131"/>
      <c r="DI79" s="131"/>
      <c r="DJ79" s="131"/>
      <c r="DK79" s="131"/>
      <c r="DL79" s="131"/>
      <c r="DM79" s="131"/>
      <c r="DN79" s="131"/>
      <c r="DO79" s="131"/>
      <c r="DP79" s="131"/>
      <c r="DQ79" s="131"/>
      <c r="DR79" s="131"/>
      <c r="DS79" s="131"/>
      <c r="DT79" s="131"/>
      <c r="DU79" s="131"/>
      <c r="DV79" s="131"/>
      <c r="DW79" s="131"/>
      <c r="DX79" s="131"/>
      <c r="DY79" s="131"/>
      <c r="DZ79" s="131"/>
      <c r="EA79" s="131"/>
      <c r="EB79" s="131"/>
      <c r="EC79" s="131"/>
      <c r="ED79" s="131"/>
      <c r="EE79" s="131"/>
      <c r="EF79" s="131"/>
      <c r="EG79" s="131"/>
      <c r="EH79" s="131"/>
      <c r="EI79" s="131"/>
      <c r="EJ79" s="131"/>
      <c r="EK79" s="131"/>
      <c r="EL79" s="131"/>
      <c r="EM79" s="131"/>
      <c r="EN79" s="131"/>
      <c r="EO79" s="131"/>
      <c r="EP79" s="131"/>
      <c r="EQ79" s="131"/>
      <c r="ER79" s="131"/>
      <c r="ES79" s="131"/>
      <c r="ET79" s="131"/>
      <c r="EU79" s="131"/>
      <c r="EV79" s="131"/>
      <c r="EW79" s="131"/>
      <c r="EX79" s="131"/>
      <c r="EY79" s="131"/>
      <c r="EZ79" s="131"/>
      <c r="FA79" s="131"/>
      <c r="FB79" s="131"/>
      <c r="FC79" s="131"/>
      <c r="FD79" s="131"/>
      <c r="FE79" s="131"/>
      <c r="FF79" s="131"/>
      <c r="FG79" s="131"/>
      <c r="FH79" s="131"/>
      <c r="FI79" s="131"/>
      <c r="FJ79" s="131"/>
      <c r="FK79" s="131"/>
      <c r="FL79" s="131"/>
      <c r="FM79" s="131"/>
      <c r="FN79" s="131"/>
      <c r="FO79" s="131"/>
      <c r="FP79" s="131"/>
      <c r="FQ79" s="131"/>
      <c r="FR79" s="131"/>
      <c r="FS79" s="131"/>
      <c r="FT79" s="131"/>
      <c r="FU79" s="131"/>
      <c r="FV79" s="131"/>
      <c r="FW79" s="131"/>
      <c r="FX79" s="131"/>
      <c r="FY79" s="131"/>
      <c r="FZ79" s="131"/>
      <c r="GA79" s="131"/>
      <c r="GB79" s="131"/>
      <c r="GC79" s="131"/>
      <c r="GD79" s="131"/>
      <c r="GE79" s="131"/>
      <c r="GF79" s="131"/>
      <c r="GG79" s="131"/>
      <c r="GH79" s="131"/>
      <c r="GI79" s="131"/>
      <c r="GJ79" s="131"/>
      <c r="GK79" s="131"/>
      <c r="GL79" s="131"/>
      <c r="GM79" s="131"/>
      <c r="GN79" s="131"/>
      <c r="GO79" s="131"/>
      <c r="GP79" s="131"/>
      <c r="GQ79" s="131"/>
      <c r="GR79" s="131"/>
      <c r="GS79" s="131"/>
      <c r="GT79" s="131"/>
      <c r="GU79" s="131"/>
      <c r="GV79" s="131"/>
      <c r="GW79" s="131"/>
      <c r="GX79" s="131"/>
      <c r="GY79" s="131"/>
      <c r="GZ79" s="131"/>
      <c r="HA79" s="131"/>
      <c r="HB79" s="131"/>
      <c r="HC79" s="131"/>
      <c r="HD79" s="131"/>
      <c r="HE79" s="131"/>
      <c r="HF79" s="131"/>
      <c r="HG79" s="131"/>
      <c r="HH79" s="131"/>
      <c r="HI79" s="131"/>
      <c r="HJ79" s="131"/>
      <c r="HK79" s="131"/>
      <c r="HL79" s="131"/>
      <c r="HM79" s="131"/>
      <c r="HN79" s="131"/>
      <c r="HO79" s="131"/>
      <c r="HP79" s="131"/>
      <c r="HQ79" s="131"/>
      <c r="HR79" s="131"/>
      <c r="HS79" s="131"/>
      <c r="HT79" s="131"/>
      <c r="HU79" s="131"/>
      <c r="HV79" s="131"/>
      <c r="HW79" s="131"/>
      <c r="HX79" s="131"/>
      <c r="HY79" s="131"/>
      <c r="HZ79" s="131"/>
      <c r="IA79" s="131"/>
      <c r="IB79" s="131"/>
      <c r="IC79" s="131"/>
      <c r="ID79" s="131"/>
      <c r="IE79" s="131"/>
      <c r="IF79" s="131"/>
      <c r="IG79" s="131"/>
      <c r="IH79" s="131"/>
      <c r="II79" s="131"/>
      <c r="IJ79" s="131"/>
      <c r="IK79" s="131"/>
      <c r="IL79" s="131"/>
      <c r="IM79" s="131"/>
      <c r="IN79" s="131"/>
      <c r="IO79" s="131"/>
      <c r="IP79" s="131"/>
      <c r="IQ79" s="131"/>
      <c r="IR79" s="131"/>
      <c r="IS79" s="131"/>
      <c r="IT79" s="131"/>
      <c r="IU79" s="131"/>
      <c r="IV79" s="131"/>
      <c r="IW79" s="131"/>
      <c r="IX79" s="131"/>
      <c r="IY79" s="131"/>
      <c r="IZ79" s="131"/>
      <c r="JA79" s="131"/>
      <c r="JB79" s="131"/>
      <c r="JC79" s="131"/>
      <c r="JD79" s="131"/>
      <c r="JE79" s="131"/>
      <c r="JF79" s="131"/>
      <c r="JG79" s="131"/>
      <c r="JH79" s="131"/>
      <c r="JI79" s="131"/>
      <c r="JJ79" s="131"/>
      <c r="JK79" s="131"/>
      <c r="JL79" s="131"/>
      <c r="JM79" s="131"/>
      <c r="JN79" s="131"/>
      <c r="JO79" s="131"/>
      <c r="JP79" s="131"/>
      <c r="JQ79" s="131"/>
      <c r="JR79" s="131"/>
      <c r="JS79" s="131"/>
      <c r="JT79" s="131"/>
      <c r="JU79" s="131"/>
      <c r="JV79" s="131"/>
      <c r="JW79" s="131"/>
      <c r="JX79" s="131"/>
      <c r="JY79" s="131"/>
      <c r="JZ79" s="131"/>
      <c r="KA79" s="131"/>
      <c r="KB79" s="131"/>
      <c r="KC79" s="131"/>
      <c r="KD79" s="131"/>
      <c r="KE79" s="131"/>
      <c r="KF79" s="131"/>
      <c r="KG79" s="131"/>
      <c r="KH79" s="131"/>
      <c r="KI79" s="131"/>
      <c r="KJ79" s="131"/>
      <c r="KK79" s="131"/>
      <c r="KL79" s="131"/>
      <c r="KM79" s="131"/>
      <c r="KN79" s="131"/>
      <c r="KO79" s="131"/>
      <c r="KP79" s="131"/>
      <c r="KQ79" s="131"/>
      <c r="KR79" s="131"/>
      <c r="KS79" s="131"/>
      <c r="KT79" s="131"/>
      <c r="KU79" s="131"/>
      <c r="KV79" s="131"/>
      <c r="KW79" s="131"/>
      <c r="KX79" s="131"/>
      <c r="KY79" s="131"/>
      <c r="KZ79" s="131"/>
      <c r="LA79" s="131"/>
      <c r="LB79" s="131"/>
      <c r="LC79" s="131"/>
      <c r="LD79" s="131"/>
      <c r="LE79" s="131"/>
      <c r="LF79" s="131"/>
      <c r="LG79" s="131"/>
      <c r="LH79" s="131"/>
      <c r="LI79" s="131"/>
      <c r="LJ79" s="131"/>
      <c r="LK79" s="131"/>
      <c r="LL79" s="131"/>
      <c r="LM79" s="131"/>
      <c r="LN79" s="131"/>
      <c r="LO79" s="131"/>
      <c r="LP79" s="131"/>
      <c r="LQ79" s="131"/>
      <c r="LR79" s="131"/>
      <c r="LS79" s="131"/>
      <c r="LT79" s="131"/>
      <c r="LU79" s="131"/>
      <c r="LV79" s="131"/>
      <c r="LW79" s="131"/>
      <c r="LX79" s="131"/>
      <c r="LY79" s="131"/>
      <c r="LZ79" s="131"/>
      <c r="MA79" s="131"/>
      <c r="MB79" s="131"/>
      <c r="MC79" s="131"/>
      <c r="MD79" s="131"/>
      <c r="ME79" s="131"/>
      <c r="MF79" s="131"/>
      <c r="MG79" s="131"/>
      <c r="MH79" s="131"/>
      <c r="MI79" s="131"/>
      <c r="MJ79" s="131"/>
      <c r="MK79" s="131"/>
      <c r="ML79" s="131"/>
      <c r="MM79" s="131"/>
      <c r="MN79" s="131"/>
      <c r="MO79" s="131"/>
      <c r="MP79" s="131"/>
      <c r="MQ79" s="131"/>
      <c r="MR79" s="131"/>
      <c r="MS79" s="131"/>
      <c r="MT79" s="131"/>
      <c r="MU79" s="131"/>
      <c r="MV79" s="131"/>
      <c r="MW79" s="131"/>
      <c r="MX79" s="131"/>
      <c r="MY79" s="131"/>
      <c r="MZ79" s="131"/>
      <c r="NA79" s="131"/>
      <c r="NB79" s="131"/>
      <c r="NC79" s="131"/>
      <c r="ND79" s="131"/>
      <c r="NE79" s="131"/>
      <c r="NF79" s="131"/>
      <c r="NG79" s="131"/>
      <c r="NH79" s="131"/>
      <c r="NI79" s="131"/>
      <c r="NJ79" s="131"/>
      <c r="NK79" s="131"/>
      <c r="NL79" s="131"/>
      <c r="NM79" s="131"/>
      <c r="NN79" s="131"/>
      <c r="NO79" s="131"/>
      <c r="NP79" s="131"/>
      <c r="NQ79" s="131"/>
      <c r="NR79" s="131"/>
      <c r="NS79" s="131"/>
      <c r="NT79" s="131"/>
      <c r="NU79" s="131"/>
      <c r="NV79" s="131"/>
      <c r="NW79" s="24">
        <f t="shared" si="11"/>
        <v>0</v>
      </c>
      <c r="NX79" s="56" t="s">
        <v>36</v>
      </c>
      <c r="NY79" s="127">
        <v>478.33</v>
      </c>
      <c r="NZ79" s="78">
        <f t="shared" si="14"/>
        <v>0</v>
      </c>
      <c r="OA79" s="78">
        <v>282.87</v>
      </c>
      <c r="OB79" s="127">
        <f t="shared" si="12"/>
        <v>478.33</v>
      </c>
      <c r="OC79" s="153"/>
      <c r="OD79" s="108">
        <f t="shared" si="13"/>
        <v>1.690988793438682</v>
      </c>
      <c r="OE79" s="160" t="s">
        <v>543</v>
      </c>
    </row>
    <row r="80" spans="1:395" s="5" customFormat="1" ht="12.75" hidden="1" customHeight="1" x14ac:dyDescent="0.25">
      <c r="A80" s="62">
        <v>44544</v>
      </c>
      <c r="B80" s="116" t="s">
        <v>93</v>
      </c>
      <c r="C80" s="129"/>
      <c r="D80" s="129"/>
      <c r="E80" s="130"/>
      <c r="F80" s="130"/>
      <c r="G80" s="130"/>
      <c r="H80" s="130"/>
      <c r="I80" s="130"/>
      <c r="J80" s="130"/>
      <c r="K80" s="130"/>
      <c r="L80" s="130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31"/>
      <c r="Y80" s="131"/>
      <c r="Z80" s="131"/>
      <c r="AA80" s="131"/>
      <c r="AB80" s="131"/>
      <c r="AC80" s="131"/>
      <c r="AD80" s="131"/>
      <c r="AE80" s="131"/>
      <c r="AF80" s="131"/>
      <c r="AG80" s="131"/>
      <c r="AH80" s="131"/>
      <c r="AI80" s="131"/>
      <c r="AJ80" s="131"/>
      <c r="AK80" s="131"/>
      <c r="AL80" s="131"/>
      <c r="AM80" s="131"/>
      <c r="AN80" s="131"/>
      <c r="AO80" s="131"/>
      <c r="AP80" s="131"/>
      <c r="AQ80" s="131"/>
      <c r="AR80" s="131"/>
      <c r="AS80" s="131"/>
      <c r="AT80" s="131"/>
      <c r="AU80" s="131"/>
      <c r="AV80" s="131"/>
      <c r="AW80" s="131"/>
      <c r="AX80" s="131"/>
      <c r="AY80" s="131"/>
      <c r="AZ80" s="131"/>
      <c r="BA80" s="131"/>
      <c r="BB80" s="131"/>
      <c r="BC80" s="131"/>
      <c r="BD80" s="131"/>
      <c r="BE80" s="131"/>
      <c r="BF80" s="131"/>
      <c r="BG80" s="131"/>
      <c r="BH80" s="131"/>
      <c r="BI80" s="131"/>
      <c r="BJ80" s="131"/>
      <c r="BK80" s="131"/>
      <c r="BL80" s="131"/>
      <c r="BM80" s="131"/>
      <c r="BN80" s="131"/>
      <c r="BO80" s="131"/>
      <c r="BP80" s="131"/>
      <c r="BQ80" s="131"/>
      <c r="BR80" s="131"/>
      <c r="BS80" s="131"/>
      <c r="BT80" s="131"/>
      <c r="BU80" s="131"/>
      <c r="BV80" s="131"/>
      <c r="BW80" s="131"/>
      <c r="BX80" s="131"/>
      <c r="BY80" s="131"/>
      <c r="BZ80" s="131"/>
      <c r="CA80" s="131"/>
      <c r="CB80" s="131"/>
      <c r="CC80" s="131"/>
      <c r="CD80" s="131"/>
      <c r="CE80" s="131"/>
      <c r="CF80" s="131"/>
      <c r="CG80" s="131"/>
      <c r="CH80" s="131"/>
      <c r="CI80" s="131"/>
      <c r="CJ80" s="131"/>
      <c r="CK80" s="131"/>
      <c r="CL80" s="131"/>
      <c r="CM80" s="131"/>
      <c r="CN80" s="131"/>
      <c r="CO80" s="131"/>
      <c r="CP80" s="131"/>
      <c r="CQ80" s="131"/>
      <c r="CR80" s="131"/>
      <c r="CS80" s="131"/>
      <c r="CT80" s="131"/>
      <c r="CU80" s="131"/>
      <c r="CV80" s="131"/>
      <c r="CW80" s="131"/>
      <c r="CX80" s="131"/>
      <c r="CY80" s="131"/>
      <c r="CZ80" s="131"/>
      <c r="DA80" s="131"/>
      <c r="DB80" s="131"/>
      <c r="DC80" s="131"/>
      <c r="DD80" s="131"/>
      <c r="DE80" s="131"/>
      <c r="DF80" s="131"/>
      <c r="DG80" s="131"/>
      <c r="DH80" s="131"/>
      <c r="DI80" s="131"/>
      <c r="DJ80" s="131"/>
      <c r="DK80" s="131"/>
      <c r="DL80" s="131"/>
      <c r="DM80" s="131"/>
      <c r="DN80" s="131"/>
      <c r="DO80" s="131"/>
      <c r="DP80" s="131"/>
      <c r="DQ80" s="131"/>
      <c r="DR80" s="131"/>
      <c r="DS80" s="131"/>
      <c r="DT80" s="131"/>
      <c r="DU80" s="131"/>
      <c r="DV80" s="131"/>
      <c r="DW80" s="131"/>
      <c r="DX80" s="131"/>
      <c r="DY80" s="131"/>
      <c r="DZ80" s="131"/>
      <c r="EA80" s="131"/>
      <c r="EB80" s="131"/>
      <c r="EC80" s="131"/>
      <c r="ED80" s="131"/>
      <c r="EE80" s="131"/>
      <c r="EF80" s="131"/>
      <c r="EG80" s="131"/>
      <c r="EH80" s="131"/>
      <c r="EI80" s="131"/>
      <c r="EJ80" s="131"/>
      <c r="EK80" s="131"/>
      <c r="EL80" s="131"/>
      <c r="EM80" s="131"/>
      <c r="EN80" s="131"/>
      <c r="EO80" s="131"/>
      <c r="EP80" s="131"/>
      <c r="EQ80" s="131"/>
      <c r="ER80" s="131"/>
      <c r="ES80" s="131"/>
      <c r="ET80" s="131"/>
      <c r="EU80" s="131"/>
      <c r="EV80" s="131"/>
      <c r="EW80" s="131"/>
      <c r="EX80" s="131"/>
      <c r="EY80" s="131"/>
      <c r="EZ80" s="131"/>
      <c r="FA80" s="131"/>
      <c r="FB80" s="131"/>
      <c r="FC80" s="131"/>
      <c r="FD80" s="131"/>
      <c r="FE80" s="131"/>
      <c r="FF80" s="131"/>
      <c r="FG80" s="131"/>
      <c r="FH80" s="131"/>
      <c r="FI80" s="131"/>
      <c r="FJ80" s="131"/>
      <c r="FK80" s="131"/>
      <c r="FL80" s="131"/>
      <c r="FM80" s="131"/>
      <c r="FN80" s="131"/>
      <c r="FO80" s="131"/>
      <c r="FP80" s="131"/>
      <c r="FQ80" s="131"/>
      <c r="FR80" s="131"/>
      <c r="FS80" s="131"/>
      <c r="FT80" s="131"/>
      <c r="FU80" s="131"/>
      <c r="FV80" s="131"/>
      <c r="FW80" s="131"/>
      <c r="FX80" s="131"/>
      <c r="FY80" s="131"/>
      <c r="FZ80" s="131"/>
      <c r="GA80" s="131"/>
      <c r="GB80" s="131"/>
      <c r="GC80" s="131"/>
      <c r="GD80" s="131"/>
      <c r="GE80" s="131"/>
      <c r="GF80" s="131"/>
      <c r="GG80" s="131"/>
      <c r="GH80" s="131"/>
      <c r="GI80" s="131"/>
      <c r="GJ80" s="131"/>
      <c r="GK80" s="131"/>
      <c r="GL80" s="131"/>
      <c r="GM80" s="131"/>
      <c r="GN80" s="131"/>
      <c r="GO80" s="131"/>
      <c r="GP80" s="131"/>
      <c r="GQ80" s="131"/>
      <c r="GR80" s="131"/>
      <c r="GS80" s="131"/>
      <c r="GT80" s="131"/>
      <c r="GU80" s="131"/>
      <c r="GV80" s="131"/>
      <c r="GW80" s="131"/>
      <c r="GX80" s="131"/>
      <c r="GY80" s="131"/>
      <c r="GZ80" s="131"/>
      <c r="HA80" s="131"/>
      <c r="HB80" s="131"/>
      <c r="HC80" s="131"/>
      <c r="HD80" s="131"/>
      <c r="HE80" s="131"/>
      <c r="HF80" s="131"/>
      <c r="HG80" s="131"/>
      <c r="HH80" s="131"/>
      <c r="HI80" s="131"/>
      <c r="HJ80" s="131"/>
      <c r="HK80" s="131"/>
      <c r="HL80" s="131"/>
      <c r="HM80" s="131"/>
      <c r="HN80" s="131"/>
      <c r="HO80" s="131"/>
      <c r="HP80" s="131"/>
      <c r="HQ80" s="131"/>
      <c r="HR80" s="131"/>
      <c r="HS80" s="131"/>
      <c r="HT80" s="131"/>
      <c r="HU80" s="131"/>
      <c r="HV80" s="131"/>
      <c r="HW80" s="131"/>
      <c r="HX80" s="131"/>
      <c r="HY80" s="131"/>
      <c r="HZ80" s="131"/>
      <c r="IA80" s="131"/>
      <c r="IB80" s="131"/>
      <c r="IC80" s="131"/>
      <c r="ID80" s="131"/>
      <c r="IE80" s="131"/>
      <c r="IF80" s="131"/>
      <c r="IG80" s="131"/>
      <c r="IH80" s="131"/>
      <c r="II80" s="131"/>
      <c r="IJ80" s="131"/>
      <c r="IK80" s="131"/>
      <c r="IL80" s="131"/>
      <c r="IM80" s="131"/>
      <c r="IN80" s="131"/>
      <c r="IO80" s="131"/>
      <c r="IP80" s="131"/>
      <c r="IQ80" s="131"/>
      <c r="IR80" s="131"/>
      <c r="IS80" s="131"/>
      <c r="IT80" s="131"/>
      <c r="IU80" s="131"/>
      <c r="IV80" s="131"/>
      <c r="IW80" s="131"/>
      <c r="IX80" s="131"/>
      <c r="IY80" s="131"/>
      <c r="IZ80" s="131"/>
      <c r="JA80" s="131"/>
      <c r="JB80" s="131"/>
      <c r="JC80" s="131"/>
      <c r="JD80" s="131"/>
      <c r="JE80" s="131"/>
      <c r="JF80" s="131"/>
      <c r="JG80" s="131"/>
      <c r="JH80" s="131"/>
      <c r="JI80" s="131"/>
      <c r="JJ80" s="131"/>
      <c r="JK80" s="131"/>
      <c r="JL80" s="131"/>
      <c r="JM80" s="131"/>
      <c r="JN80" s="131"/>
      <c r="JO80" s="131"/>
      <c r="JP80" s="131"/>
      <c r="JQ80" s="131"/>
      <c r="JR80" s="131"/>
      <c r="JS80" s="131"/>
      <c r="JT80" s="131"/>
      <c r="JU80" s="131"/>
      <c r="JV80" s="131"/>
      <c r="JW80" s="131"/>
      <c r="JX80" s="131"/>
      <c r="JY80" s="131"/>
      <c r="JZ80" s="131"/>
      <c r="KA80" s="131"/>
      <c r="KB80" s="131"/>
      <c r="KC80" s="131"/>
      <c r="KD80" s="131"/>
      <c r="KE80" s="131"/>
      <c r="KF80" s="131"/>
      <c r="KG80" s="131"/>
      <c r="KH80" s="131"/>
      <c r="KI80" s="131"/>
      <c r="KJ80" s="131"/>
      <c r="KK80" s="131"/>
      <c r="KL80" s="131"/>
      <c r="KM80" s="131"/>
      <c r="KN80" s="131"/>
      <c r="KO80" s="131"/>
      <c r="KP80" s="131"/>
      <c r="KQ80" s="131"/>
      <c r="KR80" s="131"/>
      <c r="KS80" s="131"/>
      <c r="KT80" s="131"/>
      <c r="KU80" s="131"/>
      <c r="KV80" s="131"/>
      <c r="KW80" s="131"/>
      <c r="KX80" s="131"/>
      <c r="KY80" s="131"/>
      <c r="KZ80" s="131"/>
      <c r="LA80" s="131"/>
      <c r="LB80" s="131"/>
      <c r="LC80" s="131"/>
      <c r="LD80" s="131"/>
      <c r="LE80" s="131"/>
      <c r="LF80" s="131"/>
      <c r="LG80" s="131"/>
      <c r="LH80" s="131"/>
      <c r="LI80" s="131"/>
      <c r="LJ80" s="131"/>
      <c r="LK80" s="131"/>
      <c r="LL80" s="131"/>
      <c r="LM80" s="131"/>
      <c r="LN80" s="131"/>
      <c r="LO80" s="131"/>
      <c r="LP80" s="131"/>
      <c r="LQ80" s="131"/>
      <c r="LR80" s="131"/>
      <c r="LS80" s="131"/>
      <c r="LT80" s="131"/>
      <c r="LU80" s="131"/>
      <c r="LV80" s="131"/>
      <c r="LW80" s="131"/>
      <c r="LX80" s="131"/>
      <c r="LY80" s="131"/>
      <c r="LZ80" s="131"/>
      <c r="MA80" s="131"/>
      <c r="MB80" s="131"/>
      <c r="MC80" s="131"/>
      <c r="MD80" s="131"/>
      <c r="ME80" s="131"/>
      <c r="MF80" s="131"/>
      <c r="MG80" s="131"/>
      <c r="MH80" s="131"/>
      <c r="MI80" s="131"/>
      <c r="MJ80" s="131"/>
      <c r="MK80" s="131"/>
      <c r="ML80" s="131"/>
      <c r="MM80" s="131"/>
      <c r="MN80" s="131"/>
      <c r="MO80" s="131"/>
      <c r="MP80" s="131"/>
      <c r="MQ80" s="131"/>
      <c r="MR80" s="131"/>
      <c r="MS80" s="131"/>
      <c r="MT80" s="131"/>
      <c r="MU80" s="131"/>
      <c r="MV80" s="131"/>
      <c r="MW80" s="131"/>
      <c r="MX80" s="131"/>
      <c r="MY80" s="131"/>
      <c r="MZ80" s="131"/>
      <c r="NA80" s="131"/>
      <c r="NB80" s="131"/>
      <c r="NC80" s="131"/>
      <c r="ND80" s="131"/>
      <c r="NE80" s="131"/>
      <c r="NF80" s="131"/>
      <c r="NG80" s="131"/>
      <c r="NH80" s="131"/>
      <c r="NI80" s="131"/>
      <c r="NJ80" s="131"/>
      <c r="NK80" s="131"/>
      <c r="NL80" s="131"/>
      <c r="NM80" s="131"/>
      <c r="NN80" s="131"/>
      <c r="NO80" s="131"/>
      <c r="NP80" s="131"/>
      <c r="NQ80" s="131"/>
      <c r="NR80" s="131"/>
      <c r="NS80" s="131"/>
      <c r="NT80" s="131"/>
      <c r="NU80" s="131"/>
      <c r="NV80" s="131"/>
      <c r="NW80" s="24">
        <f t="shared" si="11"/>
        <v>0</v>
      </c>
      <c r="NX80" s="56" t="s">
        <v>36</v>
      </c>
      <c r="NY80" s="127">
        <v>143.13999999999999</v>
      </c>
      <c r="NZ80" s="78">
        <f t="shared" si="14"/>
        <v>143.13999999999999</v>
      </c>
      <c r="OA80" s="78">
        <v>79.343999999999994</v>
      </c>
      <c r="OB80" s="127">
        <f t="shared" si="12"/>
        <v>0</v>
      </c>
      <c r="OC80" s="153">
        <v>143.13999999999999</v>
      </c>
      <c r="OD80" s="108">
        <f t="shared" si="13"/>
        <v>1.8040431538616657</v>
      </c>
      <c r="OE80" s="160" t="s">
        <v>543</v>
      </c>
    </row>
    <row r="81" spans="1:395" s="5" customFormat="1" ht="12.75" hidden="1" customHeight="1" x14ac:dyDescent="0.25">
      <c r="A81" s="62">
        <v>44544</v>
      </c>
      <c r="B81" s="116" t="s">
        <v>297</v>
      </c>
      <c r="C81" s="129"/>
      <c r="D81" s="129"/>
      <c r="E81" s="130"/>
      <c r="F81" s="130"/>
      <c r="G81" s="130"/>
      <c r="H81" s="130"/>
      <c r="I81" s="130"/>
      <c r="J81" s="130"/>
      <c r="K81" s="130"/>
      <c r="L81" s="130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/>
      <c r="AA81" s="131"/>
      <c r="AB81" s="131"/>
      <c r="AC81" s="131"/>
      <c r="AD81" s="131"/>
      <c r="AE81" s="131"/>
      <c r="AF81" s="131"/>
      <c r="AG81" s="131"/>
      <c r="AH81" s="131"/>
      <c r="AI81" s="131"/>
      <c r="AJ81" s="131"/>
      <c r="AK81" s="131"/>
      <c r="AL81" s="131"/>
      <c r="AM81" s="131"/>
      <c r="AN81" s="131"/>
      <c r="AO81" s="131"/>
      <c r="AP81" s="131"/>
      <c r="AQ81" s="131"/>
      <c r="AR81" s="131"/>
      <c r="AS81" s="131"/>
      <c r="AT81" s="131"/>
      <c r="AU81" s="131"/>
      <c r="AV81" s="131"/>
      <c r="AW81" s="131"/>
      <c r="AX81" s="131"/>
      <c r="AY81" s="131"/>
      <c r="AZ81" s="131"/>
      <c r="BA81" s="131"/>
      <c r="BB81" s="131"/>
      <c r="BC81" s="131"/>
      <c r="BD81" s="131"/>
      <c r="BE81" s="131"/>
      <c r="BF81" s="131"/>
      <c r="BG81" s="131"/>
      <c r="BH81" s="131"/>
      <c r="BI81" s="131"/>
      <c r="BJ81" s="131"/>
      <c r="BK81" s="131"/>
      <c r="BL81" s="131"/>
      <c r="BM81" s="131"/>
      <c r="BN81" s="131"/>
      <c r="BO81" s="131"/>
      <c r="BP81" s="131"/>
      <c r="BQ81" s="131"/>
      <c r="BR81" s="131"/>
      <c r="BS81" s="131"/>
      <c r="BT81" s="131"/>
      <c r="BU81" s="131"/>
      <c r="BV81" s="131"/>
      <c r="BW81" s="131"/>
      <c r="BX81" s="131"/>
      <c r="BY81" s="131"/>
      <c r="BZ81" s="131"/>
      <c r="CA81" s="131"/>
      <c r="CB81" s="131"/>
      <c r="CC81" s="131"/>
      <c r="CD81" s="131"/>
      <c r="CE81" s="131"/>
      <c r="CF81" s="131"/>
      <c r="CG81" s="131"/>
      <c r="CH81" s="131"/>
      <c r="CI81" s="131"/>
      <c r="CJ81" s="131"/>
      <c r="CK81" s="131"/>
      <c r="CL81" s="131"/>
      <c r="CM81" s="131"/>
      <c r="CN81" s="131"/>
      <c r="CO81" s="131"/>
      <c r="CP81" s="131"/>
      <c r="CQ81" s="131"/>
      <c r="CR81" s="131"/>
      <c r="CS81" s="131"/>
      <c r="CT81" s="131"/>
      <c r="CU81" s="131"/>
      <c r="CV81" s="131"/>
      <c r="CW81" s="131"/>
      <c r="CX81" s="131"/>
      <c r="CY81" s="131"/>
      <c r="CZ81" s="131"/>
      <c r="DA81" s="131"/>
      <c r="DB81" s="131"/>
      <c r="DC81" s="131"/>
      <c r="DD81" s="131"/>
      <c r="DE81" s="131"/>
      <c r="DF81" s="131"/>
      <c r="DG81" s="131"/>
      <c r="DH81" s="131"/>
      <c r="DI81" s="131"/>
      <c r="DJ81" s="131"/>
      <c r="DK81" s="131"/>
      <c r="DL81" s="131"/>
      <c r="DM81" s="131"/>
      <c r="DN81" s="131"/>
      <c r="DO81" s="131"/>
      <c r="DP81" s="131"/>
      <c r="DQ81" s="131"/>
      <c r="DR81" s="131"/>
      <c r="DS81" s="131"/>
      <c r="DT81" s="131"/>
      <c r="DU81" s="131"/>
      <c r="DV81" s="131"/>
      <c r="DW81" s="131"/>
      <c r="DX81" s="131"/>
      <c r="DY81" s="131"/>
      <c r="DZ81" s="131"/>
      <c r="EA81" s="131"/>
      <c r="EB81" s="131"/>
      <c r="EC81" s="131"/>
      <c r="ED81" s="131"/>
      <c r="EE81" s="131"/>
      <c r="EF81" s="131"/>
      <c r="EG81" s="131"/>
      <c r="EH81" s="131"/>
      <c r="EI81" s="131"/>
      <c r="EJ81" s="131"/>
      <c r="EK81" s="131"/>
      <c r="EL81" s="131"/>
      <c r="EM81" s="131"/>
      <c r="EN81" s="131"/>
      <c r="EO81" s="131"/>
      <c r="EP81" s="131"/>
      <c r="EQ81" s="131"/>
      <c r="ER81" s="131"/>
      <c r="ES81" s="131"/>
      <c r="ET81" s="131"/>
      <c r="EU81" s="131"/>
      <c r="EV81" s="131"/>
      <c r="EW81" s="131"/>
      <c r="EX81" s="131"/>
      <c r="EY81" s="131"/>
      <c r="EZ81" s="131"/>
      <c r="FA81" s="131"/>
      <c r="FB81" s="131"/>
      <c r="FC81" s="131"/>
      <c r="FD81" s="131"/>
      <c r="FE81" s="131"/>
      <c r="FF81" s="131"/>
      <c r="FG81" s="131"/>
      <c r="FH81" s="131"/>
      <c r="FI81" s="131"/>
      <c r="FJ81" s="131"/>
      <c r="FK81" s="131"/>
      <c r="FL81" s="131"/>
      <c r="FM81" s="131"/>
      <c r="FN81" s="131"/>
      <c r="FO81" s="131"/>
      <c r="FP81" s="131"/>
      <c r="FQ81" s="131"/>
      <c r="FR81" s="131"/>
      <c r="FS81" s="131"/>
      <c r="FT81" s="131"/>
      <c r="FU81" s="131"/>
      <c r="FV81" s="131"/>
      <c r="FW81" s="131"/>
      <c r="FX81" s="131"/>
      <c r="FY81" s="131"/>
      <c r="FZ81" s="131"/>
      <c r="GA81" s="131"/>
      <c r="GB81" s="131"/>
      <c r="GC81" s="131"/>
      <c r="GD81" s="131"/>
      <c r="GE81" s="131"/>
      <c r="GF81" s="131"/>
      <c r="GG81" s="131"/>
      <c r="GH81" s="131"/>
      <c r="GI81" s="131"/>
      <c r="GJ81" s="131"/>
      <c r="GK81" s="131"/>
      <c r="GL81" s="131"/>
      <c r="GM81" s="131"/>
      <c r="GN81" s="131"/>
      <c r="GO81" s="131"/>
      <c r="GP81" s="131"/>
      <c r="GQ81" s="131"/>
      <c r="GR81" s="131"/>
      <c r="GS81" s="131"/>
      <c r="GT81" s="131"/>
      <c r="GU81" s="131"/>
      <c r="GV81" s="131"/>
      <c r="GW81" s="131"/>
      <c r="GX81" s="131"/>
      <c r="GY81" s="131"/>
      <c r="GZ81" s="131"/>
      <c r="HA81" s="131"/>
      <c r="HB81" s="131"/>
      <c r="HC81" s="131"/>
      <c r="HD81" s="131"/>
      <c r="HE81" s="131"/>
      <c r="HF81" s="131"/>
      <c r="HG81" s="131"/>
      <c r="HH81" s="131"/>
      <c r="HI81" s="131"/>
      <c r="HJ81" s="131"/>
      <c r="HK81" s="131"/>
      <c r="HL81" s="131"/>
      <c r="HM81" s="131"/>
      <c r="HN81" s="131"/>
      <c r="HO81" s="131"/>
      <c r="HP81" s="131"/>
      <c r="HQ81" s="131"/>
      <c r="HR81" s="131"/>
      <c r="HS81" s="131"/>
      <c r="HT81" s="131"/>
      <c r="HU81" s="131"/>
      <c r="HV81" s="131"/>
      <c r="HW81" s="131"/>
      <c r="HX81" s="131"/>
      <c r="HY81" s="131"/>
      <c r="HZ81" s="131"/>
      <c r="IA81" s="131"/>
      <c r="IB81" s="131"/>
      <c r="IC81" s="131"/>
      <c r="ID81" s="131"/>
      <c r="IE81" s="131"/>
      <c r="IF81" s="131"/>
      <c r="IG81" s="131"/>
      <c r="IH81" s="131"/>
      <c r="II81" s="131"/>
      <c r="IJ81" s="131"/>
      <c r="IK81" s="131"/>
      <c r="IL81" s="131"/>
      <c r="IM81" s="131"/>
      <c r="IN81" s="131"/>
      <c r="IO81" s="131"/>
      <c r="IP81" s="131"/>
      <c r="IQ81" s="131"/>
      <c r="IR81" s="131"/>
      <c r="IS81" s="131"/>
      <c r="IT81" s="131"/>
      <c r="IU81" s="131"/>
      <c r="IV81" s="131"/>
      <c r="IW81" s="131"/>
      <c r="IX81" s="131"/>
      <c r="IY81" s="131"/>
      <c r="IZ81" s="131"/>
      <c r="JA81" s="131"/>
      <c r="JB81" s="131"/>
      <c r="JC81" s="131"/>
      <c r="JD81" s="131"/>
      <c r="JE81" s="131"/>
      <c r="JF81" s="131"/>
      <c r="JG81" s="131"/>
      <c r="JH81" s="131"/>
      <c r="JI81" s="131"/>
      <c r="JJ81" s="131"/>
      <c r="JK81" s="131"/>
      <c r="JL81" s="131"/>
      <c r="JM81" s="131"/>
      <c r="JN81" s="131"/>
      <c r="JO81" s="131"/>
      <c r="JP81" s="131"/>
      <c r="JQ81" s="131"/>
      <c r="JR81" s="131"/>
      <c r="JS81" s="131"/>
      <c r="JT81" s="131"/>
      <c r="JU81" s="131"/>
      <c r="JV81" s="131"/>
      <c r="JW81" s="131"/>
      <c r="JX81" s="131"/>
      <c r="JY81" s="131"/>
      <c r="JZ81" s="131"/>
      <c r="KA81" s="131"/>
      <c r="KB81" s="131"/>
      <c r="KC81" s="131"/>
      <c r="KD81" s="131"/>
      <c r="KE81" s="131"/>
      <c r="KF81" s="131"/>
      <c r="KG81" s="131"/>
      <c r="KH81" s="131"/>
      <c r="KI81" s="131"/>
      <c r="KJ81" s="131"/>
      <c r="KK81" s="131"/>
      <c r="KL81" s="131"/>
      <c r="KM81" s="131"/>
      <c r="KN81" s="131"/>
      <c r="KO81" s="131"/>
      <c r="KP81" s="131"/>
      <c r="KQ81" s="131"/>
      <c r="KR81" s="131"/>
      <c r="KS81" s="131"/>
      <c r="KT81" s="131"/>
      <c r="KU81" s="131"/>
      <c r="KV81" s="131"/>
      <c r="KW81" s="131"/>
      <c r="KX81" s="131"/>
      <c r="KY81" s="131"/>
      <c r="KZ81" s="131"/>
      <c r="LA81" s="131"/>
      <c r="LB81" s="131"/>
      <c r="LC81" s="131"/>
      <c r="LD81" s="131"/>
      <c r="LE81" s="131"/>
      <c r="LF81" s="131"/>
      <c r="LG81" s="131"/>
      <c r="LH81" s="131"/>
      <c r="LI81" s="131"/>
      <c r="LJ81" s="131"/>
      <c r="LK81" s="131"/>
      <c r="LL81" s="131"/>
      <c r="LM81" s="131"/>
      <c r="LN81" s="131"/>
      <c r="LO81" s="131"/>
      <c r="LP81" s="131"/>
      <c r="LQ81" s="131"/>
      <c r="LR81" s="131"/>
      <c r="LS81" s="131"/>
      <c r="LT81" s="131"/>
      <c r="LU81" s="131"/>
      <c r="LV81" s="131"/>
      <c r="LW81" s="131"/>
      <c r="LX81" s="131"/>
      <c r="LY81" s="131"/>
      <c r="LZ81" s="131"/>
      <c r="MA81" s="131"/>
      <c r="MB81" s="131"/>
      <c r="MC81" s="131"/>
      <c r="MD81" s="131"/>
      <c r="ME81" s="131"/>
      <c r="MF81" s="131"/>
      <c r="MG81" s="131"/>
      <c r="MH81" s="131"/>
      <c r="MI81" s="131"/>
      <c r="MJ81" s="131"/>
      <c r="MK81" s="131"/>
      <c r="ML81" s="131"/>
      <c r="MM81" s="131"/>
      <c r="MN81" s="131"/>
      <c r="MO81" s="131"/>
      <c r="MP81" s="131"/>
      <c r="MQ81" s="131"/>
      <c r="MR81" s="131"/>
      <c r="MS81" s="131"/>
      <c r="MT81" s="131"/>
      <c r="MU81" s="131"/>
      <c r="MV81" s="131"/>
      <c r="MW81" s="131"/>
      <c r="MX81" s="131"/>
      <c r="MY81" s="131"/>
      <c r="MZ81" s="131"/>
      <c r="NA81" s="131"/>
      <c r="NB81" s="131"/>
      <c r="NC81" s="131"/>
      <c r="ND81" s="131"/>
      <c r="NE81" s="131"/>
      <c r="NF81" s="131"/>
      <c r="NG81" s="131"/>
      <c r="NH81" s="131"/>
      <c r="NI81" s="131"/>
      <c r="NJ81" s="131"/>
      <c r="NK81" s="131"/>
      <c r="NL81" s="131"/>
      <c r="NM81" s="131"/>
      <c r="NN81" s="131"/>
      <c r="NO81" s="131"/>
      <c r="NP81" s="131"/>
      <c r="NQ81" s="131"/>
      <c r="NR81" s="131"/>
      <c r="NS81" s="131"/>
      <c r="NT81" s="131"/>
      <c r="NU81" s="131"/>
      <c r="NV81" s="131"/>
      <c r="NW81" s="24">
        <f t="shared" si="11"/>
        <v>0</v>
      </c>
      <c r="NX81" s="56" t="s">
        <v>36</v>
      </c>
      <c r="NY81" s="127">
        <v>5452</v>
      </c>
      <c r="NZ81" s="78">
        <f t="shared" si="14"/>
        <v>5452</v>
      </c>
      <c r="OA81" s="78">
        <f>4261/1.2</f>
        <v>3550.8333333333335</v>
      </c>
      <c r="OB81" s="127">
        <f t="shared" si="12"/>
        <v>0</v>
      </c>
      <c r="OC81" s="153">
        <v>5452</v>
      </c>
      <c r="OD81" s="108">
        <f t="shared" si="13"/>
        <v>1.5354142220136118</v>
      </c>
      <c r="OE81" s="160" t="s">
        <v>543</v>
      </c>
    </row>
    <row r="82" spans="1:395" s="5" customFormat="1" ht="12.75" hidden="1" customHeight="1" x14ac:dyDescent="0.25">
      <c r="A82" s="62">
        <v>44546</v>
      </c>
      <c r="B82" s="106" t="s">
        <v>487</v>
      </c>
      <c r="C82" s="129"/>
      <c r="D82" s="129"/>
      <c r="E82" s="130"/>
      <c r="F82" s="130"/>
      <c r="G82" s="130"/>
      <c r="H82" s="130"/>
      <c r="I82" s="130"/>
      <c r="J82" s="130"/>
      <c r="K82" s="130"/>
      <c r="L82" s="130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/>
      <c r="AC82" s="131"/>
      <c r="AD82" s="131"/>
      <c r="AE82" s="131"/>
      <c r="AF82" s="131"/>
      <c r="AG82" s="131"/>
      <c r="AH82" s="131"/>
      <c r="AI82" s="131"/>
      <c r="AJ82" s="131"/>
      <c r="AK82" s="131"/>
      <c r="AL82" s="131"/>
      <c r="AM82" s="131"/>
      <c r="AN82" s="131"/>
      <c r="AO82" s="131"/>
      <c r="AP82" s="131"/>
      <c r="AQ82" s="131"/>
      <c r="AR82" s="131"/>
      <c r="AS82" s="131"/>
      <c r="AT82" s="131"/>
      <c r="AU82" s="131"/>
      <c r="AV82" s="131"/>
      <c r="AW82" s="131"/>
      <c r="AX82" s="131"/>
      <c r="AY82" s="131"/>
      <c r="AZ82" s="131"/>
      <c r="BA82" s="131"/>
      <c r="BB82" s="131"/>
      <c r="BC82" s="131"/>
      <c r="BD82" s="131"/>
      <c r="BE82" s="131"/>
      <c r="BF82" s="131"/>
      <c r="BG82" s="131"/>
      <c r="BH82" s="131"/>
      <c r="BI82" s="131"/>
      <c r="BJ82" s="131"/>
      <c r="BK82" s="131"/>
      <c r="BL82" s="131"/>
      <c r="BM82" s="131"/>
      <c r="BN82" s="131"/>
      <c r="BO82" s="131"/>
      <c r="BP82" s="131"/>
      <c r="BQ82" s="131"/>
      <c r="BR82" s="131"/>
      <c r="BS82" s="131"/>
      <c r="BT82" s="131"/>
      <c r="BU82" s="131"/>
      <c r="BV82" s="131"/>
      <c r="BW82" s="131"/>
      <c r="BX82" s="131"/>
      <c r="BY82" s="131"/>
      <c r="BZ82" s="131"/>
      <c r="CA82" s="131"/>
      <c r="CB82" s="131"/>
      <c r="CC82" s="131"/>
      <c r="CD82" s="131"/>
      <c r="CE82" s="131"/>
      <c r="CF82" s="131"/>
      <c r="CG82" s="131"/>
      <c r="CH82" s="131"/>
      <c r="CI82" s="131"/>
      <c r="CJ82" s="131"/>
      <c r="CK82" s="131"/>
      <c r="CL82" s="131"/>
      <c r="CM82" s="131"/>
      <c r="CN82" s="131"/>
      <c r="CO82" s="131"/>
      <c r="CP82" s="131"/>
      <c r="CQ82" s="131"/>
      <c r="CR82" s="131"/>
      <c r="CS82" s="131"/>
      <c r="CT82" s="131"/>
      <c r="CU82" s="131"/>
      <c r="CV82" s="131"/>
      <c r="CW82" s="131"/>
      <c r="CX82" s="131"/>
      <c r="CY82" s="131"/>
      <c r="CZ82" s="131"/>
      <c r="DA82" s="131"/>
      <c r="DB82" s="131"/>
      <c r="DC82" s="131"/>
      <c r="DD82" s="131"/>
      <c r="DE82" s="131"/>
      <c r="DF82" s="131"/>
      <c r="DG82" s="131"/>
      <c r="DH82" s="131"/>
      <c r="DI82" s="131"/>
      <c r="DJ82" s="131"/>
      <c r="DK82" s="131"/>
      <c r="DL82" s="131"/>
      <c r="DM82" s="131"/>
      <c r="DN82" s="131"/>
      <c r="DO82" s="131"/>
      <c r="DP82" s="131"/>
      <c r="DQ82" s="131"/>
      <c r="DR82" s="131"/>
      <c r="DS82" s="131"/>
      <c r="DT82" s="131"/>
      <c r="DU82" s="131"/>
      <c r="DV82" s="131"/>
      <c r="DW82" s="131"/>
      <c r="DX82" s="131"/>
      <c r="DY82" s="131"/>
      <c r="DZ82" s="131"/>
      <c r="EA82" s="131"/>
      <c r="EB82" s="131"/>
      <c r="EC82" s="131"/>
      <c r="ED82" s="131"/>
      <c r="EE82" s="131"/>
      <c r="EF82" s="131"/>
      <c r="EG82" s="131"/>
      <c r="EH82" s="131"/>
      <c r="EI82" s="131"/>
      <c r="EJ82" s="131"/>
      <c r="EK82" s="131"/>
      <c r="EL82" s="131"/>
      <c r="EM82" s="131"/>
      <c r="EN82" s="131"/>
      <c r="EO82" s="131"/>
      <c r="EP82" s="131"/>
      <c r="EQ82" s="131"/>
      <c r="ER82" s="131"/>
      <c r="ES82" s="131"/>
      <c r="ET82" s="131"/>
      <c r="EU82" s="131"/>
      <c r="EV82" s="131"/>
      <c r="EW82" s="131"/>
      <c r="EX82" s="131"/>
      <c r="EY82" s="131"/>
      <c r="EZ82" s="131"/>
      <c r="FA82" s="131"/>
      <c r="FB82" s="131"/>
      <c r="FC82" s="131"/>
      <c r="FD82" s="131"/>
      <c r="FE82" s="131"/>
      <c r="FF82" s="131"/>
      <c r="FG82" s="131"/>
      <c r="FH82" s="131"/>
      <c r="FI82" s="131"/>
      <c r="FJ82" s="131"/>
      <c r="FK82" s="131"/>
      <c r="FL82" s="131"/>
      <c r="FM82" s="131"/>
      <c r="FN82" s="131"/>
      <c r="FO82" s="131"/>
      <c r="FP82" s="131"/>
      <c r="FQ82" s="131"/>
      <c r="FR82" s="131"/>
      <c r="FS82" s="131"/>
      <c r="FT82" s="131"/>
      <c r="FU82" s="131"/>
      <c r="FV82" s="131"/>
      <c r="FW82" s="131"/>
      <c r="FX82" s="131"/>
      <c r="FY82" s="131"/>
      <c r="FZ82" s="131"/>
      <c r="GA82" s="131"/>
      <c r="GB82" s="131"/>
      <c r="GC82" s="131"/>
      <c r="GD82" s="131"/>
      <c r="GE82" s="131"/>
      <c r="GF82" s="131"/>
      <c r="GG82" s="131"/>
      <c r="GH82" s="131"/>
      <c r="GI82" s="131"/>
      <c r="GJ82" s="131"/>
      <c r="GK82" s="131"/>
      <c r="GL82" s="131"/>
      <c r="GM82" s="131"/>
      <c r="GN82" s="131"/>
      <c r="GO82" s="131"/>
      <c r="GP82" s="131"/>
      <c r="GQ82" s="131"/>
      <c r="GR82" s="131"/>
      <c r="GS82" s="131"/>
      <c r="GT82" s="131"/>
      <c r="GU82" s="131"/>
      <c r="GV82" s="131"/>
      <c r="GW82" s="131"/>
      <c r="GX82" s="131"/>
      <c r="GY82" s="131"/>
      <c r="GZ82" s="131"/>
      <c r="HA82" s="131"/>
      <c r="HB82" s="131"/>
      <c r="HC82" s="131"/>
      <c r="HD82" s="131"/>
      <c r="HE82" s="131"/>
      <c r="HF82" s="131"/>
      <c r="HG82" s="131"/>
      <c r="HH82" s="131"/>
      <c r="HI82" s="131"/>
      <c r="HJ82" s="131"/>
      <c r="HK82" s="131"/>
      <c r="HL82" s="131"/>
      <c r="HM82" s="131"/>
      <c r="HN82" s="131"/>
      <c r="HO82" s="131"/>
      <c r="HP82" s="131"/>
      <c r="HQ82" s="131"/>
      <c r="HR82" s="131"/>
      <c r="HS82" s="131"/>
      <c r="HT82" s="131"/>
      <c r="HU82" s="131"/>
      <c r="HV82" s="131"/>
      <c r="HW82" s="131"/>
      <c r="HX82" s="131"/>
      <c r="HY82" s="131"/>
      <c r="HZ82" s="131"/>
      <c r="IA82" s="131"/>
      <c r="IB82" s="131"/>
      <c r="IC82" s="131"/>
      <c r="ID82" s="131"/>
      <c r="IE82" s="131"/>
      <c r="IF82" s="131"/>
      <c r="IG82" s="131"/>
      <c r="IH82" s="131"/>
      <c r="II82" s="131"/>
      <c r="IJ82" s="131"/>
      <c r="IK82" s="131"/>
      <c r="IL82" s="131"/>
      <c r="IM82" s="131"/>
      <c r="IN82" s="131"/>
      <c r="IO82" s="131"/>
      <c r="IP82" s="131"/>
      <c r="IQ82" s="131"/>
      <c r="IR82" s="131"/>
      <c r="IS82" s="131"/>
      <c r="IT82" s="131"/>
      <c r="IU82" s="131"/>
      <c r="IV82" s="131"/>
      <c r="IW82" s="131"/>
      <c r="IX82" s="131"/>
      <c r="IY82" s="131"/>
      <c r="IZ82" s="131"/>
      <c r="JA82" s="131"/>
      <c r="JB82" s="131"/>
      <c r="JC82" s="131"/>
      <c r="JD82" s="131"/>
      <c r="JE82" s="131"/>
      <c r="JF82" s="131"/>
      <c r="JG82" s="131"/>
      <c r="JH82" s="131"/>
      <c r="JI82" s="131"/>
      <c r="JJ82" s="131"/>
      <c r="JK82" s="131"/>
      <c r="JL82" s="131"/>
      <c r="JM82" s="131"/>
      <c r="JN82" s="131"/>
      <c r="JO82" s="131"/>
      <c r="JP82" s="131"/>
      <c r="JQ82" s="131"/>
      <c r="JR82" s="131"/>
      <c r="JS82" s="131"/>
      <c r="JT82" s="131"/>
      <c r="JU82" s="131"/>
      <c r="JV82" s="131"/>
      <c r="JW82" s="131"/>
      <c r="JX82" s="131"/>
      <c r="JY82" s="131"/>
      <c r="JZ82" s="131"/>
      <c r="KA82" s="131"/>
      <c r="KB82" s="131"/>
      <c r="KC82" s="131"/>
      <c r="KD82" s="131"/>
      <c r="KE82" s="131"/>
      <c r="KF82" s="131"/>
      <c r="KG82" s="131"/>
      <c r="KH82" s="131"/>
      <c r="KI82" s="131"/>
      <c r="KJ82" s="131"/>
      <c r="KK82" s="131"/>
      <c r="KL82" s="131"/>
      <c r="KM82" s="131"/>
      <c r="KN82" s="131"/>
      <c r="KO82" s="131"/>
      <c r="KP82" s="131"/>
      <c r="KQ82" s="131"/>
      <c r="KR82" s="131"/>
      <c r="KS82" s="131"/>
      <c r="KT82" s="131"/>
      <c r="KU82" s="131"/>
      <c r="KV82" s="131"/>
      <c r="KW82" s="131"/>
      <c r="KX82" s="131"/>
      <c r="KY82" s="131"/>
      <c r="KZ82" s="131"/>
      <c r="LA82" s="131"/>
      <c r="LB82" s="131"/>
      <c r="LC82" s="131"/>
      <c r="LD82" s="131"/>
      <c r="LE82" s="131"/>
      <c r="LF82" s="131"/>
      <c r="LG82" s="131"/>
      <c r="LH82" s="131"/>
      <c r="LI82" s="131"/>
      <c r="LJ82" s="131"/>
      <c r="LK82" s="131"/>
      <c r="LL82" s="131"/>
      <c r="LM82" s="131"/>
      <c r="LN82" s="131"/>
      <c r="LO82" s="131"/>
      <c r="LP82" s="131"/>
      <c r="LQ82" s="131"/>
      <c r="LR82" s="131"/>
      <c r="LS82" s="131"/>
      <c r="LT82" s="131"/>
      <c r="LU82" s="131"/>
      <c r="LV82" s="131"/>
      <c r="LW82" s="131"/>
      <c r="LX82" s="131"/>
      <c r="LY82" s="131"/>
      <c r="LZ82" s="131"/>
      <c r="MA82" s="131"/>
      <c r="MB82" s="131"/>
      <c r="MC82" s="131"/>
      <c r="MD82" s="131"/>
      <c r="ME82" s="131"/>
      <c r="MF82" s="131"/>
      <c r="MG82" s="131"/>
      <c r="MH82" s="131"/>
      <c r="MI82" s="131"/>
      <c r="MJ82" s="131"/>
      <c r="MK82" s="131"/>
      <c r="ML82" s="131"/>
      <c r="MM82" s="131"/>
      <c r="MN82" s="131"/>
      <c r="MO82" s="131"/>
      <c r="MP82" s="131"/>
      <c r="MQ82" s="131"/>
      <c r="MR82" s="131"/>
      <c r="MS82" s="131"/>
      <c r="MT82" s="131"/>
      <c r="MU82" s="131"/>
      <c r="MV82" s="131"/>
      <c r="MW82" s="131"/>
      <c r="MX82" s="131"/>
      <c r="MY82" s="131"/>
      <c r="MZ82" s="131"/>
      <c r="NA82" s="131"/>
      <c r="NB82" s="131"/>
      <c r="NC82" s="131"/>
      <c r="ND82" s="131"/>
      <c r="NE82" s="131"/>
      <c r="NF82" s="131"/>
      <c r="NG82" s="131"/>
      <c r="NH82" s="131"/>
      <c r="NI82" s="131"/>
      <c r="NJ82" s="131"/>
      <c r="NK82" s="131"/>
      <c r="NL82" s="131"/>
      <c r="NM82" s="131"/>
      <c r="NN82" s="131"/>
      <c r="NO82" s="131"/>
      <c r="NP82" s="131"/>
      <c r="NQ82" s="131"/>
      <c r="NR82" s="131"/>
      <c r="NS82" s="131"/>
      <c r="NT82" s="131"/>
      <c r="NU82" s="131"/>
      <c r="NV82" s="131"/>
      <c r="NW82" s="24">
        <f t="shared" si="11"/>
        <v>0</v>
      </c>
      <c r="NX82" s="56" t="s">
        <v>36</v>
      </c>
      <c r="NY82" s="127">
        <v>1680</v>
      </c>
      <c r="NZ82" s="78">
        <f t="shared" si="14"/>
        <v>1680</v>
      </c>
      <c r="OA82" s="78">
        <v>1035.5999999999999</v>
      </c>
      <c r="OB82" s="127">
        <f t="shared" si="12"/>
        <v>0</v>
      </c>
      <c r="OC82" s="153">
        <v>1680</v>
      </c>
      <c r="OD82" s="108">
        <f t="shared" si="13"/>
        <v>1.6222479721900349</v>
      </c>
      <c r="OE82" s="160" t="s">
        <v>544</v>
      </c>
    </row>
    <row r="83" spans="1:395" s="5" customFormat="1" ht="12.75" customHeight="1" x14ac:dyDescent="0.25">
      <c r="A83" s="62">
        <v>44546</v>
      </c>
      <c r="B83" s="116" t="s">
        <v>59</v>
      </c>
      <c r="C83" s="129"/>
      <c r="D83" s="129"/>
      <c r="E83" s="130"/>
      <c r="F83" s="130"/>
      <c r="G83" s="130"/>
      <c r="H83" s="130"/>
      <c r="I83" s="130"/>
      <c r="J83" s="130"/>
      <c r="K83" s="130"/>
      <c r="L83" s="130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31"/>
      <c r="Y83" s="131"/>
      <c r="Z83" s="131"/>
      <c r="AA83" s="131"/>
      <c r="AB83" s="131"/>
      <c r="AC83" s="131"/>
      <c r="AD83" s="131"/>
      <c r="AE83" s="131"/>
      <c r="AF83" s="131"/>
      <c r="AG83" s="131"/>
      <c r="AH83" s="131"/>
      <c r="AI83" s="131"/>
      <c r="AJ83" s="131"/>
      <c r="AK83" s="131"/>
      <c r="AL83" s="131"/>
      <c r="AM83" s="131"/>
      <c r="AN83" s="131"/>
      <c r="AO83" s="131"/>
      <c r="AP83" s="131"/>
      <c r="AQ83" s="131"/>
      <c r="AR83" s="131"/>
      <c r="AS83" s="131"/>
      <c r="AT83" s="131"/>
      <c r="AU83" s="131"/>
      <c r="AV83" s="131"/>
      <c r="AW83" s="131"/>
      <c r="AX83" s="131"/>
      <c r="AY83" s="131"/>
      <c r="AZ83" s="131"/>
      <c r="BA83" s="131"/>
      <c r="BB83" s="131"/>
      <c r="BC83" s="131"/>
      <c r="BD83" s="131"/>
      <c r="BE83" s="131"/>
      <c r="BF83" s="131"/>
      <c r="BG83" s="131"/>
      <c r="BH83" s="131"/>
      <c r="BI83" s="131"/>
      <c r="BJ83" s="131"/>
      <c r="BK83" s="131"/>
      <c r="BL83" s="131"/>
      <c r="BM83" s="131"/>
      <c r="BN83" s="131"/>
      <c r="BO83" s="131"/>
      <c r="BP83" s="131"/>
      <c r="BQ83" s="131"/>
      <c r="BR83" s="131"/>
      <c r="BS83" s="131"/>
      <c r="BT83" s="131"/>
      <c r="BU83" s="131"/>
      <c r="BV83" s="131"/>
      <c r="BW83" s="131"/>
      <c r="BX83" s="131"/>
      <c r="BY83" s="131"/>
      <c r="BZ83" s="131"/>
      <c r="CA83" s="131"/>
      <c r="CB83" s="131"/>
      <c r="CC83" s="131"/>
      <c r="CD83" s="131"/>
      <c r="CE83" s="131"/>
      <c r="CF83" s="131"/>
      <c r="CG83" s="131"/>
      <c r="CH83" s="131"/>
      <c r="CI83" s="131"/>
      <c r="CJ83" s="131"/>
      <c r="CK83" s="131"/>
      <c r="CL83" s="131"/>
      <c r="CM83" s="131"/>
      <c r="CN83" s="131"/>
      <c r="CO83" s="131"/>
      <c r="CP83" s="131"/>
      <c r="CQ83" s="131"/>
      <c r="CR83" s="131"/>
      <c r="CS83" s="131"/>
      <c r="CT83" s="131"/>
      <c r="CU83" s="131"/>
      <c r="CV83" s="131"/>
      <c r="CW83" s="131"/>
      <c r="CX83" s="131"/>
      <c r="CY83" s="131"/>
      <c r="CZ83" s="131"/>
      <c r="DA83" s="131"/>
      <c r="DB83" s="131"/>
      <c r="DC83" s="131"/>
      <c r="DD83" s="131"/>
      <c r="DE83" s="131"/>
      <c r="DF83" s="131"/>
      <c r="DG83" s="131"/>
      <c r="DH83" s="131"/>
      <c r="DI83" s="131"/>
      <c r="DJ83" s="131"/>
      <c r="DK83" s="131"/>
      <c r="DL83" s="131"/>
      <c r="DM83" s="131"/>
      <c r="DN83" s="131"/>
      <c r="DO83" s="131"/>
      <c r="DP83" s="131"/>
      <c r="DQ83" s="131"/>
      <c r="DR83" s="131"/>
      <c r="DS83" s="131"/>
      <c r="DT83" s="131"/>
      <c r="DU83" s="131"/>
      <c r="DV83" s="131"/>
      <c r="DW83" s="131"/>
      <c r="DX83" s="131"/>
      <c r="DY83" s="131"/>
      <c r="DZ83" s="131"/>
      <c r="EA83" s="131"/>
      <c r="EB83" s="131"/>
      <c r="EC83" s="131"/>
      <c r="ED83" s="131"/>
      <c r="EE83" s="131"/>
      <c r="EF83" s="131"/>
      <c r="EG83" s="131"/>
      <c r="EH83" s="131"/>
      <c r="EI83" s="131"/>
      <c r="EJ83" s="131"/>
      <c r="EK83" s="131"/>
      <c r="EL83" s="131"/>
      <c r="EM83" s="131"/>
      <c r="EN83" s="131"/>
      <c r="EO83" s="131"/>
      <c r="EP83" s="131"/>
      <c r="EQ83" s="131"/>
      <c r="ER83" s="131"/>
      <c r="ES83" s="131"/>
      <c r="ET83" s="131"/>
      <c r="EU83" s="131"/>
      <c r="EV83" s="131"/>
      <c r="EW83" s="131"/>
      <c r="EX83" s="131"/>
      <c r="EY83" s="131"/>
      <c r="EZ83" s="131"/>
      <c r="FA83" s="131"/>
      <c r="FB83" s="131"/>
      <c r="FC83" s="131"/>
      <c r="FD83" s="131"/>
      <c r="FE83" s="131"/>
      <c r="FF83" s="131"/>
      <c r="FG83" s="131"/>
      <c r="FH83" s="131"/>
      <c r="FI83" s="131"/>
      <c r="FJ83" s="131"/>
      <c r="FK83" s="131"/>
      <c r="FL83" s="131"/>
      <c r="FM83" s="131"/>
      <c r="FN83" s="131"/>
      <c r="FO83" s="131"/>
      <c r="FP83" s="131"/>
      <c r="FQ83" s="131"/>
      <c r="FR83" s="131"/>
      <c r="FS83" s="131"/>
      <c r="FT83" s="131"/>
      <c r="FU83" s="131"/>
      <c r="FV83" s="131"/>
      <c r="FW83" s="131"/>
      <c r="FX83" s="131"/>
      <c r="FY83" s="131"/>
      <c r="FZ83" s="131"/>
      <c r="GA83" s="131"/>
      <c r="GB83" s="131"/>
      <c r="GC83" s="131"/>
      <c r="GD83" s="131"/>
      <c r="GE83" s="131"/>
      <c r="GF83" s="131"/>
      <c r="GG83" s="131"/>
      <c r="GH83" s="131"/>
      <c r="GI83" s="131"/>
      <c r="GJ83" s="131"/>
      <c r="GK83" s="131"/>
      <c r="GL83" s="131"/>
      <c r="GM83" s="131"/>
      <c r="GN83" s="131"/>
      <c r="GO83" s="131"/>
      <c r="GP83" s="131"/>
      <c r="GQ83" s="131"/>
      <c r="GR83" s="131"/>
      <c r="GS83" s="131"/>
      <c r="GT83" s="131"/>
      <c r="GU83" s="131"/>
      <c r="GV83" s="131"/>
      <c r="GW83" s="131"/>
      <c r="GX83" s="131"/>
      <c r="GY83" s="131"/>
      <c r="GZ83" s="131"/>
      <c r="HA83" s="131"/>
      <c r="HB83" s="131"/>
      <c r="HC83" s="131"/>
      <c r="HD83" s="131"/>
      <c r="HE83" s="131"/>
      <c r="HF83" s="131"/>
      <c r="HG83" s="131"/>
      <c r="HH83" s="131"/>
      <c r="HI83" s="131"/>
      <c r="HJ83" s="131"/>
      <c r="HK83" s="131"/>
      <c r="HL83" s="131"/>
      <c r="HM83" s="131"/>
      <c r="HN83" s="131"/>
      <c r="HO83" s="131"/>
      <c r="HP83" s="131"/>
      <c r="HQ83" s="131"/>
      <c r="HR83" s="131"/>
      <c r="HS83" s="131"/>
      <c r="HT83" s="131"/>
      <c r="HU83" s="131"/>
      <c r="HV83" s="131"/>
      <c r="HW83" s="131"/>
      <c r="HX83" s="131"/>
      <c r="HY83" s="131"/>
      <c r="HZ83" s="131"/>
      <c r="IA83" s="131"/>
      <c r="IB83" s="131"/>
      <c r="IC83" s="131"/>
      <c r="ID83" s="131"/>
      <c r="IE83" s="131"/>
      <c r="IF83" s="131"/>
      <c r="IG83" s="131"/>
      <c r="IH83" s="131"/>
      <c r="II83" s="131"/>
      <c r="IJ83" s="131"/>
      <c r="IK83" s="131"/>
      <c r="IL83" s="131"/>
      <c r="IM83" s="131"/>
      <c r="IN83" s="131"/>
      <c r="IO83" s="131"/>
      <c r="IP83" s="131"/>
      <c r="IQ83" s="131"/>
      <c r="IR83" s="131"/>
      <c r="IS83" s="131"/>
      <c r="IT83" s="131"/>
      <c r="IU83" s="131"/>
      <c r="IV83" s="131"/>
      <c r="IW83" s="131"/>
      <c r="IX83" s="131"/>
      <c r="IY83" s="131"/>
      <c r="IZ83" s="131"/>
      <c r="JA83" s="131"/>
      <c r="JB83" s="131"/>
      <c r="JC83" s="131"/>
      <c r="JD83" s="131"/>
      <c r="JE83" s="131"/>
      <c r="JF83" s="131"/>
      <c r="JG83" s="131"/>
      <c r="JH83" s="131"/>
      <c r="JI83" s="131"/>
      <c r="JJ83" s="131"/>
      <c r="JK83" s="131"/>
      <c r="JL83" s="131"/>
      <c r="JM83" s="131"/>
      <c r="JN83" s="131"/>
      <c r="JO83" s="131"/>
      <c r="JP83" s="131"/>
      <c r="JQ83" s="131"/>
      <c r="JR83" s="131"/>
      <c r="JS83" s="131"/>
      <c r="JT83" s="131"/>
      <c r="JU83" s="131"/>
      <c r="JV83" s="131"/>
      <c r="JW83" s="131"/>
      <c r="JX83" s="131"/>
      <c r="JY83" s="131"/>
      <c r="JZ83" s="131"/>
      <c r="KA83" s="131"/>
      <c r="KB83" s="131"/>
      <c r="KC83" s="131"/>
      <c r="KD83" s="131"/>
      <c r="KE83" s="131"/>
      <c r="KF83" s="131"/>
      <c r="KG83" s="131"/>
      <c r="KH83" s="131"/>
      <c r="KI83" s="131"/>
      <c r="KJ83" s="131"/>
      <c r="KK83" s="131"/>
      <c r="KL83" s="131"/>
      <c r="KM83" s="131"/>
      <c r="KN83" s="131"/>
      <c r="KO83" s="131"/>
      <c r="KP83" s="131"/>
      <c r="KQ83" s="131"/>
      <c r="KR83" s="131"/>
      <c r="KS83" s="131"/>
      <c r="KT83" s="131"/>
      <c r="KU83" s="131"/>
      <c r="KV83" s="131"/>
      <c r="KW83" s="131"/>
      <c r="KX83" s="131"/>
      <c r="KY83" s="131"/>
      <c r="KZ83" s="131"/>
      <c r="LA83" s="131"/>
      <c r="LB83" s="131"/>
      <c r="LC83" s="131"/>
      <c r="LD83" s="131"/>
      <c r="LE83" s="131"/>
      <c r="LF83" s="131"/>
      <c r="LG83" s="131"/>
      <c r="LH83" s="131"/>
      <c r="LI83" s="131"/>
      <c r="LJ83" s="131"/>
      <c r="LK83" s="131"/>
      <c r="LL83" s="131"/>
      <c r="LM83" s="131"/>
      <c r="LN83" s="131"/>
      <c r="LO83" s="131"/>
      <c r="LP83" s="131"/>
      <c r="LQ83" s="131"/>
      <c r="LR83" s="131"/>
      <c r="LS83" s="131"/>
      <c r="LT83" s="131"/>
      <c r="LU83" s="131"/>
      <c r="LV83" s="131"/>
      <c r="LW83" s="131"/>
      <c r="LX83" s="131"/>
      <c r="LY83" s="131"/>
      <c r="LZ83" s="131"/>
      <c r="MA83" s="131"/>
      <c r="MB83" s="131"/>
      <c r="MC83" s="131"/>
      <c r="MD83" s="131"/>
      <c r="ME83" s="131"/>
      <c r="MF83" s="131"/>
      <c r="MG83" s="131"/>
      <c r="MH83" s="131"/>
      <c r="MI83" s="131"/>
      <c r="MJ83" s="131"/>
      <c r="MK83" s="131"/>
      <c r="ML83" s="131"/>
      <c r="MM83" s="131"/>
      <c r="MN83" s="131"/>
      <c r="MO83" s="131"/>
      <c r="MP83" s="131"/>
      <c r="MQ83" s="131"/>
      <c r="MR83" s="131"/>
      <c r="MS83" s="131"/>
      <c r="MT83" s="131"/>
      <c r="MU83" s="131"/>
      <c r="MV83" s="131"/>
      <c r="MW83" s="131"/>
      <c r="MX83" s="131"/>
      <c r="MY83" s="131"/>
      <c r="MZ83" s="131"/>
      <c r="NA83" s="131"/>
      <c r="NB83" s="131"/>
      <c r="NC83" s="131"/>
      <c r="ND83" s="131"/>
      <c r="NE83" s="131"/>
      <c r="NF83" s="131"/>
      <c r="NG83" s="131"/>
      <c r="NH83" s="131"/>
      <c r="NI83" s="131"/>
      <c r="NJ83" s="131"/>
      <c r="NK83" s="131"/>
      <c r="NL83" s="131"/>
      <c r="NM83" s="131"/>
      <c r="NN83" s="131"/>
      <c r="NO83" s="131"/>
      <c r="NP83" s="131"/>
      <c r="NQ83" s="131"/>
      <c r="NR83" s="131"/>
      <c r="NS83" s="131"/>
      <c r="NT83" s="131"/>
      <c r="NU83" s="131"/>
      <c r="NV83" s="131"/>
      <c r="NW83" s="24">
        <f t="shared" si="11"/>
        <v>0</v>
      </c>
      <c r="NX83" s="56" t="s">
        <v>36</v>
      </c>
      <c r="NY83" s="127">
        <v>1939.05</v>
      </c>
      <c r="NZ83" s="78">
        <f t="shared" si="14"/>
        <v>0</v>
      </c>
      <c r="OA83" s="78">
        <v>1031.72</v>
      </c>
      <c r="OB83" s="127">
        <f t="shared" si="12"/>
        <v>1939.05</v>
      </c>
      <c r="OC83" s="153"/>
      <c r="OD83" s="108">
        <f t="shared" si="13"/>
        <v>1.8794343426511069</v>
      </c>
      <c r="OE83" s="160" t="s">
        <v>544</v>
      </c>
    </row>
    <row r="84" spans="1:395" s="5" customFormat="1" ht="12.75" hidden="1" customHeight="1" x14ac:dyDescent="0.25">
      <c r="A84" s="62">
        <v>44546</v>
      </c>
      <c r="B84" s="116" t="s">
        <v>94</v>
      </c>
      <c r="C84" s="129"/>
      <c r="D84" s="129"/>
      <c r="E84" s="130"/>
      <c r="F84" s="130"/>
      <c r="G84" s="130"/>
      <c r="H84" s="130"/>
      <c r="I84" s="130"/>
      <c r="J84" s="130"/>
      <c r="K84" s="130"/>
      <c r="L84" s="130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1"/>
      <c r="AB84" s="131"/>
      <c r="AC84" s="131"/>
      <c r="AD84" s="131"/>
      <c r="AE84" s="131"/>
      <c r="AF84" s="131"/>
      <c r="AG84" s="131"/>
      <c r="AH84" s="131"/>
      <c r="AI84" s="131"/>
      <c r="AJ84" s="131"/>
      <c r="AK84" s="131"/>
      <c r="AL84" s="131"/>
      <c r="AM84" s="131"/>
      <c r="AN84" s="131"/>
      <c r="AO84" s="131"/>
      <c r="AP84" s="131"/>
      <c r="AQ84" s="131"/>
      <c r="AR84" s="131"/>
      <c r="AS84" s="131"/>
      <c r="AT84" s="131"/>
      <c r="AU84" s="131"/>
      <c r="AV84" s="131"/>
      <c r="AW84" s="131"/>
      <c r="AX84" s="131"/>
      <c r="AY84" s="131"/>
      <c r="AZ84" s="131"/>
      <c r="BA84" s="131"/>
      <c r="BB84" s="131"/>
      <c r="BC84" s="131"/>
      <c r="BD84" s="131"/>
      <c r="BE84" s="131"/>
      <c r="BF84" s="131"/>
      <c r="BG84" s="131"/>
      <c r="BH84" s="131"/>
      <c r="BI84" s="131"/>
      <c r="BJ84" s="131"/>
      <c r="BK84" s="131"/>
      <c r="BL84" s="131"/>
      <c r="BM84" s="131"/>
      <c r="BN84" s="131"/>
      <c r="BO84" s="131"/>
      <c r="BP84" s="131"/>
      <c r="BQ84" s="131"/>
      <c r="BR84" s="131"/>
      <c r="BS84" s="131"/>
      <c r="BT84" s="131"/>
      <c r="BU84" s="131"/>
      <c r="BV84" s="131"/>
      <c r="BW84" s="131"/>
      <c r="BX84" s="131"/>
      <c r="BY84" s="131"/>
      <c r="BZ84" s="131"/>
      <c r="CA84" s="131"/>
      <c r="CB84" s="131"/>
      <c r="CC84" s="131"/>
      <c r="CD84" s="131"/>
      <c r="CE84" s="131"/>
      <c r="CF84" s="131"/>
      <c r="CG84" s="131"/>
      <c r="CH84" s="131"/>
      <c r="CI84" s="131"/>
      <c r="CJ84" s="131"/>
      <c r="CK84" s="131"/>
      <c r="CL84" s="131"/>
      <c r="CM84" s="131"/>
      <c r="CN84" s="131"/>
      <c r="CO84" s="131"/>
      <c r="CP84" s="131"/>
      <c r="CQ84" s="131"/>
      <c r="CR84" s="131"/>
      <c r="CS84" s="131"/>
      <c r="CT84" s="131"/>
      <c r="CU84" s="131"/>
      <c r="CV84" s="131"/>
      <c r="CW84" s="131"/>
      <c r="CX84" s="131"/>
      <c r="CY84" s="131"/>
      <c r="CZ84" s="131"/>
      <c r="DA84" s="131"/>
      <c r="DB84" s="131"/>
      <c r="DC84" s="131"/>
      <c r="DD84" s="131"/>
      <c r="DE84" s="131"/>
      <c r="DF84" s="131"/>
      <c r="DG84" s="131"/>
      <c r="DH84" s="131"/>
      <c r="DI84" s="131"/>
      <c r="DJ84" s="131"/>
      <c r="DK84" s="131"/>
      <c r="DL84" s="131"/>
      <c r="DM84" s="131"/>
      <c r="DN84" s="131"/>
      <c r="DO84" s="131"/>
      <c r="DP84" s="131"/>
      <c r="DQ84" s="131"/>
      <c r="DR84" s="131"/>
      <c r="DS84" s="131"/>
      <c r="DT84" s="131"/>
      <c r="DU84" s="131"/>
      <c r="DV84" s="131"/>
      <c r="DW84" s="131"/>
      <c r="DX84" s="131"/>
      <c r="DY84" s="131"/>
      <c r="DZ84" s="131"/>
      <c r="EA84" s="131"/>
      <c r="EB84" s="131"/>
      <c r="EC84" s="131"/>
      <c r="ED84" s="131"/>
      <c r="EE84" s="131"/>
      <c r="EF84" s="131"/>
      <c r="EG84" s="131"/>
      <c r="EH84" s="131"/>
      <c r="EI84" s="131"/>
      <c r="EJ84" s="131"/>
      <c r="EK84" s="131"/>
      <c r="EL84" s="131"/>
      <c r="EM84" s="131"/>
      <c r="EN84" s="131"/>
      <c r="EO84" s="131"/>
      <c r="EP84" s="131"/>
      <c r="EQ84" s="131"/>
      <c r="ER84" s="131"/>
      <c r="ES84" s="131"/>
      <c r="ET84" s="131"/>
      <c r="EU84" s="131"/>
      <c r="EV84" s="131"/>
      <c r="EW84" s="131"/>
      <c r="EX84" s="131"/>
      <c r="EY84" s="131"/>
      <c r="EZ84" s="131"/>
      <c r="FA84" s="131"/>
      <c r="FB84" s="131"/>
      <c r="FC84" s="131"/>
      <c r="FD84" s="131"/>
      <c r="FE84" s="131"/>
      <c r="FF84" s="131"/>
      <c r="FG84" s="131"/>
      <c r="FH84" s="131"/>
      <c r="FI84" s="131"/>
      <c r="FJ84" s="131"/>
      <c r="FK84" s="131"/>
      <c r="FL84" s="131"/>
      <c r="FM84" s="131"/>
      <c r="FN84" s="131"/>
      <c r="FO84" s="131"/>
      <c r="FP84" s="131"/>
      <c r="FQ84" s="131"/>
      <c r="FR84" s="131"/>
      <c r="FS84" s="131"/>
      <c r="FT84" s="131"/>
      <c r="FU84" s="131"/>
      <c r="FV84" s="131"/>
      <c r="FW84" s="131"/>
      <c r="FX84" s="131"/>
      <c r="FY84" s="131"/>
      <c r="FZ84" s="131"/>
      <c r="GA84" s="131"/>
      <c r="GB84" s="131"/>
      <c r="GC84" s="131"/>
      <c r="GD84" s="131"/>
      <c r="GE84" s="131"/>
      <c r="GF84" s="131"/>
      <c r="GG84" s="131"/>
      <c r="GH84" s="131"/>
      <c r="GI84" s="131"/>
      <c r="GJ84" s="131"/>
      <c r="GK84" s="131"/>
      <c r="GL84" s="131"/>
      <c r="GM84" s="131"/>
      <c r="GN84" s="131"/>
      <c r="GO84" s="131"/>
      <c r="GP84" s="131"/>
      <c r="GQ84" s="131"/>
      <c r="GR84" s="131"/>
      <c r="GS84" s="131"/>
      <c r="GT84" s="131"/>
      <c r="GU84" s="131"/>
      <c r="GV84" s="131"/>
      <c r="GW84" s="131"/>
      <c r="GX84" s="131"/>
      <c r="GY84" s="131"/>
      <c r="GZ84" s="131"/>
      <c r="HA84" s="131"/>
      <c r="HB84" s="131"/>
      <c r="HC84" s="131"/>
      <c r="HD84" s="131"/>
      <c r="HE84" s="131"/>
      <c r="HF84" s="131"/>
      <c r="HG84" s="131"/>
      <c r="HH84" s="131"/>
      <c r="HI84" s="131"/>
      <c r="HJ84" s="131"/>
      <c r="HK84" s="131"/>
      <c r="HL84" s="131"/>
      <c r="HM84" s="131"/>
      <c r="HN84" s="131"/>
      <c r="HO84" s="131"/>
      <c r="HP84" s="131"/>
      <c r="HQ84" s="131"/>
      <c r="HR84" s="131"/>
      <c r="HS84" s="131"/>
      <c r="HT84" s="131"/>
      <c r="HU84" s="131"/>
      <c r="HV84" s="131"/>
      <c r="HW84" s="131"/>
      <c r="HX84" s="131"/>
      <c r="HY84" s="131"/>
      <c r="HZ84" s="131"/>
      <c r="IA84" s="131"/>
      <c r="IB84" s="131"/>
      <c r="IC84" s="131"/>
      <c r="ID84" s="131"/>
      <c r="IE84" s="131"/>
      <c r="IF84" s="131"/>
      <c r="IG84" s="131"/>
      <c r="IH84" s="131"/>
      <c r="II84" s="131"/>
      <c r="IJ84" s="131"/>
      <c r="IK84" s="131"/>
      <c r="IL84" s="131"/>
      <c r="IM84" s="131"/>
      <c r="IN84" s="131"/>
      <c r="IO84" s="131"/>
      <c r="IP84" s="131"/>
      <c r="IQ84" s="131"/>
      <c r="IR84" s="131"/>
      <c r="IS84" s="131"/>
      <c r="IT84" s="131"/>
      <c r="IU84" s="131"/>
      <c r="IV84" s="131"/>
      <c r="IW84" s="131"/>
      <c r="IX84" s="131"/>
      <c r="IY84" s="131"/>
      <c r="IZ84" s="131"/>
      <c r="JA84" s="131"/>
      <c r="JB84" s="131"/>
      <c r="JC84" s="131"/>
      <c r="JD84" s="131"/>
      <c r="JE84" s="131"/>
      <c r="JF84" s="131"/>
      <c r="JG84" s="131"/>
      <c r="JH84" s="131"/>
      <c r="JI84" s="131"/>
      <c r="JJ84" s="131"/>
      <c r="JK84" s="131"/>
      <c r="JL84" s="131"/>
      <c r="JM84" s="131"/>
      <c r="JN84" s="131"/>
      <c r="JO84" s="131"/>
      <c r="JP84" s="131"/>
      <c r="JQ84" s="131"/>
      <c r="JR84" s="131"/>
      <c r="JS84" s="131"/>
      <c r="JT84" s="131"/>
      <c r="JU84" s="131"/>
      <c r="JV84" s="131"/>
      <c r="JW84" s="131"/>
      <c r="JX84" s="131"/>
      <c r="JY84" s="131"/>
      <c r="JZ84" s="131"/>
      <c r="KA84" s="131"/>
      <c r="KB84" s="131"/>
      <c r="KC84" s="131"/>
      <c r="KD84" s="131"/>
      <c r="KE84" s="131"/>
      <c r="KF84" s="131"/>
      <c r="KG84" s="131"/>
      <c r="KH84" s="131"/>
      <c r="KI84" s="131"/>
      <c r="KJ84" s="131"/>
      <c r="KK84" s="131"/>
      <c r="KL84" s="131"/>
      <c r="KM84" s="131"/>
      <c r="KN84" s="131"/>
      <c r="KO84" s="131"/>
      <c r="KP84" s="131"/>
      <c r="KQ84" s="131"/>
      <c r="KR84" s="131"/>
      <c r="KS84" s="131"/>
      <c r="KT84" s="131"/>
      <c r="KU84" s="131"/>
      <c r="KV84" s="131"/>
      <c r="KW84" s="131"/>
      <c r="KX84" s="131"/>
      <c r="KY84" s="131"/>
      <c r="KZ84" s="131"/>
      <c r="LA84" s="131"/>
      <c r="LB84" s="131"/>
      <c r="LC84" s="131"/>
      <c r="LD84" s="131"/>
      <c r="LE84" s="131"/>
      <c r="LF84" s="131"/>
      <c r="LG84" s="131"/>
      <c r="LH84" s="131"/>
      <c r="LI84" s="131"/>
      <c r="LJ84" s="131"/>
      <c r="LK84" s="131"/>
      <c r="LL84" s="131"/>
      <c r="LM84" s="131"/>
      <c r="LN84" s="131"/>
      <c r="LO84" s="131"/>
      <c r="LP84" s="131"/>
      <c r="LQ84" s="131"/>
      <c r="LR84" s="131"/>
      <c r="LS84" s="131"/>
      <c r="LT84" s="131"/>
      <c r="LU84" s="131"/>
      <c r="LV84" s="131"/>
      <c r="LW84" s="131"/>
      <c r="LX84" s="131"/>
      <c r="LY84" s="131"/>
      <c r="LZ84" s="131"/>
      <c r="MA84" s="131"/>
      <c r="MB84" s="131"/>
      <c r="MC84" s="131"/>
      <c r="MD84" s="131"/>
      <c r="ME84" s="131"/>
      <c r="MF84" s="131"/>
      <c r="MG84" s="131"/>
      <c r="MH84" s="131"/>
      <c r="MI84" s="131"/>
      <c r="MJ84" s="131"/>
      <c r="MK84" s="131"/>
      <c r="ML84" s="131"/>
      <c r="MM84" s="131"/>
      <c r="MN84" s="131"/>
      <c r="MO84" s="131"/>
      <c r="MP84" s="131"/>
      <c r="MQ84" s="131"/>
      <c r="MR84" s="131"/>
      <c r="MS84" s="131"/>
      <c r="MT84" s="131"/>
      <c r="MU84" s="131"/>
      <c r="MV84" s="131"/>
      <c r="MW84" s="131"/>
      <c r="MX84" s="131"/>
      <c r="MY84" s="131"/>
      <c r="MZ84" s="131"/>
      <c r="NA84" s="131"/>
      <c r="NB84" s="131"/>
      <c r="NC84" s="131"/>
      <c r="ND84" s="131"/>
      <c r="NE84" s="131"/>
      <c r="NF84" s="131"/>
      <c r="NG84" s="131"/>
      <c r="NH84" s="131"/>
      <c r="NI84" s="131"/>
      <c r="NJ84" s="131"/>
      <c r="NK84" s="131"/>
      <c r="NL84" s="131"/>
      <c r="NM84" s="131"/>
      <c r="NN84" s="131"/>
      <c r="NO84" s="131"/>
      <c r="NP84" s="131"/>
      <c r="NQ84" s="131"/>
      <c r="NR84" s="131"/>
      <c r="NS84" s="131"/>
      <c r="NT84" s="131"/>
      <c r="NU84" s="131"/>
      <c r="NV84" s="131"/>
      <c r="NW84" s="24">
        <f t="shared" si="11"/>
        <v>0</v>
      </c>
      <c r="NX84" s="56" t="s">
        <v>36</v>
      </c>
      <c r="NY84" s="127">
        <v>5140.6099999999997</v>
      </c>
      <c r="NZ84" s="78">
        <f t="shared" si="14"/>
        <v>5140.6099999999997</v>
      </c>
      <c r="OA84" s="78">
        <v>3060.77</v>
      </c>
      <c r="OB84" s="127">
        <f t="shared" si="12"/>
        <v>0</v>
      </c>
      <c r="OC84" s="153">
        <v>5140.6099999999997</v>
      </c>
      <c r="OD84" s="108">
        <f t="shared" si="13"/>
        <v>1.6795152853693678</v>
      </c>
      <c r="OE84" s="160" t="s">
        <v>544</v>
      </c>
    </row>
    <row r="85" spans="1:395" s="5" customFormat="1" ht="12.75" hidden="1" customHeight="1" x14ac:dyDescent="0.25">
      <c r="A85" s="62">
        <v>44546</v>
      </c>
      <c r="B85" s="116" t="s">
        <v>370</v>
      </c>
      <c r="C85" s="129"/>
      <c r="D85" s="129"/>
      <c r="E85" s="130"/>
      <c r="F85" s="130"/>
      <c r="G85" s="130"/>
      <c r="H85" s="130"/>
      <c r="I85" s="130"/>
      <c r="J85" s="130"/>
      <c r="K85" s="130"/>
      <c r="L85" s="130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31"/>
      <c r="Y85" s="131"/>
      <c r="Z85" s="131"/>
      <c r="AA85" s="131"/>
      <c r="AB85" s="131"/>
      <c r="AC85" s="131"/>
      <c r="AD85" s="131"/>
      <c r="AE85" s="131"/>
      <c r="AF85" s="131"/>
      <c r="AG85" s="131"/>
      <c r="AH85" s="131"/>
      <c r="AI85" s="131"/>
      <c r="AJ85" s="131"/>
      <c r="AK85" s="131"/>
      <c r="AL85" s="131"/>
      <c r="AM85" s="131"/>
      <c r="AN85" s="131"/>
      <c r="AO85" s="131"/>
      <c r="AP85" s="131"/>
      <c r="AQ85" s="131"/>
      <c r="AR85" s="131"/>
      <c r="AS85" s="131"/>
      <c r="AT85" s="131"/>
      <c r="AU85" s="131"/>
      <c r="AV85" s="131"/>
      <c r="AW85" s="131"/>
      <c r="AX85" s="131"/>
      <c r="AY85" s="131"/>
      <c r="AZ85" s="131"/>
      <c r="BA85" s="131"/>
      <c r="BB85" s="131"/>
      <c r="BC85" s="131"/>
      <c r="BD85" s="131"/>
      <c r="BE85" s="131"/>
      <c r="BF85" s="131"/>
      <c r="BG85" s="131"/>
      <c r="BH85" s="131"/>
      <c r="BI85" s="131"/>
      <c r="BJ85" s="131"/>
      <c r="BK85" s="131"/>
      <c r="BL85" s="131"/>
      <c r="BM85" s="131"/>
      <c r="BN85" s="131"/>
      <c r="BO85" s="131"/>
      <c r="BP85" s="131"/>
      <c r="BQ85" s="131"/>
      <c r="BR85" s="131"/>
      <c r="BS85" s="131"/>
      <c r="BT85" s="131"/>
      <c r="BU85" s="131"/>
      <c r="BV85" s="131"/>
      <c r="BW85" s="131"/>
      <c r="BX85" s="131"/>
      <c r="BY85" s="131"/>
      <c r="BZ85" s="131"/>
      <c r="CA85" s="131"/>
      <c r="CB85" s="131"/>
      <c r="CC85" s="131"/>
      <c r="CD85" s="131"/>
      <c r="CE85" s="131"/>
      <c r="CF85" s="131"/>
      <c r="CG85" s="131"/>
      <c r="CH85" s="131"/>
      <c r="CI85" s="131"/>
      <c r="CJ85" s="131"/>
      <c r="CK85" s="131"/>
      <c r="CL85" s="131"/>
      <c r="CM85" s="131"/>
      <c r="CN85" s="131"/>
      <c r="CO85" s="131"/>
      <c r="CP85" s="131"/>
      <c r="CQ85" s="131"/>
      <c r="CR85" s="131"/>
      <c r="CS85" s="131"/>
      <c r="CT85" s="131"/>
      <c r="CU85" s="131"/>
      <c r="CV85" s="131"/>
      <c r="CW85" s="131"/>
      <c r="CX85" s="131"/>
      <c r="CY85" s="131"/>
      <c r="CZ85" s="131"/>
      <c r="DA85" s="131"/>
      <c r="DB85" s="131"/>
      <c r="DC85" s="131"/>
      <c r="DD85" s="131"/>
      <c r="DE85" s="131"/>
      <c r="DF85" s="131"/>
      <c r="DG85" s="131"/>
      <c r="DH85" s="131"/>
      <c r="DI85" s="131"/>
      <c r="DJ85" s="131"/>
      <c r="DK85" s="131"/>
      <c r="DL85" s="131"/>
      <c r="DM85" s="131"/>
      <c r="DN85" s="131"/>
      <c r="DO85" s="131"/>
      <c r="DP85" s="131"/>
      <c r="DQ85" s="131"/>
      <c r="DR85" s="131"/>
      <c r="DS85" s="131"/>
      <c r="DT85" s="131"/>
      <c r="DU85" s="131"/>
      <c r="DV85" s="131"/>
      <c r="DW85" s="131"/>
      <c r="DX85" s="131"/>
      <c r="DY85" s="131"/>
      <c r="DZ85" s="131"/>
      <c r="EA85" s="131"/>
      <c r="EB85" s="131"/>
      <c r="EC85" s="131"/>
      <c r="ED85" s="131"/>
      <c r="EE85" s="131"/>
      <c r="EF85" s="131"/>
      <c r="EG85" s="131"/>
      <c r="EH85" s="131"/>
      <c r="EI85" s="131"/>
      <c r="EJ85" s="131"/>
      <c r="EK85" s="131"/>
      <c r="EL85" s="131"/>
      <c r="EM85" s="131"/>
      <c r="EN85" s="131"/>
      <c r="EO85" s="131"/>
      <c r="EP85" s="131"/>
      <c r="EQ85" s="131"/>
      <c r="ER85" s="131"/>
      <c r="ES85" s="131"/>
      <c r="ET85" s="131"/>
      <c r="EU85" s="131"/>
      <c r="EV85" s="131"/>
      <c r="EW85" s="131"/>
      <c r="EX85" s="131"/>
      <c r="EY85" s="131"/>
      <c r="EZ85" s="131"/>
      <c r="FA85" s="131"/>
      <c r="FB85" s="131"/>
      <c r="FC85" s="131"/>
      <c r="FD85" s="131"/>
      <c r="FE85" s="131"/>
      <c r="FF85" s="131"/>
      <c r="FG85" s="131"/>
      <c r="FH85" s="131"/>
      <c r="FI85" s="131"/>
      <c r="FJ85" s="131"/>
      <c r="FK85" s="131"/>
      <c r="FL85" s="131"/>
      <c r="FM85" s="131"/>
      <c r="FN85" s="131"/>
      <c r="FO85" s="131"/>
      <c r="FP85" s="131"/>
      <c r="FQ85" s="131"/>
      <c r="FR85" s="131"/>
      <c r="FS85" s="131"/>
      <c r="FT85" s="131"/>
      <c r="FU85" s="131"/>
      <c r="FV85" s="131"/>
      <c r="FW85" s="131"/>
      <c r="FX85" s="131"/>
      <c r="FY85" s="131"/>
      <c r="FZ85" s="131"/>
      <c r="GA85" s="131"/>
      <c r="GB85" s="131"/>
      <c r="GC85" s="131"/>
      <c r="GD85" s="131"/>
      <c r="GE85" s="131"/>
      <c r="GF85" s="131"/>
      <c r="GG85" s="131"/>
      <c r="GH85" s="131"/>
      <c r="GI85" s="131"/>
      <c r="GJ85" s="131"/>
      <c r="GK85" s="131"/>
      <c r="GL85" s="131"/>
      <c r="GM85" s="131"/>
      <c r="GN85" s="131"/>
      <c r="GO85" s="131"/>
      <c r="GP85" s="131"/>
      <c r="GQ85" s="131"/>
      <c r="GR85" s="131"/>
      <c r="GS85" s="131"/>
      <c r="GT85" s="131"/>
      <c r="GU85" s="131"/>
      <c r="GV85" s="131"/>
      <c r="GW85" s="131"/>
      <c r="GX85" s="131"/>
      <c r="GY85" s="131"/>
      <c r="GZ85" s="131"/>
      <c r="HA85" s="131"/>
      <c r="HB85" s="131"/>
      <c r="HC85" s="131"/>
      <c r="HD85" s="131"/>
      <c r="HE85" s="131"/>
      <c r="HF85" s="131"/>
      <c r="HG85" s="131"/>
      <c r="HH85" s="131"/>
      <c r="HI85" s="131"/>
      <c r="HJ85" s="131"/>
      <c r="HK85" s="131"/>
      <c r="HL85" s="131"/>
      <c r="HM85" s="131"/>
      <c r="HN85" s="131"/>
      <c r="HO85" s="131"/>
      <c r="HP85" s="131"/>
      <c r="HQ85" s="131"/>
      <c r="HR85" s="131"/>
      <c r="HS85" s="131"/>
      <c r="HT85" s="131"/>
      <c r="HU85" s="131"/>
      <c r="HV85" s="131"/>
      <c r="HW85" s="131"/>
      <c r="HX85" s="131"/>
      <c r="HY85" s="131"/>
      <c r="HZ85" s="131"/>
      <c r="IA85" s="131"/>
      <c r="IB85" s="131"/>
      <c r="IC85" s="131"/>
      <c r="ID85" s="131"/>
      <c r="IE85" s="131"/>
      <c r="IF85" s="131"/>
      <c r="IG85" s="131"/>
      <c r="IH85" s="131"/>
      <c r="II85" s="131"/>
      <c r="IJ85" s="131"/>
      <c r="IK85" s="131"/>
      <c r="IL85" s="131"/>
      <c r="IM85" s="131"/>
      <c r="IN85" s="131"/>
      <c r="IO85" s="131"/>
      <c r="IP85" s="131"/>
      <c r="IQ85" s="131"/>
      <c r="IR85" s="131"/>
      <c r="IS85" s="131"/>
      <c r="IT85" s="131"/>
      <c r="IU85" s="131"/>
      <c r="IV85" s="131"/>
      <c r="IW85" s="131"/>
      <c r="IX85" s="131"/>
      <c r="IY85" s="131"/>
      <c r="IZ85" s="131"/>
      <c r="JA85" s="131"/>
      <c r="JB85" s="131"/>
      <c r="JC85" s="131"/>
      <c r="JD85" s="131"/>
      <c r="JE85" s="131"/>
      <c r="JF85" s="131"/>
      <c r="JG85" s="131"/>
      <c r="JH85" s="131"/>
      <c r="JI85" s="131"/>
      <c r="JJ85" s="131"/>
      <c r="JK85" s="131"/>
      <c r="JL85" s="131"/>
      <c r="JM85" s="131"/>
      <c r="JN85" s="131"/>
      <c r="JO85" s="131"/>
      <c r="JP85" s="131"/>
      <c r="JQ85" s="131"/>
      <c r="JR85" s="131"/>
      <c r="JS85" s="131"/>
      <c r="JT85" s="131"/>
      <c r="JU85" s="131"/>
      <c r="JV85" s="131"/>
      <c r="JW85" s="131"/>
      <c r="JX85" s="131"/>
      <c r="JY85" s="131"/>
      <c r="JZ85" s="131"/>
      <c r="KA85" s="131"/>
      <c r="KB85" s="131"/>
      <c r="KC85" s="131"/>
      <c r="KD85" s="131"/>
      <c r="KE85" s="131"/>
      <c r="KF85" s="131"/>
      <c r="KG85" s="131"/>
      <c r="KH85" s="131"/>
      <c r="KI85" s="131"/>
      <c r="KJ85" s="131"/>
      <c r="KK85" s="131"/>
      <c r="KL85" s="131"/>
      <c r="KM85" s="131"/>
      <c r="KN85" s="131"/>
      <c r="KO85" s="131"/>
      <c r="KP85" s="131"/>
      <c r="KQ85" s="131"/>
      <c r="KR85" s="131"/>
      <c r="KS85" s="131"/>
      <c r="KT85" s="131"/>
      <c r="KU85" s="131"/>
      <c r="KV85" s="131"/>
      <c r="KW85" s="131"/>
      <c r="KX85" s="131"/>
      <c r="KY85" s="131"/>
      <c r="KZ85" s="131"/>
      <c r="LA85" s="131"/>
      <c r="LB85" s="131"/>
      <c r="LC85" s="131"/>
      <c r="LD85" s="131"/>
      <c r="LE85" s="131"/>
      <c r="LF85" s="131"/>
      <c r="LG85" s="131"/>
      <c r="LH85" s="131"/>
      <c r="LI85" s="131"/>
      <c r="LJ85" s="131"/>
      <c r="LK85" s="131"/>
      <c r="LL85" s="131"/>
      <c r="LM85" s="131"/>
      <c r="LN85" s="131"/>
      <c r="LO85" s="131"/>
      <c r="LP85" s="131"/>
      <c r="LQ85" s="131"/>
      <c r="LR85" s="131"/>
      <c r="LS85" s="131"/>
      <c r="LT85" s="131"/>
      <c r="LU85" s="131"/>
      <c r="LV85" s="131"/>
      <c r="LW85" s="131"/>
      <c r="LX85" s="131"/>
      <c r="LY85" s="131"/>
      <c r="LZ85" s="131"/>
      <c r="MA85" s="131"/>
      <c r="MB85" s="131"/>
      <c r="MC85" s="131"/>
      <c r="MD85" s="131"/>
      <c r="ME85" s="131"/>
      <c r="MF85" s="131"/>
      <c r="MG85" s="131"/>
      <c r="MH85" s="131"/>
      <c r="MI85" s="131"/>
      <c r="MJ85" s="131"/>
      <c r="MK85" s="131"/>
      <c r="ML85" s="131"/>
      <c r="MM85" s="131"/>
      <c r="MN85" s="131"/>
      <c r="MO85" s="131"/>
      <c r="MP85" s="131"/>
      <c r="MQ85" s="131"/>
      <c r="MR85" s="131"/>
      <c r="MS85" s="131"/>
      <c r="MT85" s="131"/>
      <c r="MU85" s="131"/>
      <c r="MV85" s="131"/>
      <c r="MW85" s="131"/>
      <c r="MX85" s="131"/>
      <c r="MY85" s="131"/>
      <c r="MZ85" s="131"/>
      <c r="NA85" s="131"/>
      <c r="NB85" s="131"/>
      <c r="NC85" s="131"/>
      <c r="ND85" s="131"/>
      <c r="NE85" s="131"/>
      <c r="NF85" s="131"/>
      <c r="NG85" s="131"/>
      <c r="NH85" s="131"/>
      <c r="NI85" s="131"/>
      <c r="NJ85" s="131"/>
      <c r="NK85" s="131"/>
      <c r="NL85" s="131"/>
      <c r="NM85" s="131"/>
      <c r="NN85" s="131"/>
      <c r="NO85" s="131"/>
      <c r="NP85" s="131"/>
      <c r="NQ85" s="131"/>
      <c r="NR85" s="131"/>
      <c r="NS85" s="131"/>
      <c r="NT85" s="131"/>
      <c r="NU85" s="131"/>
      <c r="NV85" s="131"/>
      <c r="NW85" s="24">
        <f t="shared" si="11"/>
        <v>0</v>
      </c>
      <c r="NX85" s="56" t="s">
        <v>36</v>
      </c>
      <c r="NY85" s="127">
        <v>1233.5999999999999</v>
      </c>
      <c r="NZ85" s="78">
        <f t="shared" si="14"/>
        <v>1233.5999999999999</v>
      </c>
      <c r="OA85" s="78">
        <v>840.19999999999993</v>
      </c>
      <c r="OB85" s="127">
        <f t="shared" si="12"/>
        <v>0</v>
      </c>
      <c r="OC85" s="153">
        <v>1233.5999999999999</v>
      </c>
      <c r="OD85" s="108">
        <f t="shared" si="13"/>
        <v>1.4682218519400143</v>
      </c>
      <c r="OE85" s="160" t="s">
        <v>544</v>
      </c>
    </row>
    <row r="86" spans="1:395" s="5" customFormat="1" ht="12.75" customHeight="1" x14ac:dyDescent="0.25">
      <c r="A86" s="62">
        <v>44546</v>
      </c>
      <c r="B86" s="106" t="s">
        <v>45</v>
      </c>
      <c r="C86" s="129"/>
      <c r="D86" s="129"/>
      <c r="E86" s="130"/>
      <c r="F86" s="130"/>
      <c r="G86" s="130"/>
      <c r="H86" s="130"/>
      <c r="I86" s="130"/>
      <c r="J86" s="130"/>
      <c r="K86" s="130"/>
      <c r="L86" s="130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  <c r="AA86" s="131"/>
      <c r="AB86" s="131"/>
      <c r="AC86" s="131"/>
      <c r="AD86" s="131"/>
      <c r="AE86" s="131"/>
      <c r="AF86" s="131"/>
      <c r="AG86" s="131"/>
      <c r="AH86" s="131"/>
      <c r="AI86" s="131"/>
      <c r="AJ86" s="131"/>
      <c r="AK86" s="131"/>
      <c r="AL86" s="131"/>
      <c r="AM86" s="131"/>
      <c r="AN86" s="131"/>
      <c r="AO86" s="131"/>
      <c r="AP86" s="131"/>
      <c r="AQ86" s="131"/>
      <c r="AR86" s="131"/>
      <c r="AS86" s="131"/>
      <c r="AT86" s="131"/>
      <c r="AU86" s="131"/>
      <c r="AV86" s="131"/>
      <c r="AW86" s="131"/>
      <c r="AX86" s="131"/>
      <c r="AY86" s="131"/>
      <c r="AZ86" s="131"/>
      <c r="BA86" s="131"/>
      <c r="BB86" s="131"/>
      <c r="BC86" s="131"/>
      <c r="BD86" s="131"/>
      <c r="BE86" s="131"/>
      <c r="BF86" s="131"/>
      <c r="BG86" s="131"/>
      <c r="BH86" s="131"/>
      <c r="BI86" s="131"/>
      <c r="BJ86" s="131"/>
      <c r="BK86" s="131"/>
      <c r="BL86" s="131"/>
      <c r="BM86" s="131"/>
      <c r="BN86" s="131"/>
      <c r="BO86" s="131"/>
      <c r="BP86" s="131"/>
      <c r="BQ86" s="131"/>
      <c r="BR86" s="131"/>
      <c r="BS86" s="131"/>
      <c r="BT86" s="131"/>
      <c r="BU86" s="131"/>
      <c r="BV86" s="131"/>
      <c r="BW86" s="131"/>
      <c r="BX86" s="131"/>
      <c r="BY86" s="131"/>
      <c r="BZ86" s="131"/>
      <c r="CA86" s="131"/>
      <c r="CB86" s="131"/>
      <c r="CC86" s="131"/>
      <c r="CD86" s="131"/>
      <c r="CE86" s="131"/>
      <c r="CF86" s="131"/>
      <c r="CG86" s="131"/>
      <c r="CH86" s="131"/>
      <c r="CI86" s="131"/>
      <c r="CJ86" s="131"/>
      <c r="CK86" s="131"/>
      <c r="CL86" s="131"/>
      <c r="CM86" s="131"/>
      <c r="CN86" s="131"/>
      <c r="CO86" s="131"/>
      <c r="CP86" s="131"/>
      <c r="CQ86" s="131"/>
      <c r="CR86" s="131"/>
      <c r="CS86" s="131"/>
      <c r="CT86" s="131"/>
      <c r="CU86" s="131"/>
      <c r="CV86" s="131"/>
      <c r="CW86" s="131"/>
      <c r="CX86" s="131"/>
      <c r="CY86" s="131"/>
      <c r="CZ86" s="131"/>
      <c r="DA86" s="131"/>
      <c r="DB86" s="131"/>
      <c r="DC86" s="131"/>
      <c r="DD86" s="131"/>
      <c r="DE86" s="131"/>
      <c r="DF86" s="131"/>
      <c r="DG86" s="131"/>
      <c r="DH86" s="131"/>
      <c r="DI86" s="131"/>
      <c r="DJ86" s="131"/>
      <c r="DK86" s="131"/>
      <c r="DL86" s="131"/>
      <c r="DM86" s="131"/>
      <c r="DN86" s="131"/>
      <c r="DO86" s="131"/>
      <c r="DP86" s="131"/>
      <c r="DQ86" s="131"/>
      <c r="DR86" s="131"/>
      <c r="DS86" s="131"/>
      <c r="DT86" s="131"/>
      <c r="DU86" s="131"/>
      <c r="DV86" s="131"/>
      <c r="DW86" s="131"/>
      <c r="DX86" s="131"/>
      <c r="DY86" s="131"/>
      <c r="DZ86" s="131"/>
      <c r="EA86" s="131"/>
      <c r="EB86" s="131"/>
      <c r="EC86" s="131"/>
      <c r="ED86" s="131"/>
      <c r="EE86" s="131"/>
      <c r="EF86" s="131"/>
      <c r="EG86" s="131"/>
      <c r="EH86" s="131"/>
      <c r="EI86" s="131"/>
      <c r="EJ86" s="131"/>
      <c r="EK86" s="131"/>
      <c r="EL86" s="131"/>
      <c r="EM86" s="131"/>
      <c r="EN86" s="131"/>
      <c r="EO86" s="131"/>
      <c r="EP86" s="131"/>
      <c r="EQ86" s="131"/>
      <c r="ER86" s="131"/>
      <c r="ES86" s="131"/>
      <c r="ET86" s="131"/>
      <c r="EU86" s="131"/>
      <c r="EV86" s="131"/>
      <c r="EW86" s="131"/>
      <c r="EX86" s="131"/>
      <c r="EY86" s="131"/>
      <c r="EZ86" s="131"/>
      <c r="FA86" s="131"/>
      <c r="FB86" s="131"/>
      <c r="FC86" s="131"/>
      <c r="FD86" s="131"/>
      <c r="FE86" s="131"/>
      <c r="FF86" s="131"/>
      <c r="FG86" s="131"/>
      <c r="FH86" s="131"/>
      <c r="FI86" s="131"/>
      <c r="FJ86" s="131"/>
      <c r="FK86" s="131"/>
      <c r="FL86" s="131"/>
      <c r="FM86" s="131"/>
      <c r="FN86" s="131"/>
      <c r="FO86" s="131"/>
      <c r="FP86" s="131"/>
      <c r="FQ86" s="131"/>
      <c r="FR86" s="131"/>
      <c r="FS86" s="131"/>
      <c r="FT86" s="131"/>
      <c r="FU86" s="131"/>
      <c r="FV86" s="131"/>
      <c r="FW86" s="131"/>
      <c r="FX86" s="131"/>
      <c r="FY86" s="131"/>
      <c r="FZ86" s="131"/>
      <c r="GA86" s="131"/>
      <c r="GB86" s="131"/>
      <c r="GC86" s="131"/>
      <c r="GD86" s="131"/>
      <c r="GE86" s="131"/>
      <c r="GF86" s="131"/>
      <c r="GG86" s="131"/>
      <c r="GH86" s="131"/>
      <c r="GI86" s="131"/>
      <c r="GJ86" s="131"/>
      <c r="GK86" s="131"/>
      <c r="GL86" s="131"/>
      <c r="GM86" s="131"/>
      <c r="GN86" s="131"/>
      <c r="GO86" s="131"/>
      <c r="GP86" s="131"/>
      <c r="GQ86" s="131"/>
      <c r="GR86" s="131"/>
      <c r="GS86" s="131"/>
      <c r="GT86" s="131"/>
      <c r="GU86" s="131"/>
      <c r="GV86" s="131"/>
      <c r="GW86" s="131"/>
      <c r="GX86" s="131"/>
      <c r="GY86" s="131"/>
      <c r="GZ86" s="131"/>
      <c r="HA86" s="131"/>
      <c r="HB86" s="131"/>
      <c r="HC86" s="131"/>
      <c r="HD86" s="131"/>
      <c r="HE86" s="131"/>
      <c r="HF86" s="131"/>
      <c r="HG86" s="131"/>
      <c r="HH86" s="131"/>
      <c r="HI86" s="131"/>
      <c r="HJ86" s="131"/>
      <c r="HK86" s="131"/>
      <c r="HL86" s="131"/>
      <c r="HM86" s="131"/>
      <c r="HN86" s="131"/>
      <c r="HO86" s="131"/>
      <c r="HP86" s="131"/>
      <c r="HQ86" s="131"/>
      <c r="HR86" s="131"/>
      <c r="HS86" s="131"/>
      <c r="HT86" s="131"/>
      <c r="HU86" s="131"/>
      <c r="HV86" s="131"/>
      <c r="HW86" s="131"/>
      <c r="HX86" s="131"/>
      <c r="HY86" s="131"/>
      <c r="HZ86" s="131"/>
      <c r="IA86" s="131"/>
      <c r="IB86" s="131"/>
      <c r="IC86" s="131"/>
      <c r="ID86" s="131"/>
      <c r="IE86" s="131"/>
      <c r="IF86" s="131"/>
      <c r="IG86" s="131"/>
      <c r="IH86" s="131"/>
      <c r="II86" s="131"/>
      <c r="IJ86" s="131"/>
      <c r="IK86" s="131"/>
      <c r="IL86" s="131"/>
      <c r="IM86" s="131"/>
      <c r="IN86" s="131"/>
      <c r="IO86" s="131"/>
      <c r="IP86" s="131"/>
      <c r="IQ86" s="131"/>
      <c r="IR86" s="131"/>
      <c r="IS86" s="131"/>
      <c r="IT86" s="131"/>
      <c r="IU86" s="131"/>
      <c r="IV86" s="131"/>
      <c r="IW86" s="131"/>
      <c r="IX86" s="131"/>
      <c r="IY86" s="131"/>
      <c r="IZ86" s="131"/>
      <c r="JA86" s="131"/>
      <c r="JB86" s="131"/>
      <c r="JC86" s="131"/>
      <c r="JD86" s="131"/>
      <c r="JE86" s="131"/>
      <c r="JF86" s="131"/>
      <c r="JG86" s="131"/>
      <c r="JH86" s="131"/>
      <c r="JI86" s="131"/>
      <c r="JJ86" s="131"/>
      <c r="JK86" s="131"/>
      <c r="JL86" s="131"/>
      <c r="JM86" s="131"/>
      <c r="JN86" s="131"/>
      <c r="JO86" s="131"/>
      <c r="JP86" s="131"/>
      <c r="JQ86" s="131"/>
      <c r="JR86" s="131"/>
      <c r="JS86" s="131"/>
      <c r="JT86" s="131"/>
      <c r="JU86" s="131"/>
      <c r="JV86" s="131"/>
      <c r="JW86" s="131"/>
      <c r="JX86" s="131"/>
      <c r="JY86" s="131"/>
      <c r="JZ86" s="131"/>
      <c r="KA86" s="131"/>
      <c r="KB86" s="131"/>
      <c r="KC86" s="131"/>
      <c r="KD86" s="131"/>
      <c r="KE86" s="131"/>
      <c r="KF86" s="131"/>
      <c r="KG86" s="131"/>
      <c r="KH86" s="131"/>
      <c r="KI86" s="131"/>
      <c r="KJ86" s="131"/>
      <c r="KK86" s="131"/>
      <c r="KL86" s="131"/>
      <c r="KM86" s="131"/>
      <c r="KN86" s="131"/>
      <c r="KO86" s="131"/>
      <c r="KP86" s="131"/>
      <c r="KQ86" s="131"/>
      <c r="KR86" s="131"/>
      <c r="KS86" s="131"/>
      <c r="KT86" s="131"/>
      <c r="KU86" s="131"/>
      <c r="KV86" s="131"/>
      <c r="KW86" s="131"/>
      <c r="KX86" s="131"/>
      <c r="KY86" s="131"/>
      <c r="KZ86" s="131"/>
      <c r="LA86" s="131"/>
      <c r="LB86" s="131"/>
      <c r="LC86" s="131"/>
      <c r="LD86" s="131"/>
      <c r="LE86" s="131"/>
      <c r="LF86" s="131"/>
      <c r="LG86" s="131"/>
      <c r="LH86" s="131"/>
      <c r="LI86" s="131"/>
      <c r="LJ86" s="131"/>
      <c r="LK86" s="131"/>
      <c r="LL86" s="131"/>
      <c r="LM86" s="131"/>
      <c r="LN86" s="131"/>
      <c r="LO86" s="131"/>
      <c r="LP86" s="131"/>
      <c r="LQ86" s="131"/>
      <c r="LR86" s="131"/>
      <c r="LS86" s="131"/>
      <c r="LT86" s="131"/>
      <c r="LU86" s="131"/>
      <c r="LV86" s="131"/>
      <c r="LW86" s="131"/>
      <c r="LX86" s="131"/>
      <c r="LY86" s="131"/>
      <c r="LZ86" s="131"/>
      <c r="MA86" s="131"/>
      <c r="MB86" s="131"/>
      <c r="MC86" s="131"/>
      <c r="MD86" s="131"/>
      <c r="ME86" s="131"/>
      <c r="MF86" s="131"/>
      <c r="MG86" s="131"/>
      <c r="MH86" s="131"/>
      <c r="MI86" s="131"/>
      <c r="MJ86" s="131"/>
      <c r="MK86" s="131"/>
      <c r="ML86" s="131"/>
      <c r="MM86" s="131"/>
      <c r="MN86" s="131"/>
      <c r="MO86" s="131"/>
      <c r="MP86" s="131"/>
      <c r="MQ86" s="131"/>
      <c r="MR86" s="131"/>
      <c r="MS86" s="131"/>
      <c r="MT86" s="131"/>
      <c r="MU86" s="131"/>
      <c r="MV86" s="131"/>
      <c r="MW86" s="131"/>
      <c r="MX86" s="131"/>
      <c r="MY86" s="131"/>
      <c r="MZ86" s="131"/>
      <c r="NA86" s="131"/>
      <c r="NB86" s="131"/>
      <c r="NC86" s="131"/>
      <c r="ND86" s="131"/>
      <c r="NE86" s="131"/>
      <c r="NF86" s="131"/>
      <c r="NG86" s="131"/>
      <c r="NH86" s="131"/>
      <c r="NI86" s="131"/>
      <c r="NJ86" s="131"/>
      <c r="NK86" s="131"/>
      <c r="NL86" s="131"/>
      <c r="NM86" s="131"/>
      <c r="NN86" s="131"/>
      <c r="NO86" s="131"/>
      <c r="NP86" s="131"/>
      <c r="NQ86" s="131"/>
      <c r="NR86" s="131"/>
      <c r="NS86" s="131"/>
      <c r="NT86" s="131"/>
      <c r="NU86" s="131"/>
      <c r="NV86" s="131"/>
      <c r="NW86" s="24">
        <f t="shared" si="11"/>
        <v>0</v>
      </c>
      <c r="NX86" s="56" t="s">
        <v>36</v>
      </c>
      <c r="NY86" s="127">
        <v>384.36</v>
      </c>
      <c r="NZ86" s="78">
        <f t="shared" si="14"/>
        <v>0</v>
      </c>
      <c r="OA86" s="78">
        <v>275.79999999999995</v>
      </c>
      <c r="OB86" s="127">
        <f t="shared" si="12"/>
        <v>384.36</v>
      </c>
      <c r="OC86" s="153"/>
      <c r="OD86" s="108">
        <f t="shared" si="13"/>
        <v>1.3936185641769401</v>
      </c>
      <c r="OE86" s="160" t="s">
        <v>545</v>
      </c>
    </row>
    <row r="87" spans="1:395" s="5" customFormat="1" ht="12.75" customHeight="1" x14ac:dyDescent="0.25">
      <c r="A87" s="62">
        <v>44546</v>
      </c>
      <c r="B87" s="106" t="s">
        <v>540</v>
      </c>
      <c r="C87" s="129"/>
      <c r="D87" s="129"/>
      <c r="E87" s="130"/>
      <c r="F87" s="130"/>
      <c r="G87" s="130"/>
      <c r="H87" s="130"/>
      <c r="I87" s="130"/>
      <c r="J87" s="130"/>
      <c r="K87" s="130"/>
      <c r="L87" s="130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31"/>
      <c r="Y87" s="131"/>
      <c r="Z87" s="131"/>
      <c r="AA87" s="131"/>
      <c r="AB87" s="131"/>
      <c r="AC87" s="131"/>
      <c r="AD87" s="131"/>
      <c r="AE87" s="131"/>
      <c r="AF87" s="131"/>
      <c r="AG87" s="131"/>
      <c r="AH87" s="131"/>
      <c r="AI87" s="131"/>
      <c r="AJ87" s="131"/>
      <c r="AK87" s="131"/>
      <c r="AL87" s="131"/>
      <c r="AM87" s="131"/>
      <c r="AN87" s="131"/>
      <c r="AO87" s="131"/>
      <c r="AP87" s="131"/>
      <c r="AQ87" s="131"/>
      <c r="AR87" s="131"/>
      <c r="AS87" s="131"/>
      <c r="AT87" s="131"/>
      <c r="AU87" s="131"/>
      <c r="AV87" s="131"/>
      <c r="AW87" s="131"/>
      <c r="AX87" s="131"/>
      <c r="AY87" s="131"/>
      <c r="AZ87" s="131"/>
      <c r="BA87" s="131"/>
      <c r="BB87" s="131"/>
      <c r="BC87" s="131"/>
      <c r="BD87" s="131"/>
      <c r="BE87" s="131"/>
      <c r="BF87" s="131"/>
      <c r="BG87" s="131"/>
      <c r="BH87" s="131"/>
      <c r="BI87" s="131"/>
      <c r="BJ87" s="131"/>
      <c r="BK87" s="131"/>
      <c r="BL87" s="131"/>
      <c r="BM87" s="131"/>
      <c r="BN87" s="131"/>
      <c r="BO87" s="131"/>
      <c r="BP87" s="131"/>
      <c r="BQ87" s="131"/>
      <c r="BR87" s="131"/>
      <c r="BS87" s="131"/>
      <c r="BT87" s="131"/>
      <c r="BU87" s="131"/>
      <c r="BV87" s="131"/>
      <c r="BW87" s="131"/>
      <c r="BX87" s="131"/>
      <c r="BY87" s="131"/>
      <c r="BZ87" s="131"/>
      <c r="CA87" s="131"/>
      <c r="CB87" s="131"/>
      <c r="CC87" s="131"/>
      <c r="CD87" s="131"/>
      <c r="CE87" s="131"/>
      <c r="CF87" s="131"/>
      <c r="CG87" s="131"/>
      <c r="CH87" s="131"/>
      <c r="CI87" s="131"/>
      <c r="CJ87" s="131"/>
      <c r="CK87" s="131"/>
      <c r="CL87" s="131"/>
      <c r="CM87" s="131"/>
      <c r="CN87" s="131"/>
      <c r="CO87" s="131"/>
      <c r="CP87" s="131"/>
      <c r="CQ87" s="131"/>
      <c r="CR87" s="131"/>
      <c r="CS87" s="131"/>
      <c r="CT87" s="131"/>
      <c r="CU87" s="131"/>
      <c r="CV87" s="131"/>
      <c r="CW87" s="131"/>
      <c r="CX87" s="131"/>
      <c r="CY87" s="131"/>
      <c r="CZ87" s="131"/>
      <c r="DA87" s="131"/>
      <c r="DB87" s="131"/>
      <c r="DC87" s="131"/>
      <c r="DD87" s="131"/>
      <c r="DE87" s="131"/>
      <c r="DF87" s="131"/>
      <c r="DG87" s="131"/>
      <c r="DH87" s="131"/>
      <c r="DI87" s="131"/>
      <c r="DJ87" s="131"/>
      <c r="DK87" s="131"/>
      <c r="DL87" s="131"/>
      <c r="DM87" s="131"/>
      <c r="DN87" s="131"/>
      <c r="DO87" s="131"/>
      <c r="DP87" s="131"/>
      <c r="DQ87" s="131"/>
      <c r="DR87" s="131"/>
      <c r="DS87" s="131"/>
      <c r="DT87" s="131"/>
      <c r="DU87" s="131"/>
      <c r="DV87" s="131"/>
      <c r="DW87" s="131"/>
      <c r="DX87" s="131"/>
      <c r="DY87" s="131"/>
      <c r="DZ87" s="131"/>
      <c r="EA87" s="131"/>
      <c r="EB87" s="131"/>
      <c r="EC87" s="131"/>
      <c r="ED87" s="131"/>
      <c r="EE87" s="131"/>
      <c r="EF87" s="131"/>
      <c r="EG87" s="131"/>
      <c r="EH87" s="131"/>
      <c r="EI87" s="131"/>
      <c r="EJ87" s="131"/>
      <c r="EK87" s="131"/>
      <c r="EL87" s="131"/>
      <c r="EM87" s="131"/>
      <c r="EN87" s="131"/>
      <c r="EO87" s="131"/>
      <c r="EP87" s="131"/>
      <c r="EQ87" s="131"/>
      <c r="ER87" s="131"/>
      <c r="ES87" s="131"/>
      <c r="ET87" s="131"/>
      <c r="EU87" s="131"/>
      <c r="EV87" s="131"/>
      <c r="EW87" s="131"/>
      <c r="EX87" s="131"/>
      <c r="EY87" s="131"/>
      <c r="EZ87" s="131"/>
      <c r="FA87" s="131"/>
      <c r="FB87" s="131"/>
      <c r="FC87" s="131"/>
      <c r="FD87" s="131"/>
      <c r="FE87" s="131"/>
      <c r="FF87" s="131"/>
      <c r="FG87" s="131"/>
      <c r="FH87" s="131"/>
      <c r="FI87" s="131"/>
      <c r="FJ87" s="131"/>
      <c r="FK87" s="131"/>
      <c r="FL87" s="131"/>
      <c r="FM87" s="131"/>
      <c r="FN87" s="131"/>
      <c r="FO87" s="131"/>
      <c r="FP87" s="131"/>
      <c r="FQ87" s="131"/>
      <c r="FR87" s="131"/>
      <c r="FS87" s="131"/>
      <c r="FT87" s="131"/>
      <c r="FU87" s="131"/>
      <c r="FV87" s="131"/>
      <c r="FW87" s="131"/>
      <c r="FX87" s="131"/>
      <c r="FY87" s="131"/>
      <c r="FZ87" s="131"/>
      <c r="GA87" s="131"/>
      <c r="GB87" s="131"/>
      <c r="GC87" s="131"/>
      <c r="GD87" s="131"/>
      <c r="GE87" s="131"/>
      <c r="GF87" s="131"/>
      <c r="GG87" s="131"/>
      <c r="GH87" s="131"/>
      <c r="GI87" s="131"/>
      <c r="GJ87" s="131"/>
      <c r="GK87" s="131"/>
      <c r="GL87" s="131"/>
      <c r="GM87" s="131"/>
      <c r="GN87" s="131"/>
      <c r="GO87" s="131"/>
      <c r="GP87" s="131"/>
      <c r="GQ87" s="131"/>
      <c r="GR87" s="131"/>
      <c r="GS87" s="131"/>
      <c r="GT87" s="131"/>
      <c r="GU87" s="131"/>
      <c r="GV87" s="131"/>
      <c r="GW87" s="131"/>
      <c r="GX87" s="131"/>
      <c r="GY87" s="131"/>
      <c r="GZ87" s="131"/>
      <c r="HA87" s="131"/>
      <c r="HB87" s="131"/>
      <c r="HC87" s="131"/>
      <c r="HD87" s="131"/>
      <c r="HE87" s="131"/>
      <c r="HF87" s="131"/>
      <c r="HG87" s="131"/>
      <c r="HH87" s="131"/>
      <c r="HI87" s="131"/>
      <c r="HJ87" s="131"/>
      <c r="HK87" s="131"/>
      <c r="HL87" s="131"/>
      <c r="HM87" s="131"/>
      <c r="HN87" s="131"/>
      <c r="HO87" s="131"/>
      <c r="HP87" s="131"/>
      <c r="HQ87" s="131"/>
      <c r="HR87" s="131"/>
      <c r="HS87" s="131"/>
      <c r="HT87" s="131"/>
      <c r="HU87" s="131"/>
      <c r="HV87" s="131"/>
      <c r="HW87" s="131"/>
      <c r="HX87" s="131"/>
      <c r="HY87" s="131"/>
      <c r="HZ87" s="131"/>
      <c r="IA87" s="131"/>
      <c r="IB87" s="131"/>
      <c r="IC87" s="131"/>
      <c r="ID87" s="131"/>
      <c r="IE87" s="131"/>
      <c r="IF87" s="131"/>
      <c r="IG87" s="131"/>
      <c r="IH87" s="131"/>
      <c r="II87" s="131"/>
      <c r="IJ87" s="131"/>
      <c r="IK87" s="131"/>
      <c r="IL87" s="131"/>
      <c r="IM87" s="131"/>
      <c r="IN87" s="131"/>
      <c r="IO87" s="131"/>
      <c r="IP87" s="131"/>
      <c r="IQ87" s="131"/>
      <c r="IR87" s="131"/>
      <c r="IS87" s="131"/>
      <c r="IT87" s="131"/>
      <c r="IU87" s="131"/>
      <c r="IV87" s="131"/>
      <c r="IW87" s="131"/>
      <c r="IX87" s="131"/>
      <c r="IY87" s="131"/>
      <c r="IZ87" s="131"/>
      <c r="JA87" s="131"/>
      <c r="JB87" s="131"/>
      <c r="JC87" s="131"/>
      <c r="JD87" s="131"/>
      <c r="JE87" s="131"/>
      <c r="JF87" s="131"/>
      <c r="JG87" s="131"/>
      <c r="JH87" s="131"/>
      <c r="JI87" s="131"/>
      <c r="JJ87" s="131"/>
      <c r="JK87" s="131"/>
      <c r="JL87" s="131"/>
      <c r="JM87" s="131"/>
      <c r="JN87" s="131"/>
      <c r="JO87" s="131"/>
      <c r="JP87" s="131"/>
      <c r="JQ87" s="131"/>
      <c r="JR87" s="131"/>
      <c r="JS87" s="131"/>
      <c r="JT87" s="131"/>
      <c r="JU87" s="131"/>
      <c r="JV87" s="131"/>
      <c r="JW87" s="131"/>
      <c r="JX87" s="131"/>
      <c r="JY87" s="131"/>
      <c r="JZ87" s="131"/>
      <c r="KA87" s="131"/>
      <c r="KB87" s="131"/>
      <c r="KC87" s="131"/>
      <c r="KD87" s="131"/>
      <c r="KE87" s="131"/>
      <c r="KF87" s="131"/>
      <c r="KG87" s="131"/>
      <c r="KH87" s="131"/>
      <c r="KI87" s="131"/>
      <c r="KJ87" s="131"/>
      <c r="KK87" s="131"/>
      <c r="KL87" s="131"/>
      <c r="KM87" s="131"/>
      <c r="KN87" s="131"/>
      <c r="KO87" s="131"/>
      <c r="KP87" s="131"/>
      <c r="KQ87" s="131"/>
      <c r="KR87" s="131"/>
      <c r="KS87" s="131"/>
      <c r="KT87" s="131"/>
      <c r="KU87" s="131"/>
      <c r="KV87" s="131"/>
      <c r="KW87" s="131"/>
      <c r="KX87" s="131"/>
      <c r="KY87" s="131"/>
      <c r="KZ87" s="131"/>
      <c r="LA87" s="131"/>
      <c r="LB87" s="131"/>
      <c r="LC87" s="131"/>
      <c r="LD87" s="131"/>
      <c r="LE87" s="131"/>
      <c r="LF87" s="131"/>
      <c r="LG87" s="131"/>
      <c r="LH87" s="131"/>
      <c r="LI87" s="131"/>
      <c r="LJ87" s="131"/>
      <c r="LK87" s="131"/>
      <c r="LL87" s="131"/>
      <c r="LM87" s="131"/>
      <c r="LN87" s="131"/>
      <c r="LO87" s="131"/>
      <c r="LP87" s="131"/>
      <c r="LQ87" s="131"/>
      <c r="LR87" s="131"/>
      <c r="LS87" s="131"/>
      <c r="LT87" s="131"/>
      <c r="LU87" s="131"/>
      <c r="LV87" s="131"/>
      <c r="LW87" s="131"/>
      <c r="LX87" s="131"/>
      <c r="LY87" s="131"/>
      <c r="LZ87" s="131"/>
      <c r="MA87" s="131"/>
      <c r="MB87" s="131"/>
      <c r="MC87" s="131"/>
      <c r="MD87" s="131"/>
      <c r="ME87" s="131"/>
      <c r="MF87" s="131"/>
      <c r="MG87" s="131"/>
      <c r="MH87" s="131"/>
      <c r="MI87" s="131"/>
      <c r="MJ87" s="131"/>
      <c r="MK87" s="131"/>
      <c r="ML87" s="131"/>
      <c r="MM87" s="131"/>
      <c r="MN87" s="131"/>
      <c r="MO87" s="131"/>
      <c r="MP87" s="131"/>
      <c r="MQ87" s="131"/>
      <c r="MR87" s="131"/>
      <c r="MS87" s="131"/>
      <c r="MT87" s="131"/>
      <c r="MU87" s="131"/>
      <c r="MV87" s="131"/>
      <c r="MW87" s="131"/>
      <c r="MX87" s="131"/>
      <c r="MY87" s="131"/>
      <c r="MZ87" s="131"/>
      <c r="NA87" s="131"/>
      <c r="NB87" s="131"/>
      <c r="NC87" s="131"/>
      <c r="ND87" s="131"/>
      <c r="NE87" s="131"/>
      <c r="NF87" s="131"/>
      <c r="NG87" s="131"/>
      <c r="NH87" s="131"/>
      <c r="NI87" s="131"/>
      <c r="NJ87" s="131"/>
      <c r="NK87" s="131"/>
      <c r="NL87" s="131"/>
      <c r="NM87" s="131"/>
      <c r="NN87" s="131"/>
      <c r="NO87" s="131"/>
      <c r="NP87" s="131"/>
      <c r="NQ87" s="131"/>
      <c r="NR87" s="131"/>
      <c r="NS87" s="131"/>
      <c r="NT87" s="131"/>
      <c r="NU87" s="131"/>
      <c r="NV87" s="131"/>
      <c r="NW87" s="24">
        <f t="shared" si="11"/>
        <v>0</v>
      </c>
      <c r="NX87" s="56" t="s">
        <v>36</v>
      </c>
      <c r="NY87" s="127">
        <v>68.84</v>
      </c>
      <c r="NZ87" s="78">
        <f t="shared" si="14"/>
        <v>0</v>
      </c>
      <c r="OA87" s="78">
        <v>42.219000000000001</v>
      </c>
      <c r="OB87" s="127">
        <f t="shared" si="12"/>
        <v>68.84</v>
      </c>
      <c r="OC87" s="153"/>
      <c r="OD87" s="108">
        <f t="shared" si="13"/>
        <v>1.6305454889978446</v>
      </c>
      <c r="OE87" s="160" t="s">
        <v>544</v>
      </c>
    </row>
    <row r="88" spans="1:395" s="5" customFormat="1" ht="12.75" hidden="1" customHeight="1" x14ac:dyDescent="0.25">
      <c r="A88" s="62">
        <v>44546</v>
      </c>
      <c r="B88" s="116" t="s">
        <v>206</v>
      </c>
      <c r="C88" s="129"/>
      <c r="D88" s="129"/>
      <c r="E88" s="130"/>
      <c r="F88" s="130"/>
      <c r="G88" s="130"/>
      <c r="H88" s="130"/>
      <c r="I88" s="130"/>
      <c r="J88" s="130"/>
      <c r="K88" s="130"/>
      <c r="L88" s="130"/>
      <c r="M88" s="131"/>
      <c r="N88" s="131"/>
      <c r="O88" s="131"/>
      <c r="P88" s="131"/>
      <c r="Q88" s="131"/>
      <c r="R88" s="131"/>
      <c r="S88" s="131"/>
      <c r="T88" s="131"/>
      <c r="U88" s="131"/>
      <c r="V88" s="131"/>
      <c r="W88" s="131"/>
      <c r="X88" s="131"/>
      <c r="Y88" s="131"/>
      <c r="Z88" s="131"/>
      <c r="AA88" s="131"/>
      <c r="AB88" s="131"/>
      <c r="AC88" s="131"/>
      <c r="AD88" s="131"/>
      <c r="AE88" s="131"/>
      <c r="AF88" s="131"/>
      <c r="AG88" s="131"/>
      <c r="AH88" s="131"/>
      <c r="AI88" s="131"/>
      <c r="AJ88" s="131"/>
      <c r="AK88" s="131"/>
      <c r="AL88" s="131"/>
      <c r="AM88" s="131"/>
      <c r="AN88" s="131"/>
      <c r="AO88" s="131"/>
      <c r="AP88" s="131"/>
      <c r="AQ88" s="131"/>
      <c r="AR88" s="131"/>
      <c r="AS88" s="131"/>
      <c r="AT88" s="131"/>
      <c r="AU88" s="131"/>
      <c r="AV88" s="131"/>
      <c r="AW88" s="131"/>
      <c r="AX88" s="131"/>
      <c r="AY88" s="131"/>
      <c r="AZ88" s="131"/>
      <c r="BA88" s="131"/>
      <c r="BB88" s="131"/>
      <c r="BC88" s="131"/>
      <c r="BD88" s="131"/>
      <c r="BE88" s="131"/>
      <c r="BF88" s="131"/>
      <c r="BG88" s="131"/>
      <c r="BH88" s="131"/>
      <c r="BI88" s="131"/>
      <c r="BJ88" s="131"/>
      <c r="BK88" s="131"/>
      <c r="BL88" s="131"/>
      <c r="BM88" s="131"/>
      <c r="BN88" s="131"/>
      <c r="BO88" s="131"/>
      <c r="BP88" s="131"/>
      <c r="BQ88" s="131"/>
      <c r="BR88" s="131"/>
      <c r="BS88" s="131"/>
      <c r="BT88" s="131"/>
      <c r="BU88" s="131"/>
      <c r="BV88" s="131"/>
      <c r="BW88" s="131"/>
      <c r="BX88" s="131"/>
      <c r="BY88" s="131"/>
      <c r="BZ88" s="131"/>
      <c r="CA88" s="131"/>
      <c r="CB88" s="131"/>
      <c r="CC88" s="131"/>
      <c r="CD88" s="131"/>
      <c r="CE88" s="131"/>
      <c r="CF88" s="131"/>
      <c r="CG88" s="131"/>
      <c r="CH88" s="131"/>
      <c r="CI88" s="131"/>
      <c r="CJ88" s="131"/>
      <c r="CK88" s="131"/>
      <c r="CL88" s="131"/>
      <c r="CM88" s="131"/>
      <c r="CN88" s="131"/>
      <c r="CO88" s="131"/>
      <c r="CP88" s="131"/>
      <c r="CQ88" s="131"/>
      <c r="CR88" s="131"/>
      <c r="CS88" s="131"/>
      <c r="CT88" s="131"/>
      <c r="CU88" s="131"/>
      <c r="CV88" s="131"/>
      <c r="CW88" s="131"/>
      <c r="CX88" s="131"/>
      <c r="CY88" s="131"/>
      <c r="CZ88" s="131"/>
      <c r="DA88" s="131"/>
      <c r="DB88" s="131"/>
      <c r="DC88" s="131"/>
      <c r="DD88" s="131"/>
      <c r="DE88" s="131"/>
      <c r="DF88" s="131"/>
      <c r="DG88" s="131"/>
      <c r="DH88" s="131"/>
      <c r="DI88" s="131"/>
      <c r="DJ88" s="131"/>
      <c r="DK88" s="131"/>
      <c r="DL88" s="131"/>
      <c r="DM88" s="131"/>
      <c r="DN88" s="131"/>
      <c r="DO88" s="131"/>
      <c r="DP88" s="131"/>
      <c r="DQ88" s="131"/>
      <c r="DR88" s="131"/>
      <c r="DS88" s="131"/>
      <c r="DT88" s="131"/>
      <c r="DU88" s="131"/>
      <c r="DV88" s="131"/>
      <c r="DW88" s="131"/>
      <c r="DX88" s="131"/>
      <c r="DY88" s="131"/>
      <c r="DZ88" s="131"/>
      <c r="EA88" s="131"/>
      <c r="EB88" s="131"/>
      <c r="EC88" s="131"/>
      <c r="ED88" s="131"/>
      <c r="EE88" s="131"/>
      <c r="EF88" s="131"/>
      <c r="EG88" s="131"/>
      <c r="EH88" s="131"/>
      <c r="EI88" s="131"/>
      <c r="EJ88" s="131"/>
      <c r="EK88" s="131"/>
      <c r="EL88" s="131"/>
      <c r="EM88" s="131"/>
      <c r="EN88" s="131"/>
      <c r="EO88" s="131"/>
      <c r="EP88" s="131"/>
      <c r="EQ88" s="131"/>
      <c r="ER88" s="131"/>
      <c r="ES88" s="131"/>
      <c r="ET88" s="131"/>
      <c r="EU88" s="131"/>
      <c r="EV88" s="131"/>
      <c r="EW88" s="131"/>
      <c r="EX88" s="131"/>
      <c r="EY88" s="131"/>
      <c r="EZ88" s="131"/>
      <c r="FA88" s="131"/>
      <c r="FB88" s="131"/>
      <c r="FC88" s="131"/>
      <c r="FD88" s="131"/>
      <c r="FE88" s="131"/>
      <c r="FF88" s="131"/>
      <c r="FG88" s="131"/>
      <c r="FH88" s="131"/>
      <c r="FI88" s="131"/>
      <c r="FJ88" s="131"/>
      <c r="FK88" s="131"/>
      <c r="FL88" s="131"/>
      <c r="FM88" s="131"/>
      <c r="FN88" s="131"/>
      <c r="FO88" s="131"/>
      <c r="FP88" s="131"/>
      <c r="FQ88" s="131"/>
      <c r="FR88" s="131"/>
      <c r="FS88" s="131"/>
      <c r="FT88" s="131"/>
      <c r="FU88" s="131"/>
      <c r="FV88" s="131"/>
      <c r="FW88" s="131"/>
      <c r="FX88" s="131"/>
      <c r="FY88" s="131"/>
      <c r="FZ88" s="131"/>
      <c r="GA88" s="131"/>
      <c r="GB88" s="131"/>
      <c r="GC88" s="131"/>
      <c r="GD88" s="131"/>
      <c r="GE88" s="131"/>
      <c r="GF88" s="131"/>
      <c r="GG88" s="131"/>
      <c r="GH88" s="131"/>
      <c r="GI88" s="131"/>
      <c r="GJ88" s="131"/>
      <c r="GK88" s="131"/>
      <c r="GL88" s="131"/>
      <c r="GM88" s="131"/>
      <c r="GN88" s="131"/>
      <c r="GO88" s="131"/>
      <c r="GP88" s="131"/>
      <c r="GQ88" s="131"/>
      <c r="GR88" s="131"/>
      <c r="GS88" s="131"/>
      <c r="GT88" s="131"/>
      <c r="GU88" s="131"/>
      <c r="GV88" s="131"/>
      <c r="GW88" s="131"/>
      <c r="GX88" s="131"/>
      <c r="GY88" s="131"/>
      <c r="GZ88" s="131"/>
      <c r="HA88" s="131"/>
      <c r="HB88" s="131"/>
      <c r="HC88" s="131"/>
      <c r="HD88" s="131"/>
      <c r="HE88" s="131"/>
      <c r="HF88" s="131"/>
      <c r="HG88" s="131"/>
      <c r="HH88" s="131"/>
      <c r="HI88" s="131"/>
      <c r="HJ88" s="131"/>
      <c r="HK88" s="131"/>
      <c r="HL88" s="131"/>
      <c r="HM88" s="131"/>
      <c r="HN88" s="131"/>
      <c r="HO88" s="131"/>
      <c r="HP88" s="131"/>
      <c r="HQ88" s="131"/>
      <c r="HR88" s="131"/>
      <c r="HS88" s="131"/>
      <c r="HT88" s="131"/>
      <c r="HU88" s="131"/>
      <c r="HV88" s="131"/>
      <c r="HW88" s="131"/>
      <c r="HX88" s="131"/>
      <c r="HY88" s="131"/>
      <c r="HZ88" s="131"/>
      <c r="IA88" s="131"/>
      <c r="IB88" s="131"/>
      <c r="IC88" s="131"/>
      <c r="ID88" s="131"/>
      <c r="IE88" s="131"/>
      <c r="IF88" s="131"/>
      <c r="IG88" s="131"/>
      <c r="IH88" s="131"/>
      <c r="II88" s="131"/>
      <c r="IJ88" s="131"/>
      <c r="IK88" s="131"/>
      <c r="IL88" s="131"/>
      <c r="IM88" s="131"/>
      <c r="IN88" s="131"/>
      <c r="IO88" s="131"/>
      <c r="IP88" s="131"/>
      <c r="IQ88" s="131"/>
      <c r="IR88" s="131"/>
      <c r="IS88" s="131"/>
      <c r="IT88" s="131"/>
      <c r="IU88" s="131"/>
      <c r="IV88" s="131"/>
      <c r="IW88" s="131"/>
      <c r="IX88" s="131"/>
      <c r="IY88" s="131"/>
      <c r="IZ88" s="131"/>
      <c r="JA88" s="131"/>
      <c r="JB88" s="131"/>
      <c r="JC88" s="131"/>
      <c r="JD88" s="131"/>
      <c r="JE88" s="131"/>
      <c r="JF88" s="131"/>
      <c r="JG88" s="131"/>
      <c r="JH88" s="131"/>
      <c r="JI88" s="131"/>
      <c r="JJ88" s="131"/>
      <c r="JK88" s="131"/>
      <c r="JL88" s="131"/>
      <c r="JM88" s="131"/>
      <c r="JN88" s="131"/>
      <c r="JO88" s="131"/>
      <c r="JP88" s="131"/>
      <c r="JQ88" s="131"/>
      <c r="JR88" s="131"/>
      <c r="JS88" s="131"/>
      <c r="JT88" s="131"/>
      <c r="JU88" s="131"/>
      <c r="JV88" s="131"/>
      <c r="JW88" s="131"/>
      <c r="JX88" s="131"/>
      <c r="JY88" s="131"/>
      <c r="JZ88" s="131"/>
      <c r="KA88" s="131"/>
      <c r="KB88" s="131"/>
      <c r="KC88" s="131"/>
      <c r="KD88" s="131"/>
      <c r="KE88" s="131"/>
      <c r="KF88" s="131"/>
      <c r="KG88" s="131"/>
      <c r="KH88" s="131"/>
      <c r="KI88" s="131"/>
      <c r="KJ88" s="131"/>
      <c r="KK88" s="131"/>
      <c r="KL88" s="131"/>
      <c r="KM88" s="131"/>
      <c r="KN88" s="131"/>
      <c r="KO88" s="131"/>
      <c r="KP88" s="131"/>
      <c r="KQ88" s="131"/>
      <c r="KR88" s="131"/>
      <c r="KS88" s="131"/>
      <c r="KT88" s="131"/>
      <c r="KU88" s="131"/>
      <c r="KV88" s="131"/>
      <c r="KW88" s="131"/>
      <c r="KX88" s="131"/>
      <c r="KY88" s="131"/>
      <c r="KZ88" s="131"/>
      <c r="LA88" s="131"/>
      <c r="LB88" s="131"/>
      <c r="LC88" s="131"/>
      <c r="LD88" s="131"/>
      <c r="LE88" s="131"/>
      <c r="LF88" s="131"/>
      <c r="LG88" s="131"/>
      <c r="LH88" s="131"/>
      <c r="LI88" s="131"/>
      <c r="LJ88" s="131"/>
      <c r="LK88" s="131"/>
      <c r="LL88" s="131"/>
      <c r="LM88" s="131"/>
      <c r="LN88" s="131"/>
      <c r="LO88" s="131"/>
      <c r="LP88" s="131"/>
      <c r="LQ88" s="131"/>
      <c r="LR88" s="131"/>
      <c r="LS88" s="131"/>
      <c r="LT88" s="131"/>
      <c r="LU88" s="131"/>
      <c r="LV88" s="131"/>
      <c r="LW88" s="131"/>
      <c r="LX88" s="131"/>
      <c r="LY88" s="131"/>
      <c r="LZ88" s="131"/>
      <c r="MA88" s="131"/>
      <c r="MB88" s="131"/>
      <c r="MC88" s="131"/>
      <c r="MD88" s="131"/>
      <c r="ME88" s="131"/>
      <c r="MF88" s="131"/>
      <c r="MG88" s="131"/>
      <c r="MH88" s="131"/>
      <c r="MI88" s="131"/>
      <c r="MJ88" s="131"/>
      <c r="MK88" s="131"/>
      <c r="ML88" s="131"/>
      <c r="MM88" s="131"/>
      <c r="MN88" s="131"/>
      <c r="MO88" s="131"/>
      <c r="MP88" s="131"/>
      <c r="MQ88" s="131"/>
      <c r="MR88" s="131"/>
      <c r="MS88" s="131"/>
      <c r="MT88" s="131"/>
      <c r="MU88" s="131"/>
      <c r="MV88" s="131"/>
      <c r="MW88" s="131"/>
      <c r="MX88" s="131"/>
      <c r="MY88" s="131"/>
      <c r="MZ88" s="131"/>
      <c r="NA88" s="131"/>
      <c r="NB88" s="131"/>
      <c r="NC88" s="131"/>
      <c r="ND88" s="131"/>
      <c r="NE88" s="131"/>
      <c r="NF88" s="131"/>
      <c r="NG88" s="131"/>
      <c r="NH88" s="131"/>
      <c r="NI88" s="131"/>
      <c r="NJ88" s="131"/>
      <c r="NK88" s="131"/>
      <c r="NL88" s="131"/>
      <c r="NM88" s="131"/>
      <c r="NN88" s="131"/>
      <c r="NO88" s="131"/>
      <c r="NP88" s="131"/>
      <c r="NQ88" s="131"/>
      <c r="NR88" s="131"/>
      <c r="NS88" s="131"/>
      <c r="NT88" s="131"/>
      <c r="NU88" s="131"/>
      <c r="NV88" s="131"/>
      <c r="NW88" s="24">
        <f t="shared" si="11"/>
        <v>0</v>
      </c>
      <c r="NX88" s="56" t="s">
        <v>36</v>
      </c>
      <c r="NY88" s="127">
        <v>1728.84</v>
      </c>
      <c r="NZ88" s="78">
        <f t="shared" si="14"/>
        <v>1728.84</v>
      </c>
      <c r="OA88" s="78">
        <v>999.5</v>
      </c>
      <c r="OB88" s="127">
        <f t="shared" si="12"/>
        <v>0</v>
      </c>
      <c r="OC88" s="153">
        <v>1728.84</v>
      </c>
      <c r="OD88" s="108">
        <f t="shared" si="13"/>
        <v>1.7297048524262131</v>
      </c>
      <c r="OE88" s="160" t="s">
        <v>544</v>
      </c>
    </row>
    <row r="89" spans="1:395" s="5" customFormat="1" ht="12.75" customHeight="1" x14ac:dyDescent="0.25">
      <c r="A89" s="62">
        <v>44547</v>
      </c>
      <c r="B89" s="106" t="s">
        <v>143</v>
      </c>
      <c r="C89" s="129"/>
      <c r="D89" s="129"/>
      <c r="E89" s="130"/>
      <c r="F89" s="130"/>
      <c r="G89" s="130"/>
      <c r="H89" s="130"/>
      <c r="I89" s="130"/>
      <c r="J89" s="130"/>
      <c r="K89" s="130"/>
      <c r="L89" s="130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31"/>
      <c r="Y89" s="131"/>
      <c r="Z89" s="131"/>
      <c r="AA89" s="131"/>
      <c r="AB89" s="131"/>
      <c r="AC89" s="131"/>
      <c r="AD89" s="131"/>
      <c r="AE89" s="131"/>
      <c r="AF89" s="131"/>
      <c r="AG89" s="131"/>
      <c r="AH89" s="131"/>
      <c r="AI89" s="131"/>
      <c r="AJ89" s="131"/>
      <c r="AK89" s="131"/>
      <c r="AL89" s="131"/>
      <c r="AM89" s="131"/>
      <c r="AN89" s="131"/>
      <c r="AO89" s="131"/>
      <c r="AP89" s="131"/>
      <c r="AQ89" s="131"/>
      <c r="AR89" s="131"/>
      <c r="AS89" s="131"/>
      <c r="AT89" s="131"/>
      <c r="AU89" s="131"/>
      <c r="AV89" s="131"/>
      <c r="AW89" s="131"/>
      <c r="AX89" s="131"/>
      <c r="AY89" s="131"/>
      <c r="AZ89" s="131"/>
      <c r="BA89" s="131"/>
      <c r="BB89" s="131"/>
      <c r="BC89" s="131"/>
      <c r="BD89" s="131"/>
      <c r="BE89" s="131"/>
      <c r="BF89" s="131"/>
      <c r="BG89" s="131"/>
      <c r="BH89" s="131"/>
      <c r="BI89" s="131"/>
      <c r="BJ89" s="131"/>
      <c r="BK89" s="131"/>
      <c r="BL89" s="131"/>
      <c r="BM89" s="131"/>
      <c r="BN89" s="131"/>
      <c r="BO89" s="131"/>
      <c r="BP89" s="131"/>
      <c r="BQ89" s="131"/>
      <c r="BR89" s="131"/>
      <c r="BS89" s="131"/>
      <c r="BT89" s="131"/>
      <c r="BU89" s="131"/>
      <c r="BV89" s="131"/>
      <c r="BW89" s="131"/>
      <c r="BX89" s="131"/>
      <c r="BY89" s="131"/>
      <c r="BZ89" s="131"/>
      <c r="CA89" s="131"/>
      <c r="CB89" s="131"/>
      <c r="CC89" s="131"/>
      <c r="CD89" s="131"/>
      <c r="CE89" s="131"/>
      <c r="CF89" s="131"/>
      <c r="CG89" s="131"/>
      <c r="CH89" s="131"/>
      <c r="CI89" s="131"/>
      <c r="CJ89" s="131"/>
      <c r="CK89" s="131"/>
      <c r="CL89" s="131"/>
      <c r="CM89" s="131"/>
      <c r="CN89" s="131"/>
      <c r="CO89" s="131"/>
      <c r="CP89" s="131"/>
      <c r="CQ89" s="131"/>
      <c r="CR89" s="131"/>
      <c r="CS89" s="131"/>
      <c r="CT89" s="131"/>
      <c r="CU89" s="131"/>
      <c r="CV89" s="131"/>
      <c r="CW89" s="131"/>
      <c r="CX89" s="131"/>
      <c r="CY89" s="131"/>
      <c r="CZ89" s="131"/>
      <c r="DA89" s="131"/>
      <c r="DB89" s="131"/>
      <c r="DC89" s="131"/>
      <c r="DD89" s="131"/>
      <c r="DE89" s="131"/>
      <c r="DF89" s="131"/>
      <c r="DG89" s="131"/>
      <c r="DH89" s="131"/>
      <c r="DI89" s="131"/>
      <c r="DJ89" s="131"/>
      <c r="DK89" s="131"/>
      <c r="DL89" s="131"/>
      <c r="DM89" s="131"/>
      <c r="DN89" s="131"/>
      <c r="DO89" s="131"/>
      <c r="DP89" s="131"/>
      <c r="DQ89" s="131"/>
      <c r="DR89" s="131"/>
      <c r="DS89" s="131"/>
      <c r="DT89" s="131"/>
      <c r="DU89" s="131"/>
      <c r="DV89" s="131"/>
      <c r="DW89" s="131"/>
      <c r="DX89" s="131"/>
      <c r="DY89" s="131"/>
      <c r="DZ89" s="131"/>
      <c r="EA89" s="131"/>
      <c r="EB89" s="131"/>
      <c r="EC89" s="131"/>
      <c r="ED89" s="131"/>
      <c r="EE89" s="131"/>
      <c r="EF89" s="131"/>
      <c r="EG89" s="131"/>
      <c r="EH89" s="131"/>
      <c r="EI89" s="131"/>
      <c r="EJ89" s="131"/>
      <c r="EK89" s="131"/>
      <c r="EL89" s="131"/>
      <c r="EM89" s="131"/>
      <c r="EN89" s="131"/>
      <c r="EO89" s="131"/>
      <c r="EP89" s="131"/>
      <c r="EQ89" s="131"/>
      <c r="ER89" s="131"/>
      <c r="ES89" s="131"/>
      <c r="ET89" s="131"/>
      <c r="EU89" s="131"/>
      <c r="EV89" s="131"/>
      <c r="EW89" s="131"/>
      <c r="EX89" s="131"/>
      <c r="EY89" s="131"/>
      <c r="EZ89" s="131"/>
      <c r="FA89" s="131"/>
      <c r="FB89" s="131"/>
      <c r="FC89" s="131"/>
      <c r="FD89" s="131"/>
      <c r="FE89" s="131"/>
      <c r="FF89" s="131"/>
      <c r="FG89" s="131"/>
      <c r="FH89" s="131"/>
      <c r="FI89" s="131"/>
      <c r="FJ89" s="131"/>
      <c r="FK89" s="131"/>
      <c r="FL89" s="131"/>
      <c r="FM89" s="131"/>
      <c r="FN89" s="131"/>
      <c r="FO89" s="131"/>
      <c r="FP89" s="131"/>
      <c r="FQ89" s="131"/>
      <c r="FR89" s="131"/>
      <c r="FS89" s="131"/>
      <c r="FT89" s="131"/>
      <c r="FU89" s="131"/>
      <c r="FV89" s="131"/>
      <c r="FW89" s="131"/>
      <c r="FX89" s="131"/>
      <c r="FY89" s="131"/>
      <c r="FZ89" s="131"/>
      <c r="GA89" s="131"/>
      <c r="GB89" s="131"/>
      <c r="GC89" s="131"/>
      <c r="GD89" s="131"/>
      <c r="GE89" s="131"/>
      <c r="GF89" s="131"/>
      <c r="GG89" s="131"/>
      <c r="GH89" s="131"/>
      <c r="GI89" s="131"/>
      <c r="GJ89" s="131"/>
      <c r="GK89" s="131"/>
      <c r="GL89" s="131"/>
      <c r="GM89" s="131"/>
      <c r="GN89" s="131"/>
      <c r="GO89" s="131"/>
      <c r="GP89" s="131"/>
      <c r="GQ89" s="131"/>
      <c r="GR89" s="131"/>
      <c r="GS89" s="131"/>
      <c r="GT89" s="131"/>
      <c r="GU89" s="131"/>
      <c r="GV89" s="131"/>
      <c r="GW89" s="131"/>
      <c r="GX89" s="131"/>
      <c r="GY89" s="131"/>
      <c r="GZ89" s="131"/>
      <c r="HA89" s="131"/>
      <c r="HB89" s="131"/>
      <c r="HC89" s="131"/>
      <c r="HD89" s="131"/>
      <c r="HE89" s="131"/>
      <c r="HF89" s="131"/>
      <c r="HG89" s="131"/>
      <c r="HH89" s="131"/>
      <c r="HI89" s="131"/>
      <c r="HJ89" s="131"/>
      <c r="HK89" s="131"/>
      <c r="HL89" s="131"/>
      <c r="HM89" s="131"/>
      <c r="HN89" s="131"/>
      <c r="HO89" s="131"/>
      <c r="HP89" s="131"/>
      <c r="HQ89" s="131"/>
      <c r="HR89" s="131"/>
      <c r="HS89" s="131"/>
      <c r="HT89" s="131"/>
      <c r="HU89" s="131"/>
      <c r="HV89" s="131"/>
      <c r="HW89" s="131"/>
      <c r="HX89" s="131"/>
      <c r="HY89" s="131"/>
      <c r="HZ89" s="131"/>
      <c r="IA89" s="131"/>
      <c r="IB89" s="131"/>
      <c r="IC89" s="131"/>
      <c r="ID89" s="131"/>
      <c r="IE89" s="131"/>
      <c r="IF89" s="131"/>
      <c r="IG89" s="131"/>
      <c r="IH89" s="131"/>
      <c r="II89" s="131"/>
      <c r="IJ89" s="131"/>
      <c r="IK89" s="131"/>
      <c r="IL89" s="131"/>
      <c r="IM89" s="131"/>
      <c r="IN89" s="131"/>
      <c r="IO89" s="131"/>
      <c r="IP89" s="131"/>
      <c r="IQ89" s="131"/>
      <c r="IR89" s="131"/>
      <c r="IS89" s="131"/>
      <c r="IT89" s="131"/>
      <c r="IU89" s="131"/>
      <c r="IV89" s="131"/>
      <c r="IW89" s="131"/>
      <c r="IX89" s="131"/>
      <c r="IY89" s="131"/>
      <c r="IZ89" s="131"/>
      <c r="JA89" s="131"/>
      <c r="JB89" s="131"/>
      <c r="JC89" s="131"/>
      <c r="JD89" s="131"/>
      <c r="JE89" s="131"/>
      <c r="JF89" s="131"/>
      <c r="JG89" s="131"/>
      <c r="JH89" s="131"/>
      <c r="JI89" s="131"/>
      <c r="JJ89" s="131"/>
      <c r="JK89" s="131"/>
      <c r="JL89" s="131"/>
      <c r="JM89" s="131"/>
      <c r="JN89" s="131"/>
      <c r="JO89" s="131"/>
      <c r="JP89" s="131"/>
      <c r="JQ89" s="131"/>
      <c r="JR89" s="131"/>
      <c r="JS89" s="131"/>
      <c r="JT89" s="131"/>
      <c r="JU89" s="131"/>
      <c r="JV89" s="131"/>
      <c r="JW89" s="131"/>
      <c r="JX89" s="131"/>
      <c r="JY89" s="131"/>
      <c r="JZ89" s="131"/>
      <c r="KA89" s="131"/>
      <c r="KB89" s="131"/>
      <c r="KC89" s="131"/>
      <c r="KD89" s="131"/>
      <c r="KE89" s="131"/>
      <c r="KF89" s="131"/>
      <c r="KG89" s="131"/>
      <c r="KH89" s="131"/>
      <c r="KI89" s="131"/>
      <c r="KJ89" s="131"/>
      <c r="KK89" s="131"/>
      <c r="KL89" s="131"/>
      <c r="KM89" s="131"/>
      <c r="KN89" s="131"/>
      <c r="KO89" s="131"/>
      <c r="KP89" s="131"/>
      <c r="KQ89" s="131"/>
      <c r="KR89" s="131"/>
      <c r="KS89" s="131"/>
      <c r="KT89" s="131"/>
      <c r="KU89" s="131"/>
      <c r="KV89" s="131"/>
      <c r="KW89" s="131"/>
      <c r="KX89" s="131"/>
      <c r="KY89" s="131"/>
      <c r="KZ89" s="131"/>
      <c r="LA89" s="131"/>
      <c r="LB89" s="131"/>
      <c r="LC89" s="131"/>
      <c r="LD89" s="131"/>
      <c r="LE89" s="131"/>
      <c r="LF89" s="131"/>
      <c r="LG89" s="131"/>
      <c r="LH89" s="131"/>
      <c r="LI89" s="131"/>
      <c r="LJ89" s="131"/>
      <c r="LK89" s="131"/>
      <c r="LL89" s="131"/>
      <c r="LM89" s="131"/>
      <c r="LN89" s="131"/>
      <c r="LO89" s="131"/>
      <c r="LP89" s="131"/>
      <c r="LQ89" s="131"/>
      <c r="LR89" s="131"/>
      <c r="LS89" s="131"/>
      <c r="LT89" s="131"/>
      <c r="LU89" s="131"/>
      <c r="LV89" s="131"/>
      <c r="LW89" s="131"/>
      <c r="LX89" s="131"/>
      <c r="LY89" s="131"/>
      <c r="LZ89" s="131"/>
      <c r="MA89" s="131"/>
      <c r="MB89" s="131"/>
      <c r="MC89" s="131"/>
      <c r="MD89" s="131"/>
      <c r="ME89" s="131"/>
      <c r="MF89" s="131"/>
      <c r="MG89" s="131"/>
      <c r="MH89" s="131"/>
      <c r="MI89" s="131"/>
      <c r="MJ89" s="131"/>
      <c r="MK89" s="131"/>
      <c r="ML89" s="131"/>
      <c r="MM89" s="131"/>
      <c r="MN89" s="131"/>
      <c r="MO89" s="131"/>
      <c r="MP89" s="131"/>
      <c r="MQ89" s="131"/>
      <c r="MR89" s="131"/>
      <c r="MS89" s="131"/>
      <c r="MT89" s="131"/>
      <c r="MU89" s="131"/>
      <c r="MV89" s="131"/>
      <c r="MW89" s="131"/>
      <c r="MX89" s="131"/>
      <c r="MY89" s="131"/>
      <c r="MZ89" s="131"/>
      <c r="NA89" s="131"/>
      <c r="NB89" s="131"/>
      <c r="NC89" s="131"/>
      <c r="ND89" s="131"/>
      <c r="NE89" s="131"/>
      <c r="NF89" s="131"/>
      <c r="NG89" s="131"/>
      <c r="NH89" s="131"/>
      <c r="NI89" s="131"/>
      <c r="NJ89" s="131"/>
      <c r="NK89" s="131"/>
      <c r="NL89" s="131"/>
      <c r="NM89" s="131"/>
      <c r="NN89" s="131"/>
      <c r="NO89" s="131"/>
      <c r="NP89" s="131"/>
      <c r="NQ89" s="131"/>
      <c r="NR89" s="131"/>
      <c r="NS89" s="131"/>
      <c r="NT89" s="131"/>
      <c r="NU89" s="131"/>
      <c r="NV89" s="131"/>
      <c r="NW89" s="24">
        <f t="shared" si="11"/>
        <v>0</v>
      </c>
      <c r="NX89" s="56" t="s">
        <v>36</v>
      </c>
      <c r="NY89" s="127">
        <v>720.64</v>
      </c>
      <c r="NZ89" s="78">
        <f t="shared" si="14"/>
        <v>0</v>
      </c>
      <c r="OA89" s="78">
        <v>449.23399999999998</v>
      </c>
      <c r="OB89" s="127">
        <f t="shared" si="12"/>
        <v>720.64</v>
      </c>
      <c r="OC89" s="153"/>
      <c r="OD89" s="108">
        <f t="shared" si="13"/>
        <v>1.6041528468459645</v>
      </c>
      <c r="OE89" s="160" t="s">
        <v>547</v>
      </c>
    </row>
    <row r="90" spans="1:395" s="5" customFormat="1" ht="12.75" customHeight="1" x14ac:dyDescent="0.25">
      <c r="A90" s="62">
        <v>44547</v>
      </c>
      <c r="B90" s="106" t="s">
        <v>388</v>
      </c>
      <c r="C90" s="129"/>
      <c r="D90" s="129"/>
      <c r="E90" s="130"/>
      <c r="F90" s="130"/>
      <c r="G90" s="130"/>
      <c r="H90" s="130"/>
      <c r="I90" s="130"/>
      <c r="J90" s="130"/>
      <c r="K90" s="130"/>
      <c r="L90" s="130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  <c r="AA90" s="131"/>
      <c r="AB90" s="131"/>
      <c r="AC90" s="131"/>
      <c r="AD90" s="131"/>
      <c r="AE90" s="131"/>
      <c r="AF90" s="131"/>
      <c r="AG90" s="131"/>
      <c r="AH90" s="131"/>
      <c r="AI90" s="131"/>
      <c r="AJ90" s="131"/>
      <c r="AK90" s="131"/>
      <c r="AL90" s="131"/>
      <c r="AM90" s="131"/>
      <c r="AN90" s="131"/>
      <c r="AO90" s="131"/>
      <c r="AP90" s="131"/>
      <c r="AQ90" s="131"/>
      <c r="AR90" s="131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1"/>
      <c r="BD90" s="131"/>
      <c r="BE90" s="131"/>
      <c r="BF90" s="131"/>
      <c r="BG90" s="131"/>
      <c r="BH90" s="131"/>
      <c r="BI90" s="131"/>
      <c r="BJ90" s="131"/>
      <c r="BK90" s="131"/>
      <c r="BL90" s="131"/>
      <c r="BM90" s="131"/>
      <c r="BN90" s="131"/>
      <c r="BO90" s="131"/>
      <c r="BP90" s="131"/>
      <c r="BQ90" s="131"/>
      <c r="BR90" s="131"/>
      <c r="BS90" s="131"/>
      <c r="BT90" s="131"/>
      <c r="BU90" s="131"/>
      <c r="BV90" s="131"/>
      <c r="BW90" s="131"/>
      <c r="BX90" s="131"/>
      <c r="BY90" s="131"/>
      <c r="BZ90" s="131"/>
      <c r="CA90" s="131"/>
      <c r="CB90" s="131"/>
      <c r="CC90" s="131"/>
      <c r="CD90" s="131"/>
      <c r="CE90" s="131"/>
      <c r="CF90" s="131"/>
      <c r="CG90" s="131"/>
      <c r="CH90" s="131"/>
      <c r="CI90" s="131"/>
      <c r="CJ90" s="131"/>
      <c r="CK90" s="131"/>
      <c r="CL90" s="131"/>
      <c r="CM90" s="131"/>
      <c r="CN90" s="131"/>
      <c r="CO90" s="131"/>
      <c r="CP90" s="131"/>
      <c r="CQ90" s="131"/>
      <c r="CR90" s="131"/>
      <c r="CS90" s="131"/>
      <c r="CT90" s="131"/>
      <c r="CU90" s="131"/>
      <c r="CV90" s="131"/>
      <c r="CW90" s="131"/>
      <c r="CX90" s="131"/>
      <c r="CY90" s="131"/>
      <c r="CZ90" s="131"/>
      <c r="DA90" s="131"/>
      <c r="DB90" s="131"/>
      <c r="DC90" s="131"/>
      <c r="DD90" s="131"/>
      <c r="DE90" s="131"/>
      <c r="DF90" s="131"/>
      <c r="DG90" s="131"/>
      <c r="DH90" s="131"/>
      <c r="DI90" s="131"/>
      <c r="DJ90" s="131"/>
      <c r="DK90" s="131"/>
      <c r="DL90" s="131"/>
      <c r="DM90" s="131"/>
      <c r="DN90" s="131"/>
      <c r="DO90" s="131"/>
      <c r="DP90" s="131"/>
      <c r="DQ90" s="131"/>
      <c r="DR90" s="131"/>
      <c r="DS90" s="131"/>
      <c r="DT90" s="131"/>
      <c r="DU90" s="131"/>
      <c r="DV90" s="131"/>
      <c r="DW90" s="131"/>
      <c r="DX90" s="131"/>
      <c r="DY90" s="131"/>
      <c r="DZ90" s="131"/>
      <c r="EA90" s="131"/>
      <c r="EB90" s="131"/>
      <c r="EC90" s="131"/>
      <c r="ED90" s="131"/>
      <c r="EE90" s="131"/>
      <c r="EF90" s="131"/>
      <c r="EG90" s="131"/>
      <c r="EH90" s="131"/>
      <c r="EI90" s="131"/>
      <c r="EJ90" s="131"/>
      <c r="EK90" s="131"/>
      <c r="EL90" s="131"/>
      <c r="EM90" s="131"/>
      <c r="EN90" s="131"/>
      <c r="EO90" s="131"/>
      <c r="EP90" s="131"/>
      <c r="EQ90" s="131"/>
      <c r="ER90" s="131"/>
      <c r="ES90" s="131"/>
      <c r="ET90" s="131"/>
      <c r="EU90" s="131"/>
      <c r="EV90" s="131"/>
      <c r="EW90" s="131"/>
      <c r="EX90" s="131"/>
      <c r="EY90" s="131"/>
      <c r="EZ90" s="131"/>
      <c r="FA90" s="131"/>
      <c r="FB90" s="131"/>
      <c r="FC90" s="131"/>
      <c r="FD90" s="131"/>
      <c r="FE90" s="131"/>
      <c r="FF90" s="131"/>
      <c r="FG90" s="131"/>
      <c r="FH90" s="131"/>
      <c r="FI90" s="131"/>
      <c r="FJ90" s="131"/>
      <c r="FK90" s="131"/>
      <c r="FL90" s="131"/>
      <c r="FM90" s="131"/>
      <c r="FN90" s="131"/>
      <c r="FO90" s="131"/>
      <c r="FP90" s="131"/>
      <c r="FQ90" s="131"/>
      <c r="FR90" s="131"/>
      <c r="FS90" s="131"/>
      <c r="FT90" s="131"/>
      <c r="FU90" s="131"/>
      <c r="FV90" s="131"/>
      <c r="FW90" s="131"/>
      <c r="FX90" s="131"/>
      <c r="FY90" s="131"/>
      <c r="FZ90" s="131"/>
      <c r="GA90" s="131"/>
      <c r="GB90" s="131"/>
      <c r="GC90" s="131"/>
      <c r="GD90" s="131"/>
      <c r="GE90" s="131"/>
      <c r="GF90" s="131"/>
      <c r="GG90" s="131"/>
      <c r="GH90" s="131"/>
      <c r="GI90" s="131"/>
      <c r="GJ90" s="131"/>
      <c r="GK90" s="131"/>
      <c r="GL90" s="131"/>
      <c r="GM90" s="131"/>
      <c r="GN90" s="131"/>
      <c r="GO90" s="131"/>
      <c r="GP90" s="131"/>
      <c r="GQ90" s="131"/>
      <c r="GR90" s="131"/>
      <c r="GS90" s="131"/>
      <c r="GT90" s="131"/>
      <c r="GU90" s="131"/>
      <c r="GV90" s="131"/>
      <c r="GW90" s="131"/>
      <c r="GX90" s="131"/>
      <c r="GY90" s="131"/>
      <c r="GZ90" s="131"/>
      <c r="HA90" s="131"/>
      <c r="HB90" s="131"/>
      <c r="HC90" s="131"/>
      <c r="HD90" s="131"/>
      <c r="HE90" s="131"/>
      <c r="HF90" s="131"/>
      <c r="HG90" s="131"/>
      <c r="HH90" s="131"/>
      <c r="HI90" s="131"/>
      <c r="HJ90" s="131"/>
      <c r="HK90" s="131"/>
      <c r="HL90" s="131"/>
      <c r="HM90" s="131"/>
      <c r="HN90" s="131"/>
      <c r="HO90" s="131"/>
      <c r="HP90" s="131"/>
      <c r="HQ90" s="131"/>
      <c r="HR90" s="131"/>
      <c r="HS90" s="131"/>
      <c r="HT90" s="131"/>
      <c r="HU90" s="131"/>
      <c r="HV90" s="131"/>
      <c r="HW90" s="131"/>
      <c r="HX90" s="131"/>
      <c r="HY90" s="131"/>
      <c r="HZ90" s="131"/>
      <c r="IA90" s="131"/>
      <c r="IB90" s="131"/>
      <c r="IC90" s="131"/>
      <c r="ID90" s="131"/>
      <c r="IE90" s="131"/>
      <c r="IF90" s="131"/>
      <c r="IG90" s="131"/>
      <c r="IH90" s="131"/>
      <c r="II90" s="131"/>
      <c r="IJ90" s="131"/>
      <c r="IK90" s="131"/>
      <c r="IL90" s="131"/>
      <c r="IM90" s="131"/>
      <c r="IN90" s="131"/>
      <c r="IO90" s="131"/>
      <c r="IP90" s="131"/>
      <c r="IQ90" s="131"/>
      <c r="IR90" s="131"/>
      <c r="IS90" s="131"/>
      <c r="IT90" s="131"/>
      <c r="IU90" s="131"/>
      <c r="IV90" s="131"/>
      <c r="IW90" s="131"/>
      <c r="IX90" s="131"/>
      <c r="IY90" s="131"/>
      <c r="IZ90" s="131"/>
      <c r="JA90" s="131"/>
      <c r="JB90" s="131"/>
      <c r="JC90" s="131"/>
      <c r="JD90" s="131"/>
      <c r="JE90" s="131"/>
      <c r="JF90" s="131"/>
      <c r="JG90" s="131"/>
      <c r="JH90" s="131"/>
      <c r="JI90" s="131"/>
      <c r="JJ90" s="131"/>
      <c r="JK90" s="131"/>
      <c r="JL90" s="131"/>
      <c r="JM90" s="131"/>
      <c r="JN90" s="131"/>
      <c r="JO90" s="131"/>
      <c r="JP90" s="131"/>
      <c r="JQ90" s="131"/>
      <c r="JR90" s="131"/>
      <c r="JS90" s="131"/>
      <c r="JT90" s="131"/>
      <c r="JU90" s="131"/>
      <c r="JV90" s="131"/>
      <c r="JW90" s="131"/>
      <c r="JX90" s="131"/>
      <c r="JY90" s="131"/>
      <c r="JZ90" s="131"/>
      <c r="KA90" s="131"/>
      <c r="KB90" s="131"/>
      <c r="KC90" s="131"/>
      <c r="KD90" s="131"/>
      <c r="KE90" s="131"/>
      <c r="KF90" s="131"/>
      <c r="KG90" s="131"/>
      <c r="KH90" s="131"/>
      <c r="KI90" s="131"/>
      <c r="KJ90" s="131"/>
      <c r="KK90" s="131"/>
      <c r="KL90" s="131"/>
      <c r="KM90" s="131"/>
      <c r="KN90" s="131"/>
      <c r="KO90" s="131"/>
      <c r="KP90" s="131"/>
      <c r="KQ90" s="131"/>
      <c r="KR90" s="131"/>
      <c r="KS90" s="131"/>
      <c r="KT90" s="131"/>
      <c r="KU90" s="131"/>
      <c r="KV90" s="131"/>
      <c r="KW90" s="131"/>
      <c r="KX90" s="131"/>
      <c r="KY90" s="131"/>
      <c r="KZ90" s="131"/>
      <c r="LA90" s="131"/>
      <c r="LB90" s="131"/>
      <c r="LC90" s="131"/>
      <c r="LD90" s="131"/>
      <c r="LE90" s="131"/>
      <c r="LF90" s="131"/>
      <c r="LG90" s="131"/>
      <c r="LH90" s="131"/>
      <c r="LI90" s="131"/>
      <c r="LJ90" s="131"/>
      <c r="LK90" s="131"/>
      <c r="LL90" s="131"/>
      <c r="LM90" s="131"/>
      <c r="LN90" s="131"/>
      <c r="LO90" s="131"/>
      <c r="LP90" s="131"/>
      <c r="LQ90" s="131"/>
      <c r="LR90" s="131"/>
      <c r="LS90" s="131"/>
      <c r="LT90" s="131"/>
      <c r="LU90" s="131"/>
      <c r="LV90" s="131"/>
      <c r="LW90" s="131"/>
      <c r="LX90" s="131"/>
      <c r="LY90" s="131"/>
      <c r="LZ90" s="131"/>
      <c r="MA90" s="131"/>
      <c r="MB90" s="131"/>
      <c r="MC90" s="131"/>
      <c r="MD90" s="131"/>
      <c r="ME90" s="131"/>
      <c r="MF90" s="131"/>
      <c r="MG90" s="131"/>
      <c r="MH90" s="131"/>
      <c r="MI90" s="131"/>
      <c r="MJ90" s="131"/>
      <c r="MK90" s="131"/>
      <c r="ML90" s="131"/>
      <c r="MM90" s="131"/>
      <c r="MN90" s="131"/>
      <c r="MO90" s="131"/>
      <c r="MP90" s="131"/>
      <c r="MQ90" s="131"/>
      <c r="MR90" s="131"/>
      <c r="MS90" s="131"/>
      <c r="MT90" s="131"/>
      <c r="MU90" s="131"/>
      <c r="MV90" s="131"/>
      <c r="MW90" s="131"/>
      <c r="MX90" s="131"/>
      <c r="MY90" s="131"/>
      <c r="MZ90" s="131"/>
      <c r="NA90" s="131"/>
      <c r="NB90" s="131"/>
      <c r="NC90" s="131"/>
      <c r="ND90" s="131"/>
      <c r="NE90" s="131"/>
      <c r="NF90" s="131"/>
      <c r="NG90" s="131"/>
      <c r="NH90" s="131"/>
      <c r="NI90" s="131"/>
      <c r="NJ90" s="131"/>
      <c r="NK90" s="131"/>
      <c r="NL90" s="131"/>
      <c r="NM90" s="131"/>
      <c r="NN90" s="131"/>
      <c r="NO90" s="131"/>
      <c r="NP90" s="131"/>
      <c r="NQ90" s="131"/>
      <c r="NR90" s="131"/>
      <c r="NS90" s="131"/>
      <c r="NT90" s="131"/>
      <c r="NU90" s="131"/>
      <c r="NV90" s="131"/>
      <c r="NW90" s="24">
        <f t="shared" si="11"/>
        <v>0</v>
      </c>
      <c r="NX90" s="56" t="s">
        <v>36</v>
      </c>
      <c r="NY90" s="127">
        <v>1514.59</v>
      </c>
      <c r="NZ90" s="78">
        <f t="shared" si="14"/>
        <v>0</v>
      </c>
      <c r="OA90" s="78">
        <v>882.68</v>
      </c>
      <c r="OB90" s="127">
        <f t="shared" si="12"/>
        <v>1514.59</v>
      </c>
      <c r="OC90" s="153"/>
      <c r="OD90" s="108">
        <f t="shared" si="13"/>
        <v>1.7158993066569992</v>
      </c>
      <c r="OE90" s="160" t="s">
        <v>548</v>
      </c>
    </row>
    <row r="91" spans="1:395" s="5" customFormat="1" ht="12.75" hidden="1" customHeight="1" x14ac:dyDescent="0.25">
      <c r="A91" s="62">
        <v>44547</v>
      </c>
      <c r="B91" s="106" t="s">
        <v>352</v>
      </c>
      <c r="C91" s="129"/>
      <c r="D91" s="129"/>
      <c r="E91" s="130"/>
      <c r="F91" s="130"/>
      <c r="G91" s="130"/>
      <c r="H91" s="130"/>
      <c r="I91" s="130"/>
      <c r="J91" s="130"/>
      <c r="K91" s="130"/>
      <c r="L91" s="130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  <c r="AA91" s="131"/>
      <c r="AB91" s="131"/>
      <c r="AC91" s="131"/>
      <c r="AD91" s="131"/>
      <c r="AE91" s="131"/>
      <c r="AF91" s="131"/>
      <c r="AG91" s="131"/>
      <c r="AH91" s="131"/>
      <c r="AI91" s="131"/>
      <c r="AJ91" s="131"/>
      <c r="AK91" s="131"/>
      <c r="AL91" s="131"/>
      <c r="AM91" s="131"/>
      <c r="AN91" s="131"/>
      <c r="AO91" s="131"/>
      <c r="AP91" s="131"/>
      <c r="AQ91" s="131"/>
      <c r="AR91" s="131"/>
      <c r="AS91" s="131"/>
      <c r="AT91" s="131"/>
      <c r="AU91" s="131"/>
      <c r="AV91" s="131"/>
      <c r="AW91" s="131"/>
      <c r="AX91" s="131"/>
      <c r="AY91" s="131"/>
      <c r="AZ91" s="131"/>
      <c r="BA91" s="131"/>
      <c r="BB91" s="131"/>
      <c r="BC91" s="131"/>
      <c r="BD91" s="131"/>
      <c r="BE91" s="131"/>
      <c r="BF91" s="131"/>
      <c r="BG91" s="131"/>
      <c r="BH91" s="131"/>
      <c r="BI91" s="131"/>
      <c r="BJ91" s="131"/>
      <c r="BK91" s="131"/>
      <c r="BL91" s="131"/>
      <c r="BM91" s="131"/>
      <c r="BN91" s="131"/>
      <c r="BO91" s="131"/>
      <c r="BP91" s="131"/>
      <c r="BQ91" s="131"/>
      <c r="BR91" s="131"/>
      <c r="BS91" s="131"/>
      <c r="BT91" s="131"/>
      <c r="BU91" s="131"/>
      <c r="BV91" s="131"/>
      <c r="BW91" s="131"/>
      <c r="BX91" s="131"/>
      <c r="BY91" s="131"/>
      <c r="BZ91" s="131"/>
      <c r="CA91" s="131"/>
      <c r="CB91" s="131"/>
      <c r="CC91" s="131"/>
      <c r="CD91" s="131"/>
      <c r="CE91" s="131"/>
      <c r="CF91" s="131"/>
      <c r="CG91" s="131"/>
      <c r="CH91" s="131"/>
      <c r="CI91" s="131"/>
      <c r="CJ91" s="131"/>
      <c r="CK91" s="131"/>
      <c r="CL91" s="131"/>
      <c r="CM91" s="131"/>
      <c r="CN91" s="131"/>
      <c r="CO91" s="131"/>
      <c r="CP91" s="131"/>
      <c r="CQ91" s="131"/>
      <c r="CR91" s="131"/>
      <c r="CS91" s="131"/>
      <c r="CT91" s="131"/>
      <c r="CU91" s="131"/>
      <c r="CV91" s="131"/>
      <c r="CW91" s="131"/>
      <c r="CX91" s="131"/>
      <c r="CY91" s="131"/>
      <c r="CZ91" s="131"/>
      <c r="DA91" s="131"/>
      <c r="DB91" s="131"/>
      <c r="DC91" s="131"/>
      <c r="DD91" s="131"/>
      <c r="DE91" s="131"/>
      <c r="DF91" s="131"/>
      <c r="DG91" s="131"/>
      <c r="DH91" s="131"/>
      <c r="DI91" s="131"/>
      <c r="DJ91" s="131"/>
      <c r="DK91" s="131"/>
      <c r="DL91" s="131"/>
      <c r="DM91" s="131"/>
      <c r="DN91" s="131"/>
      <c r="DO91" s="131"/>
      <c r="DP91" s="131"/>
      <c r="DQ91" s="131"/>
      <c r="DR91" s="131"/>
      <c r="DS91" s="131"/>
      <c r="DT91" s="131"/>
      <c r="DU91" s="131"/>
      <c r="DV91" s="131"/>
      <c r="DW91" s="131"/>
      <c r="DX91" s="131"/>
      <c r="DY91" s="131"/>
      <c r="DZ91" s="131"/>
      <c r="EA91" s="131"/>
      <c r="EB91" s="131"/>
      <c r="EC91" s="131"/>
      <c r="ED91" s="131"/>
      <c r="EE91" s="131"/>
      <c r="EF91" s="131"/>
      <c r="EG91" s="131"/>
      <c r="EH91" s="131"/>
      <c r="EI91" s="131"/>
      <c r="EJ91" s="131"/>
      <c r="EK91" s="131"/>
      <c r="EL91" s="131"/>
      <c r="EM91" s="131"/>
      <c r="EN91" s="131"/>
      <c r="EO91" s="131"/>
      <c r="EP91" s="131"/>
      <c r="EQ91" s="131"/>
      <c r="ER91" s="131"/>
      <c r="ES91" s="131"/>
      <c r="ET91" s="131"/>
      <c r="EU91" s="131"/>
      <c r="EV91" s="131"/>
      <c r="EW91" s="131"/>
      <c r="EX91" s="131"/>
      <c r="EY91" s="131"/>
      <c r="EZ91" s="131"/>
      <c r="FA91" s="131"/>
      <c r="FB91" s="131"/>
      <c r="FC91" s="131"/>
      <c r="FD91" s="131"/>
      <c r="FE91" s="131"/>
      <c r="FF91" s="131"/>
      <c r="FG91" s="131"/>
      <c r="FH91" s="131"/>
      <c r="FI91" s="131"/>
      <c r="FJ91" s="131"/>
      <c r="FK91" s="131"/>
      <c r="FL91" s="131"/>
      <c r="FM91" s="131"/>
      <c r="FN91" s="131"/>
      <c r="FO91" s="131"/>
      <c r="FP91" s="131"/>
      <c r="FQ91" s="131"/>
      <c r="FR91" s="131"/>
      <c r="FS91" s="131"/>
      <c r="FT91" s="131"/>
      <c r="FU91" s="131"/>
      <c r="FV91" s="131"/>
      <c r="FW91" s="131"/>
      <c r="FX91" s="131"/>
      <c r="FY91" s="131"/>
      <c r="FZ91" s="131"/>
      <c r="GA91" s="131"/>
      <c r="GB91" s="131"/>
      <c r="GC91" s="131"/>
      <c r="GD91" s="131"/>
      <c r="GE91" s="131"/>
      <c r="GF91" s="131"/>
      <c r="GG91" s="131"/>
      <c r="GH91" s="131"/>
      <c r="GI91" s="131"/>
      <c r="GJ91" s="131"/>
      <c r="GK91" s="131"/>
      <c r="GL91" s="131"/>
      <c r="GM91" s="131"/>
      <c r="GN91" s="131"/>
      <c r="GO91" s="131"/>
      <c r="GP91" s="131"/>
      <c r="GQ91" s="131"/>
      <c r="GR91" s="131"/>
      <c r="GS91" s="131"/>
      <c r="GT91" s="131"/>
      <c r="GU91" s="131"/>
      <c r="GV91" s="131"/>
      <c r="GW91" s="131"/>
      <c r="GX91" s="131"/>
      <c r="GY91" s="131"/>
      <c r="GZ91" s="131"/>
      <c r="HA91" s="131"/>
      <c r="HB91" s="131"/>
      <c r="HC91" s="131"/>
      <c r="HD91" s="131"/>
      <c r="HE91" s="131"/>
      <c r="HF91" s="131"/>
      <c r="HG91" s="131"/>
      <c r="HH91" s="131"/>
      <c r="HI91" s="131"/>
      <c r="HJ91" s="131"/>
      <c r="HK91" s="131"/>
      <c r="HL91" s="131"/>
      <c r="HM91" s="131"/>
      <c r="HN91" s="131"/>
      <c r="HO91" s="131"/>
      <c r="HP91" s="131"/>
      <c r="HQ91" s="131"/>
      <c r="HR91" s="131"/>
      <c r="HS91" s="131"/>
      <c r="HT91" s="131"/>
      <c r="HU91" s="131"/>
      <c r="HV91" s="131"/>
      <c r="HW91" s="131"/>
      <c r="HX91" s="131"/>
      <c r="HY91" s="131"/>
      <c r="HZ91" s="131"/>
      <c r="IA91" s="131"/>
      <c r="IB91" s="131"/>
      <c r="IC91" s="131"/>
      <c r="ID91" s="131"/>
      <c r="IE91" s="131"/>
      <c r="IF91" s="131"/>
      <c r="IG91" s="131"/>
      <c r="IH91" s="131"/>
      <c r="II91" s="131"/>
      <c r="IJ91" s="131"/>
      <c r="IK91" s="131"/>
      <c r="IL91" s="131"/>
      <c r="IM91" s="131"/>
      <c r="IN91" s="131"/>
      <c r="IO91" s="131"/>
      <c r="IP91" s="131"/>
      <c r="IQ91" s="131"/>
      <c r="IR91" s="131"/>
      <c r="IS91" s="131"/>
      <c r="IT91" s="131"/>
      <c r="IU91" s="131"/>
      <c r="IV91" s="131"/>
      <c r="IW91" s="131"/>
      <c r="IX91" s="131"/>
      <c r="IY91" s="131"/>
      <c r="IZ91" s="131"/>
      <c r="JA91" s="131"/>
      <c r="JB91" s="131"/>
      <c r="JC91" s="131"/>
      <c r="JD91" s="131"/>
      <c r="JE91" s="131"/>
      <c r="JF91" s="131"/>
      <c r="JG91" s="131"/>
      <c r="JH91" s="131"/>
      <c r="JI91" s="131"/>
      <c r="JJ91" s="131"/>
      <c r="JK91" s="131"/>
      <c r="JL91" s="131"/>
      <c r="JM91" s="131"/>
      <c r="JN91" s="131"/>
      <c r="JO91" s="131"/>
      <c r="JP91" s="131"/>
      <c r="JQ91" s="131"/>
      <c r="JR91" s="131"/>
      <c r="JS91" s="131"/>
      <c r="JT91" s="131"/>
      <c r="JU91" s="131"/>
      <c r="JV91" s="131"/>
      <c r="JW91" s="131"/>
      <c r="JX91" s="131"/>
      <c r="JY91" s="131"/>
      <c r="JZ91" s="131"/>
      <c r="KA91" s="131"/>
      <c r="KB91" s="131"/>
      <c r="KC91" s="131"/>
      <c r="KD91" s="131"/>
      <c r="KE91" s="131"/>
      <c r="KF91" s="131"/>
      <c r="KG91" s="131"/>
      <c r="KH91" s="131"/>
      <c r="KI91" s="131"/>
      <c r="KJ91" s="131"/>
      <c r="KK91" s="131"/>
      <c r="KL91" s="131"/>
      <c r="KM91" s="131"/>
      <c r="KN91" s="131"/>
      <c r="KO91" s="131"/>
      <c r="KP91" s="131"/>
      <c r="KQ91" s="131"/>
      <c r="KR91" s="131"/>
      <c r="KS91" s="131"/>
      <c r="KT91" s="131"/>
      <c r="KU91" s="131"/>
      <c r="KV91" s="131"/>
      <c r="KW91" s="131"/>
      <c r="KX91" s="131"/>
      <c r="KY91" s="131"/>
      <c r="KZ91" s="131"/>
      <c r="LA91" s="131"/>
      <c r="LB91" s="131"/>
      <c r="LC91" s="131"/>
      <c r="LD91" s="131"/>
      <c r="LE91" s="131"/>
      <c r="LF91" s="131"/>
      <c r="LG91" s="131"/>
      <c r="LH91" s="131"/>
      <c r="LI91" s="131"/>
      <c r="LJ91" s="131"/>
      <c r="LK91" s="131"/>
      <c r="LL91" s="131"/>
      <c r="LM91" s="131"/>
      <c r="LN91" s="131"/>
      <c r="LO91" s="131"/>
      <c r="LP91" s="131"/>
      <c r="LQ91" s="131"/>
      <c r="LR91" s="131"/>
      <c r="LS91" s="131"/>
      <c r="LT91" s="131"/>
      <c r="LU91" s="131"/>
      <c r="LV91" s="131"/>
      <c r="LW91" s="131"/>
      <c r="LX91" s="131"/>
      <c r="LY91" s="131"/>
      <c r="LZ91" s="131"/>
      <c r="MA91" s="131"/>
      <c r="MB91" s="131"/>
      <c r="MC91" s="131"/>
      <c r="MD91" s="131"/>
      <c r="ME91" s="131"/>
      <c r="MF91" s="131"/>
      <c r="MG91" s="131"/>
      <c r="MH91" s="131"/>
      <c r="MI91" s="131"/>
      <c r="MJ91" s="131"/>
      <c r="MK91" s="131"/>
      <c r="ML91" s="131"/>
      <c r="MM91" s="131"/>
      <c r="MN91" s="131"/>
      <c r="MO91" s="131"/>
      <c r="MP91" s="131"/>
      <c r="MQ91" s="131"/>
      <c r="MR91" s="131"/>
      <c r="MS91" s="131"/>
      <c r="MT91" s="131"/>
      <c r="MU91" s="131"/>
      <c r="MV91" s="131"/>
      <c r="MW91" s="131"/>
      <c r="MX91" s="131"/>
      <c r="MY91" s="131"/>
      <c r="MZ91" s="131"/>
      <c r="NA91" s="131"/>
      <c r="NB91" s="131"/>
      <c r="NC91" s="131"/>
      <c r="ND91" s="131"/>
      <c r="NE91" s="131"/>
      <c r="NF91" s="131"/>
      <c r="NG91" s="131"/>
      <c r="NH91" s="131"/>
      <c r="NI91" s="131"/>
      <c r="NJ91" s="131"/>
      <c r="NK91" s="131"/>
      <c r="NL91" s="131"/>
      <c r="NM91" s="131"/>
      <c r="NN91" s="131"/>
      <c r="NO91" s="131"/>
      <c r="NP91" s="131"/>
      <c r="NQ91" s="131"/>
      <c r="NR91" s="131"/>
      <c r="NS91" s="131"/>
      <c r="NT91" s="131"/>
      <c r="NU91" s="131"/>
      <c r="NV91" s="131"/>
      <c r="NW91" s="24">
        <f t="shared" si="11"/>
        <v>0</v>
      </c>
      <c r="NX91" s="56" t="s">
        <v>36</v>
      </c>
      <c r="NY91" s="127">
        <v>1494.16</v>
      </c>
      <c r="NZ91" s="78">
        <f t="shared" si="14"/>
        <v>1494.16</v>
      </c>
      <c r="OA91" s="78">
        <v>812.68500000000006</v>
      </c>
      <c r="OB91" s="127">
        <f t="shared" si="12"/>
        <v>0</v>
      </c>
      <c r="OC91" s="153">
        <v>1494.16</v>
      </c>
      <c r="OD91" s="108">
        <f t="shared" si="13"/>
        <v>1.838547530716083</v>
      </c>
      <c r="OE91" s="160" t="s">
        <v>549</v>
      </c>
    </row>
    <row r="92" spans="1:395" s="5" customFormat="1" ht="12.75" customHeight="1" x14ac:dyDescent="0.25">
      <c r="A92" s="62">
        <v>44550</v>
      </c>
      <c r="B92" s="121" t="s">
        <v>30</v>
      </c>
      <c r="C92" s="129"/>
      <c r="D92" s="129"/>
      <c r="E92" s="130"/>
      <c r="F92" s="130"/>
      <c r="G92" s="130"/>
      <c r="H92" s="130"/>
      <c r="I92" s="130"/>
      <c r="J92" s="130"/>
      <c r="K92" s="130"/>
      <c r="L92" s="130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  <c r="AH92" s="131"/>
      <c r="AI92" s="131"/>
      <c r="AJ92" s="131"/>
      <c r="AK92" s="131"/>
      <c r="AL92" s="131"/>
      <c r="AM92" s="131"/>
      <c r="AN92" s="131"/>
      <c r="AO92" s="131"/>
      <c r="AP92" s="131"/>
      <c r="AQ92" s="131"/>
      <c r="AR92" s="131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1"/>
      <c r="BD92" s="131"/>
      <c r="BE92" s="131"/>
      <c r="BF92" s="131"/>
      <c r="BG92" s="131"/>
      <c r="BH92" s="131"/>
      <c r="BI92" s="131"/>
      <c r="BJ92" s="131"/>
      <c r="BK92" s="131"/>
      <c r="BL92" s="131"/>
      <c r="BM92" s="131"/>
      <c r="BN92" s="131"/>
      <c r="BO92" s="131"/>
      <c r="BP92" s="131"/>
      <c r="BQ92" s="131"/>
      <c r="BR92" s="131"/>
      <c r="BS92" s="131"/>
      <c r="BT92" s="131"/>
      <c r="BU92" s="131"/>
      <c r="BV92" s="131"/>
      <c r="BW92" s="131"/>
      <c r="BX92" s="131"/>
      <c r="BY92" s="131"/>
      <c r="BZ92" s="131"/>
      <c r="CA92" s="131"/>
      <c r="CB92" s="131"/>
      <c r="CC92" s="131"/>
      <c r="CD92" s="131"/>
      <c r="CE92" s="131"/>
      <c r="CF92" s="131"/>
      <c r="CG92" s="131"/>
      <c r="CH92" s="131"/>
      <c r="CI92" s="131"/>
      <c r="CJ92" s="131"/>
      <c r="CK92" s="131"/>
      <c r="CL92" s="131"/>
      <c r="CM92" s="131"/>
      <c r="CN92" s="131"/>
      <c r="CO92" s="131"/>
      <c r="CP92" s="131"/>
      <c r="CQ92" s="131"/>
      <c r="CR92" s="131"/>
      <c r="CS92" s="131"/>
      <c r="CT92" s="131"/>
      <c r="CU92" s="131"/>
      <c r="CV92" s="131"/>
      <c r="CW92" s="131"/>
      <c r="CX92" s="131"/>
      <c r="CY92" s="131"/>
      <c r="CZ92" s="131"/>
      <c r="DA92" s="131"/>
      <c r="DB92" s="131"/>
      <c r="DC92" s="131"/>
      <c r="DD92" s="131"/>
      <c r="DE92" s="131"/>
      <c r="DF92" s="131"/>
      <c r="DG92" s="131"/>
      <c r="DH92" s="131"/>
      <c r="DI92" s="131"/>
      <c r="DJ92" s="131"/>
      <c r="DK92" s="131"/>
      <c r="DL92" s="131"/>
      <c r="DM92" s="131"/>
      <c r="DN92" s="131"/>
      <c r="DO92" s="131"/>
      <c r="DP92" s="131"/>
      <c r="DQ92" s="131"/>
      <c r="DR92" s="131"/>
      <c r="DS92" s="131"/>
      <c r="DT92" s="131"/>
      <c r="DU92" s="131"/>
      <c r="DV92" s="131"/>
      <c r="DW92" s="131"/>
      <c r="DX92" s="131"/>
      <c r="DY92" s="131"/>
      <c r="DZ92" s="131"/>
      <c r="EA92" s="131"/>
      <c r="EB92" s="131"/>
      <c r="EC92" s="131"/>
      <c r="ED92" s="131"/>
      <c r="EE92" s="131"/>
      <c r="EF92" s="131"/>
      <c r="EG92" s="131"/>
      <c r="EH92" s="131"/>
      <c r="EI92" s="131"/>
      <c r="EJ92" s="131"/>
      <c r="EK92" s="131"/>
      <c r="EL92" s="131"/>
      <c r="EM92" s="131"/>
      <c r="EN92" s="131"/>
      <c r="EO92" s="131"/>
      <c r="EP92" s="131"/>
      <c r="EQ92" s="131"/>
      <c r="ER92" s="131"/>
      <c r="ES92" s="131"/>
      <c r="ET92" s="131"/>
      <c r="EU92" s="131"/>
      <c r="EV92" s="131"/>
      <c r="EW92" s="131"/>
      <c r="EX92" s="131"/>
      <c r="EY92" s="131"/>
      <c r="EZ92" s="131"/>
      <c r="FA92" s="131"/>
      <c r="FB92" s="131"/>
      <c r="FC92" s="131"/>
      <c r="FD92" s="131"/>
      <c r="FE92" s="131"/>
      <c r="FF92" s="131"/>
      <c r="FG92" s="131"/>
      <c r="FH92" s="131"/>
      <c r="FI92" s="131"/>
      <c r="FJ92" s="131"/>
      <c r="FK92" s="131"/>
      <c r="FL92" s="131"/>
      <c r="FM92" s="131"/>
      <c r="FN92" s="131"/>
      <c r="FO92" s="131"/>
      <c r="FP92" s="131"/>
      <c r="FQ92" s="131"/>
      <c r="FR92" s="131"/>
      <c r="FS92" s="131"/>
      <c r="FT92" s="131"/>
      <c r="FU92" s="131"/>
      <c r="FV92" s="131"/>
      <c r="FW92" s="131"/>
      <c r="FX92" s="131"/>
      <c r="FY92" s="131"/>
      <c r="FZ92" s="131"/>
      <c r="GA92" s="131"/>
      <c r="GB92" s="131"/>
      <c r="GC92" s="131"/>
      <c r="GD92" s="131"/>
      <c r="GE92" s="131"/>
      <c r="GF92" s="131"/>
      <c r="GG92" s="131"/>
      <c r="GH92" s="131"/>
      <c r="GI92" s="131"/>
      <c r="GJ92" s="131"/>
      <c r="GK92" s="131"/>
      <c r="GL92" s="131"/>
      <c r="GM92" s="131"/>
      <c r="GN92" s="131"/>
      <c r="GO92" s="131"/>
      <c r="GP92" s="131"/>
      <c r="GQ92" s="131"/>
      <c r="GR92" s="131"/>
      <c r="GS92" s="131"/>
      <c r="GT92" s="131"/>
      <c r="GU92" s="131"/>
      <c r="GV92" s="131"/>
      <c r="GW92" s="131"/>
      <c r="GX92" s="131"/>
      <c r="GY92" s="131"/>
      <c r="GZ92" s="131"/>
      <c r="HA92" s="131"/>
      <c r="HB92" s="131"/>
      <c r="HC92" s="131"/>
      <c r="HD92" s="131"/>
      <c r="HE92" s="131"/>
      <c r="HF92" s="131"/>
      <c r="HG92" s="131"/>
      <c r="HH92" s="131"/>
      <c r="HI92" s="131"/>
      <c r="HJ92" s="131"/>
      <c r="HK92" s="131"/>
      <c r="HL92" s="131"/>
      <c r="HM92" s="131"/>
      <c r="HN92" s="131"/>
      <c r="HO92" s="131"/>
      <c r="HP92" s="131"/>
      <c r="HQ92" s="131"/>
      <c r="HR92" s="131"/>
      <c r="HS92" s="131"/>
      <c r="HT92" s="131"/>
      <c r="HU92" s="131"/>
      <c r="HV92" s="131"/>
      <c r="HW92" s="131"/>
      <c r="HX92" s="131"/>
      <c r="HY92" s="131"/>
      <c r="HZ92" s="131"/>
      <c r="IA92" s="131"/>
      <c r="IB92" s="131"/>
      <c r="IC92" s="131"/>
      <c r="ID92" s="131"/>
      <c r="IE92" s="131"/>
      <c r="IF92" s="131"/>
      <c r="IG92" s="131"/>
      <c r="IH92" s="131"/>
      <c r="II92" s="131"/>
      <c r="IJ92" s="131"/>
      <c r="IK92" s="131"/>
      <c r="IL92" s="131"/>
      <c r="IM92" s="131"/>
      <c r="IN92" s="131"/>
      <c r="IO92" s="131"/>
      <c r="IP92" s="131"/>
      <c r="IQ92" s="131"/>
      <c r="IR92" s="131"/>
      <c r="IS92" s="131"/>
      <c r="IT92" s="131"/>
      <c r="IU92" s="131"/>
      <c r="IV92" s="131"/>
      <c r="IW92" s="131"/>
      <c r="IX92" s="131"/>
      <c r="IY92" s="131"/>
      <c r="IZ92" s="131"/>
      <c r="JA92" s="131"/>
      <c r="JB92" s="131"/>
      <c r="JC92" s="131"/>
      <c r="JD92" s="131"/>
      <c r="JE92" s="131"/>
      <c r="JF92" s="131"/>
      <c r="JG92" s="131"/>
      <c r="JH92" s="131"/>
      <c r="JI92" s="131"/>
      <c r="JJ92" s="131"/>
      <c r="JK92" s="131"/>
      <c r="JL92" s="131"/>
      <c r="JM92" s="131"/>
      <c r="JN92" s="131"/>
      <c r="JO92" s="131"/>
      <c r="JP92" s="131"/>
      <c r="JQ92" s="131"/>
      <c r="JR92" s="131"/>
      <c r="JS92" s="131"/>
      <c r="JT92" s="131"/>
      <c r="JU92" s="131"/>
      <c r="JV92" s="131"/>
      <c r="JW92" s="131"/>
      <c r="JX92" s="131"/>
      <c r="JY92" s="131"/>
      <c r="JZ92" s="131"/>
      <c r="KA92" s="131"/>
      <c r="KB92" s="131"/>
      <c r="KC92" s="131"/>
      <c r="KD92" s="131"/>
      <c r="KE92" s="131"/>
      <c r="KF92" s="131"/>
      <c r="KG92" s="131"/>
      <c r="KH92" s="131"/>
      <c r="KI92" s="131"/>
      <c r="KJ92" s="131"/>
      <c r="KK92" s="131"/>
      <c r="KL92" s="131"/>
      <c r="KM92" s="131"/>
      <c r="KN92" s="131"/>
      <c r="KO92" s="131"/>
      <c r="KP92" s="131"/>
      <c r="KQ92" s="131"/>
      <c r="KR92" s="131"/>
      <c r="KS92" s="131"/>
      <c r="KT92" s="131"/>
      <c r="KU92" s="131"/>
      <c r="KV92" s="131"/>
      <c r="KW92" s="131"/>
      <c r="KX92" s="131"/>
      <c r="KY92" s="131"/>
      <c r="KZ92" s="131"/>
      <c r="LA92" s="131"/>
      <c r="LB92" s="131"/>
      <c r="LC92" s="131"/>
      <c r="LD92" s="131"/>
      <c r="LE92" s="131"/>
      <c r="LF92" s="131"/>
      <c r="LG92" s="131"/>
      <c r="LH92" s="131"/>
      <c r="LI92" s="131"/>
      <c r="LJ92" s="131"/>
      <c r="LK92" s="131"/>
      <c r="LL92" s="131"/>
      <c r="LM92" s="131"/>
      <c r="LN92" s="131"/>
      <c r="LO92" s="131"/>
      <c r="LP92" s="131"/>
      <c r="LQ92" s="131"/>
      <c r="LR92" s="131"/>
      <c r="LS92" s="131"/>
      <c r="LT92" s="131"/>
      <c r="LU92" s="131"/>
      <c r="LV92" s="131"/>
      <c r="LW92" s="131"/>
      <c r="LX92" s="131"/>
      <c r="LY92" s="131"/>
      <c r="LZ92" s="131"/>
      <c r="MA92" s="131"/>
      <c r="MB92" s="131"/>
      <c r="MC92" s="131"/>
      <c r="MD92" s="131"/>
      <c r="ME92" s="131"/>
      <c r="MF92" s="131"/>
      <c r="MG92" s="131"/>
      <c r="MH92" s="131"/>
      <c r="MI92" s="131"/>
      <c r="MJ92" s="131"/>
      <c r="MK92" s="131"/>
      <c r="ML92" s="131"/>
      <c r="MM92" s="131"/>
      <c r="MN92" s="131"/>
      <c r="MO92" s="131"/>
      <c r="MP92" s="131"/>
      <c r="MQ92" s="131"/>
      <c r="MR92" s="131"/>
      <c r="MS92" s="131"/>
      <c r="MT92" s="131"/>
      <c r="MU92" s="131"/>
      <c r="MV92" s="131"/>
      <c r="MW92" s="131"/>
      <c r="MX92" s="131"/>
      <c r="MY92" s="131"/>
      <c r="MZ92" s="131"/>
      <c r="NA92" s="131"/>
      <c r="NB92" s="131"/>
      <c r="NC92" s="131"/>
      <c r="ND92" s="131"/>
      <c r="NE92" s="131"/>
      <c r="NF92" s="131"/>
      <c r="NG92" s="131"/>
      <c r="NH92" s="131"/>
      <c r="NI92" s="131"/>
      <c r="NJ92" s="131"/>
      <c r="NK92" s="131"/>
      <c r="NL92" s="131"/>
      <c r="NM92" s="131"/>
      <c r="NN92" s="131"/>
      <c r="NO92" s="131"/>
      <c r="NP92" s="131"/>
      <c r="NQ92" s="131"/>
      <c r="NR92" s="131"/>
      <c r="NS92" s="131"/>
      <c r="NT92" s="131"/>
      <c r="NU92" s="131"/>
      <c r="NV92" s="131"/>
      <c r="NW92" s="24">
        <f t="shared" si="11"/>
        <v>0</v>
      </c>
      <c r="NX92" s="56" t="s">
        <v>36</v>
      </c>
      <c r="NY92" s="127">
        <v>12377.16</v>
      </c>
      <c r="NZ92" s="78">
        <f t="shared" si="14"/>
        <v>0</v>
      </c>
      <c r="OA92" s="78">
        <v>7980.7</v>
      </c>
      <c r="OB92" s="127">
        <f t="shared" si="12"/>
        <v>12377.16</v>
      </c>
      <c r="OC92" s="153"/>
      <c r="OD92" s="108">
        <f t="shared" si="13"/>
        <v>1.5508865137143359</v>
      </c>
      <c r="OE92" s="160">
        <v>44612</v>
      </c>
    </row>
    <row r="93" spans="1:395" s="5" customFormat="1" ht="12.75" customHeight="1" x14ac:dyDescent="0.25">
      <c r="A93" s="62">
        <v>44551</v>
      </c>
      <c r="B93" s="106" t="s">
        <v>452</v>
      </c>
      <c r="C93" s="129"/>
      <c r="D93" s="129"/>
      <c r="E93" s="130"/>
      <c r="F93" s="130"/>
      <c r="G93" s="130"/>
      <c r="H93" s="130"/>
      <c r="I93" s="130"/>
      <c r="J93" s="130"/>
      <c r="K93" s="130"/>
      <c r="L93" s="130"/>
      <c r="M93" s="131"/>
      <c r="N93" s="131"/>
      <c r="O93" s="131"/>
      <c r="P93" s="131"/>
      <c r="Q93" s="131"/>
      <c r="R93" s="131"/>
      <c r="S93" s="131"/>
      <c r="T93" s="131"/>
      <c r="U93" s="131"/>
      <c r="V93" s="131"/>
      <c r="W93" s="131"/>
      <c r="X93" s="131"/>
      <c r="Y93" s="131"/>
      <c r="Z93" s="131"/>
      <c r="AA93" s="131"/>
      <c r="AB93" s="131"/>
      <c r="AC93" s="131"/>
      <c r="AD93" s="131"/>
      <c r="AE93" s="131"/>
      <c r="AF93" s="131"/>
      <c r="AG93" s="131"/>
      <c r="AH93" s="131"/>
      <c r="AI93" s="131"/>
      <c r="AJ93" s="131"/>
      <c r="AK93" s="131"/>
      <c r="AL93" s="131"/>
      <c r="AM93" s="131"/>
      <c r="AN93" s="131"/>
      <c r="AO93" s="131"/>
      <c r="AP93" s="131"/>
      <c r="AQ93" s="131"/>
      <c r="AR93" s="131"/>
      <c r="AS93" s="131"/>
      <c r="AT93" s="131"/>
      <c r="AU93" s="131"/>
      <c r="AV93" s="131"/>
      <c r="AW93" s="131"/>
      <c r="AX93" s="131"/>
      <c r="AY93" s="131"/>
      <c r="AZ93" s="131"/>
      <c r="BA93" s="131"/>
      <c r="BB93" s="131"/>
      <c r="BC93" s="131"/>
      <c r="BD93" s="131"/>
      <c r="BE93" s="131"/>
      <c r="BF93" s="131"/>
      <c r="BG93" s="131"/>
      <c r="BH93" s="131"/>
      <c r="BI93" s="131"/>
      <c r="BJ93" s="131"/>
      <c r="BK93" s="131"/>
      <c r="BL93" s="131"/>
      <c r="BM93" s="131"/>
      <c r="BN93" s="131"/>
      <c r="BO93" s="131"/>
      <c r="BP93" s="131"/>
      <c r="BQ93" s="131"/>
      <c r="BR93" s="131"/>
      <c r="BS93" s="131"/>
      <c r="BT93" s="131"/>
      <c r="BU93" s="131"/>
      <c r="BV93" s="131"/>
      <c r="BW93" s="131"/>
      <c r="BX93" s="131"/>
      <c r="BY93" s="131"/>
      <c r="BZ93" s="131"/>
      <c r="CA93" s="131"/>
      <c r="CB93" s="131"/>
      <c r="CC93" s="131"/>
      <c r="CD93" s="131"/>
      <c r="CE93" s="131"/>
      <c r="CF93" s="131"/>
      <c r="CG93" s="131"/>
      <c r="CH93" s="131"/>
      <c r="CI93" s="131"/>
      <c r="CJ93" s="131"/>
      <c r="CK93" s="131"/>
      <c r="CL93" s="131"/>
      <c r="CM93" s="131"/>
      <c r="CN93" s="131"/>
      <c r="CO93" s="131"/>
      <c r="CP93" s="131"/>
      <c r="CQ93" s="131"/>
      <c r="CR93" s="131"/>
      <c r="CS93" s="131"/>
      <c r="CT93" s="131"/>
      <c r="CU93" s="131"/>
      <c r="CV93" s="131"/>
      <c r="CW93" s="131"/>
      <c r="CX93" s="131"/>
      <c r="CY93" s="131"/>
      <c r="CZ93" s="131"/>
      <c r="DA93" s="131"/>
      <c r="DB93" s="131"/>
      <c r="DC93" s="131"/>
      <c r="DD93" s="131"/>
      <c r="DE93" s="131"/>
      <c r="DF93" s="131"/>
      <c r="DG93" s="131"/>
      <c r="DH93" s="131"/>
      <c r="DI93" s="131"/>
      <c r="DJ93" s="131"/>
      <c r="DK93" s="131"/>
      <c r="DL93" s="131"/>
      <c r="DM93" s="131"/>
      <c r="DN93" s="131"/>
      <c r="DO93" s="131"/>
      <c r="DP93" s="131"/>
      <c r="DQ93" s="131"/>
      <c r="DR93" s="131"/>
      <c r="DS93" s="131"/>
      <c r="DT93" s="131"/>
      <c r="DU93" s="131"/>
      <c r="DV93" s="131"/>
      <c r="DW93" s="131"/>
      <c r="DX93" s="131"/>
      <c r="DY93" s="131"/>
      <c r="DZ93" s="131"/>
      <c r="EA93" s="131"/>
      <c r="EB93" s="131"/>
      <c r="EC93" s="131"/>
      <c r="ED93" s="131"/>
      <c r="EE93" s="131"/>
      <c r="EF93" s="131"/>
      <c r="EG93" s="131"/>
      <c r="EH93" s="131"/>
      <c r="EI93" s="131"/>
      <c r="EJ93" s="131"/>
      <c r="EK93" s="131"/>
      <c r="EL93" s="131"/>
      <c r="EM93" s="131"/>
      <c r="EN93" s="131"/>
      <c r="EO93" s="131"/>
      <c r="EP93" s="131"/>
      <c r="EQ93" s="131"/>
      <c r="ER93" s="131"/>
      <c r="ES93" s="131"/>
      <c r="ET93" s="131"/>
      <c r="EU93" s="131"/>
      <c r="EV93" s="131"/>
      <c r="EW93" s="131"/>
      <c r="EX93" s="131"/>
      <c r="EY93" s="131"/>
      <c r="EZ93" s="131"/>
      <c r="FA93" s="131"/>
      <c r="FB93" s="131"/>
      <c r="FC93" s="131"/>
      <c r="FD93" s="131"/>
      <c r="FE93" s="131"/>
      <c r="FF93" s="131"/>
      <c r="FG93" s="131"/>
      <c r="FH93" s="131"/>
      <c r="FI93" s="131"/>
      <c r="FJ93" s="131"/>
      <c r="FK93" s="131"/>
      <c r="FL93" s="131"/>
      <c r="FM93" s="131"/>
      <c r="FN93" s="131"/>
      <c r="FO93" s="131"/>
      <c r="FP93" s="131"/>
      <c r="FQ93" s="131"/>
      <c r="FR93" s="131"/>
      <c r="FS93" s="131"/>
      <c r="FT93" s="131"/>
      <c r="FU93" s="131"/>
      <c r="FV93" s="131"/>
      <c r="FW93" s="131"/>
      <c r="FX93" s="131"/>
      <c r="FY93" s="131"/>
      <c r="FZ93" s="131"/>
      <c r="GA93" s="131"/>
      <c r="GB93" s="131"/>
      <c r="GC93" s="131"/>
      <c r="GD93" s="131"/>
      <c r="GE93" s="131"/>
      <c r="GF93" s="131"/>
      <c r="GG93" s="131"/>
      <c r="GH93" s="131"/>
      <c r="GI93" s="131"/>
      <c r="GJ93" s="131"/>
      <c r="GK93" s="131"/>
      <c r="GL93" s="131"/>
      <c r="GM93" s="131"/>
      <c r="GN93" s="131"/>
      <c r="GO93" s="131"/>
      <c r="GP93" s="131"/>
      <c r="GQ93" s="131"/>
      <c r="GR93" s="131"/>
      <c r="GS93" s="131"/>
      <c r="GT93" s="131"/>
      <c r="GU93" s="131"/>
      <c r="GV93" s="131"/>
      <c r="GW93" s="131"/>
      <c r="GX93" s="131"/>
      <c r="GY93" s="131"/>
      <c r="GZ93" s="131"/>
      <c r="HA93" s="131"/>
      <c r="HB93" s="131"/>
      <c r="HC93" s="131"/>
      <c r="HD93" s="131"/>
      <c r="HE93" s="131"/>
      <c r="HF93" s="131"/>
      <c r="HG93" s="131"/>
      <c r="HH93" s="131"/>
      <c r="HI93" s="131"/>
      <c r="HJ93" s="131"/>
      <c r="HK93" s="131"/>
      <c r="HL93" s="131"/>
      <c r="HM93" s="131"/>
      <c r="HN93" s="131"/>
      <c r="HO93" s="131"/>
      <c r="HP93" s="131"/>
      <c r="HQ93" s="131"/>
      <c r="HR93" s="131"/>
      <c r="HS93" s="131"/>
      <c r="HT93" s="131"/>
      <c r="HU93" s="131"/>
      <c r="HV93" s="131"/>
      <c r="HW93" s="131"/>
      <c r="HX93" s="131"/>
      <c r="HY93" s="131"/>
      <c r="HZ93" s="131"/>
      <c r="IA93" s="131"/>
      <c r="IB93" s="131"/>
      <c r="IC93" s="131"/>
      <c r="ID93" s="131"/>
      <c r="IE93" s="131"/>
      <c r="IF93" s="131"/>
      <c r="IG93" s="131"/>
      <c r="IH93" s="131"/>
      <c r="II93" s="131"/>
      <c r="IJ93" s="131"/>
      <c r="IK93" s="131"/>
      <c r="IL93" s="131"/>
      <c r="IM93" s="131"/>
      <c r="IN93" s="131"/>
      <c r="IO93" s="131"/>
      <c r="IP93" s="131"/>
      <c r="IQ93" s="131"/>
      <c r="IR93" s="131"/>
      <c r="IS93" s="131"/>
      <c r="IT93" s="131"/>
      <c r="IU93" s="131"/>
      <c r="IV93" s="131"/>
      <c r="IW93" s="131"/>
      <c r="IX93" s="131"/>
      <c r="IY93" s="131"/>
      <c r="IZ93" s="131"/>
      <c r="JA93" s="131"/>
      <c r="JB93" s="131"/>
      <c r="JC93" s="131"/>
      <c r="JD93" s="131"/>
      <c r="JE93" s="131"/>
      <c r="JF93" s="131"/>
      <c r="JG93" s="131"/>
      <c r="JH93" s="131"/>
      <c r="JI93" s="131"/>
      <c r="JJ93" s="131"/>
      <c r="JK93" s="131"/>
      <c r="JL93" s="131"/>
      <c r="JM93" s="131"/>
      <c r="JN93" s="131"/>
      <c r="JO93" s="131"/>
      <c r="JP93" s="131"/>
      <c r="JQ93" s="131"/>
      <c r="JR93" s="131"/>
      <c r="JS93" s="131"/>
      <c r="JT93" s="131"/>
      <c r="JU93" s="131"/>
      <c r="JV93" s="131"/>
      <c r="JW93" s="131"/>
      <c r="JX93" s="131"/>
      <c r="JY93" s="131"/>
      <c r="JZ93" s="131"/>
      <c r="KA93" s="131"/>
      <c r="KB93" s="131"/>
      <c r="KC93" s="131"/>
      <c r="KD93" s="131"/>
      <c r="KE93" s="131"/>
      <c r="KF93" s="131"/>
      <c r="KG93" s="131"/>
      <c r="KH93" s="131"/>
      <c r="KI93" s="131"/>
      <c r="KJ93" s="131"/>
      <c r="KK93" s="131"/>
      <c r="KL93" s="131"/>
      <c r="KM93" s="131"/>
      <c r="KN93" s="131"/>
      <c r="KO93" s="131"/>
      <c r="KP93" s="131"/>
      <c r="KQ93" s="131"/>
      <c r="KR93" s="131"/>
      <c r="KS93" s="131"/>
      <c r="KT93" s="131"/>
      <c r="KU93" s="131"/>
      <c r="KV93" s="131"/>
      <c r="KW93" s="131"/>
      <c r="KX93" s="131"/>
      <c r="KY93" s="131"/>
      <c r="KZ93" s="131"/>
      <c r="LA93" s="131"/>
      <c r="LB93" s="131"/>
      <c r="LC93" s="131"/>
      <c r="LD93" s="131"/>
      <c r="LE93" s="131"/>
      <c r="LF93" s="131"/>
      <c r="LG93" s="131"/>
      <c r="LH93" s="131"/>
      <c r="LI93" s="131"/>
      <c r="LJ93" s="131"/>
      <c r="LK93" s="131"/>
      <c r="LL93" s="131"/>
      <c r="LM93" s="131"/>
      <c r="LN93" s="131"/>
      <c r="LO93" s="131"/>
      <c r="LP93" s="131"/>
      <c r="LQ93" s="131"/>
      <c r="LR93" s="131"/>
      <c r="LS93" s="131"/>
      <c r="LT93" s="131"/>
      <c r="LU93" s="131"/>
      <c r="LV93" s="131"/>
      <c r="LW93" s="131"/>
      <c r="LX93" s="131"/>
      <c r="LY93" s="131"/>
      <c r="LZ93" s="131"/>
      <c r="MA93" s="131"/>
      <c r="MB93" s="131"/>
      <c r="MC93" s="131"/>
      <c r="MD93" s="131"/>
      <c r="ME93" s="131"/>
      <c r="MF93" s="131"/>
      <c r="MG93" s="131"/>
      <c r="MH93" s="131"/>
      <c r="MI93" s="131"/>
      <c r="MJ93" s="131"/>
      <c r="MK93" s="131"/>
      <c r="ML93" s="131"/>
      <c r="MM93" s="131"/>
      <c r="MN93" s="131"/>
      <c r="MO93" s="131"/>
      <c r="MP93" s="131"/>
      <c r="MQ93" s="131"/>
      <c r="MR93" s="131"/>
      <c r="MS93" s="131"/>
      <c r="MT93" s="131"/>
      <c r="MU93" s="131"/>
      <c r="MV93" s="131"/>
      <c r="MW93" s="131"/>
      <c r="MX93" s="131"/>
      <c r="MY93" s="131"/>
      <c r="MZ93" s="131"/>
      <c r="NA93" s="131"/>
      <c r="NB93" s="131"/>
      <c r="NC93" s="131"/>
      <c r="ND93" s="131"/>
      <c r="NE93" s="131"/>
      <c r="NF93" s="131"/>
      <c r="NG93" s="131"/>
      <c r="NH93" s="131"/>
      <c r="NI93" s="131"/>
      <c r="NJ93" s="131"/>
      <c r="NK93" s="131"/>
      <c r="NL93" s="131"/>
      <c r="NM93" s="131"/>
      <c r="NN93" s="131"/>
      <c r="NO93" s="131"/>
      <c r="NP93" s="131"/>
      <c r="NQ93" s="131"/>
      <c r="NR93" s="131"/>
      <c r="NS93" s="131"/>
      <c r="NT93" s="131"/>
      <c r="NU93" s="131"/>
      <c r="NV93" s="131"/>
      <c r="NW93" s="24">
        <f t="shared" si="11"/>
        <v>0</v>
      </c>
      <c r="NX93" s="56" t="s">
        <v>36</v>
      </c>
      <c r="NY93" s="127">
        <v>1059</v>
      </c>
      <c r="NZ93" s="78">
        <f t="shared" si="14"/>
        <v>0</v>
      </c>
      <c r="OA93" s="78">
        <v>648.89</v>
      </c>
      <c r="OB93" s="127">
        <f t="shared" si="12"/>
        <v>1059</v>
      </c>
      <c r="OC93" s="153"/>
      <c r="OD93" s="108">
        <f t="shared" si="13"/>
        <v>1.6320177533942579</v>
      </c>
      <c r="OE93" s="160" t="s">
        <v>536</v>
      </c>
    </row>
    <row r="94" spans="1:395" s="5" customFormat="1" ht="12.75" hidden="1" customHeight="1" x14ac:dyDescent="0.25">
      <c r="A94" s="62">
        <v>44551</v>
      </c>
      <c r="B94" s="116" t="s">
        <v>297</v>
      </c>
      <c r="C94" s="129"/>
      <c r="D94" s="129"/>
      <c r="E94" s="130"/>
      <c r="F94" s="130"/>
      <c r="G94" s="130"/>
      <c r="H94" s="130"/>
      <c r="I94" s="130"/>
      <c r="J94" s="130"/>
      <c r="K94" s="130"/>
      <c r="L94" s="130"/>
      <c r="M94" s="131"/>
      <c r="N94" s="131"/>
      <c r="O94" s="131"/>
      <c r="P94" s="131"/>
      <c r="Q94" s="131"/>
      <c r="R94" s="131"/>
      <c r="S94" s="131"/>
      <c r="T94" s="131"/>
      <c r="U94" s="131"/>
      <c r="V94" s="131"/>
      <c r="W94" s="131"/>
      <c r="X94" s="131"/>
      <c r="Y94" s="131"/>
      <c r="Z94" s="131"/>
      <c r="AA94" s="131"/>
      <c r="AB94" s="131"/>
      <c r="AC94" s="131"/>
      <c r="AD94" s="131"/>
      <c r="AE94" s="131"/>
      <c r="AF94" s="131"/>
      <c r="AG94" s="131"/>
      <c r="AH94" s="131"/>
      <c r="AI94" s="131"/>
      <c r="AJ94" s="131"/>
      <c r="AK94" s="131"/>
      <c r="AL94" s="131"/>
      <c r="AM94" s="131"/>
      <c r="AN94" s="131"/>
      <c r="AO94" s="131"/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  <c r="AZ94" s="131"/>
      <c r="BA94" s="131"/>
      <c r="BB94" s="131"/>
      <c r="BC94" s="131"/>
      <c r="BD94" s="131"/>
      <c r="BE94" s="131"/>
      <c r="BF94" s="131"/>
      <c r="BG94" s="131"/>
      <c r="BH94" s="131"/>
      <c r="BI94" s="131"/>
      <c r="BJ94" s="131"/>
      <c r="BK94" s="131"/>
      <c r="BL94" s="131"/>
      <c r="BM94" s="131"/>
      <c r="BN94" s="131"/>
      <c r="BO94" s="131"/>
      <c r="BP94" s="131"/>
      <c r="BQ94" s="131"/>
      <c r="BR94" s="131"/>
      <c r="BS94" s="131"/>
      <c r="BT94" s="131"/>
      <c r="BU94" s="131"/>
      <c r="BV94" s="131"/>
      <c r="BW94" s="131"/>
      <c r="BX94" s="131"/>
      <c r="BY94" s="131"/>
      <c r="BZ94" s="131"/>
      <c r="CA94" s="131"/>
      <c r="CB94" s="131"/>
      <c r="CC94" s="131"/>
      <c r="CD94" s="131"/>
      <c r="CE94" s="131"/>
      <c r="CF94" s="131"/>
      <c r="CG94" s="131"/>
      <c r="CH94" s="131"/>
      <c r="CI94" s="131"/>
      <c r="CJ94" s="131"/>
      <c r="CK94" s="131"/>
      <c r="CL94" s="131"/>
      <c r="CM94" s="131"/>
      <c r="CN94" s="131"/>
      <c r="CO94" s="131"/>
      <c r="CP94" s="131"/>
      <c r="CQ94" s="131"/>
      <c r="CR94" s="131"/>
      <c r="CS94" s="131"/>
      <c r="CT94" s="131"/>
      <c r="CU94" s="131"/>
      <c r="CV94" s="131"/>
      <c r="CW94" s="131"/>
      <c r="CX94" s="131"/>
      <c r="CY94" s="131"/>
      <c r="CZ94" s="131"/>
      <c r="DA94" s="131"/>
      <c r="DB94" s="131"/>
      <c r="DC94" s="131"/>
      <c r="DD94" s="131"/>
      <c r="DE94" s="131"/>
      <c r="DF94" s="131"/>
      <c r="DG94" s="131"/>
      <c r="DH94" s="131"/>
      <c r="DI94" s="131"/>
      <c r="DJ94" s="131"/>
      <c r="DK94" s="131"/>
      <c r="DL94" s="131"/>
      <c r="DM94" s="131"/>
      <c r="DN94" s="131"/>
      <c r="DO94" s="131"/>
      <c r="DP94" s="131"/>
      <c r="DQ94" s="131"/>
      <c r="DR94" s="131"/>
      <c r="DS94" s="131"/>
      <c r="DT94" s="131"/>
      <c r="DU94" s="131"/>
      <c r="DV94" s="131"/>
      <c r="DW94" s="131"/>
      <c r="DX94" s="131"/>
      <c r="DY94" s="131"/>
      <c r="DZ94" s="131"/>
      <c r="EA94" s="131"/>
      <c r="EB94" s="131"/>
      <c r="EC94" s="131"/>
      <c r="ED94" s="131"/>
      <c r="EE94" s="131"/>
      <c r="EF94" s="131"/>
      <c r="EG94" s="131"/>
      <c r="EH94" s="131"/>
      <c r="EI94" s="131"/>
      <c r="EJ94" s="131"/>
      <c r="EK94" s="131"/>
      <c r="EL94" s="131"/>
      <c r="EM94" s="131"/>
      <c r="EN94" s="131"/>
      <c r="EO94" s="131"/>
      <c r="EP94" s="131"/>
      <c r="EQ94" s="131"/>
      <c r="ER94" s="131"/>
      <c r="ES94" s="131"/>
      <c r="ET94" s="131"/>
      <c r="EU94" s="131"/>
      <c r="EV94" s="131"/>
      <c r="EW94" s="131"/>
      <c r="EX94" s="131"/>
      <c r="EY94" s="131"/>
      <c r="EZ94" s="131"/>
      <c r="FA94" s="131"/>
      <c r="FB94" s="131"/>
      <c r="FC94" s="131"/>
      <c r="FD94" s="131"/>
      <c r="FE94" s="131"/>
      <c r="FF94" s="131"/>
      <c r="FG94" s="131"/>
      <c r="FH94" s="131"/>
      <c r="FI94" s="131"/>
      <c r="FJ94" s="131"/>
      <c r="FK94" s="131"/>
      <c r="FL94" s="131"/>
      <c r="FM94" s="131"/>
      <c r="FN94" s="131"/>
      <c r="FO94" s="131"/>
      <c r="FP94" s="131"/>
      <c r="FQ94" s="131"/>
      <c r="FR94" s="131"/>
      <c r="FS94" s="131"/>
      <c r="FT94" s="131"/>
      <c r="FU94" s="131"/>
      <c r="FV94" s="131"/>
      <c r="FW94" s="131"/>
      <c r="FX94" s="131"/>
      <c r="FY94" s="131"/>
      <c r="FZ94" s="131"/>
      <c r="GA94" s="131"/>
      <c r="GB94" s="131"/>
      <c r="GC94" s="131"/>
      <c r="GD94" s="131"/>
      <c r="GE94" s="131"/>
      <c r="GF94" s="131"/>
      <c r="GG94" s="131"/>
      <c r="GH94" s="131"/>
      <c r="GI94" s="131"/>
      <c r="GJ94" s="131"/>
      <c r="GK94" s="131"/>
      <c r="GL94" s="131"/>
      <c r="GM94" s="131"/>
      <c r="GN94" s="131"/>
      <c r="GO94" s="131"/>
      <c r="GP94" s="131"/>
      <c r="GQ94" s="131"/>
      <c r="GR94" s="131"/>
      <c r="GS94" s="131"/>
      <c r="GT94" s="131"/>
      <c r="GU94" s="131"/>
      <c r="GV94" s="131"/>
      <c r="GW94" s="131"/>
      <c r="GX94" s="131"/>
      <c r="GY94" s="131"/>
      <c r="GZ94" s="131"/>
      <c r="HA94" s="131"/>
      <c r="HB94" s="131"/>
      <c r="HC94" s="131"/>
      <c r="HD94" s="131"/>
      <c r="HE94" s="131"/>
      <c r="HF94" s="131"/>
      <c r="HG94" s="131"/>
      <c r="HH94" s="131"/>
      <c r="HI94" s="131"/>
      <c r="HJ94" s="131"/>
      <c r="HK94" s="131"/>
      <c r="HL94" s="131"/>
      <c r="HM94" s="131"/>
      <c r="HN94" s="131"/>
      <c r="HO94" s="131"/>
      <c r="HP94" s="131"/>
      <c r="HQ94" s="131"/>
      <c r="HR94" s="131"/>
      <c r="HS94" s="131"/>
      <c r="HT94" s="131"/>
      <c r="HU94" s="131"/>
      <c r="HV94" s="131"/>
      <c r="HW94" s="131"/>
      <c r="HX94" s="131"/>
      <c r="HY94" s="131"/>
      <c r="HZ94" s="131"/>
      <c r="IA94" s="131"/>
      <c r="IB94" s="131"/>
      <c r="IC94" s="131"/>
      <c r="ID94" s="131"/>
      <c r="IE94" s="131"/>
      <c r="IF94" s="131"/>
      <c r="IG94" s="131"/>
      <c r="IH94" s="131"/>
      <c r="II94" s="131"/>
      <c r="IJ94" s="131"/>
      <c r="IK94" s="131"/>
      <c r="IL94" s="131"/>
      <c r="IM94" s="131"/>
      <c r="IN94" s="131"/>
      <c r="IO94" s="131"/>
      <c r="IP94" s="131"/>
      <c r="IQ94" s="131"/>
      <c r="IR94" s="131"/>
      <c r="IS94" s="131"/>
      <c r="IT94" s="131"/>
      <c r="IU94" s="131"/>
      <c r="IV94" s="131"/>
      <c r="IW94" s="131"/>
      <c r="IX94" s="131"/>
      <c r="IY94" s="131"/>
      <c r="IZ94" s="131"/>
      <c r="JA94" s="131"/>
      <c r="JB94" s="131"/>
      <c r="JC94" s="131"/>
      <c r="JD94" s="131"/>
      <c r="JE94" s="131"/>
      <c r="JF94" s="131"/>
      <c r="JG94" s="131"/>
      <c r="JH94" s="131"/>
      <c r="JI94" s="131"/>
      <c r="JJ94" s="131"/>
      <c r="JK94" s="131"/>
      <c r="JL94" s="131"/>
      <c r="JM94" s="131"/>
      <c r="JN94" s="131"/>
      <c r="JO94" s="131"/>
      <c r="JP94" s="131"/>
      <c r="JQ94" s="131"/>
      <c r="JR94" s="131"/>
      <c r="JS94" s="131"/>
      <c r="JT94" s="131"/>
      <c r="JU94" s="131"/>
      <c r="JV94" s="131"/>
      <c r="JW94" s="131"/>
      <c r="JX94" s="131"/>
      <c r="JY94" s="131"/>
      <c r="JZ94" s="131"/>
      <c r="KA94" s="131"/>
      <c r="KB94" s="131"/>
      <c r="KC94" s="131"/>
      <c r="KD94" s="131"/>
      <c r="KE94" s="131"/>
      <c r="KF94" s="131"/>
      <c r="KG94" s="131"/>
      <c r="KH94" s="131"/>
      <c r="KI94" s="131"/>
      <c r="KJ94" s="131"/>
      <c r="KK94" s="131"/>
      <c r="KL94" s="131"/>
      <c r="KM94" s="131"/>
      <c r="KN94" s="131"/>
      <c r="KO94" s="131"/>
      <c r="KP94" s="131"/>
      <c r="KQ94" s="131"/>
      <c r="KR94" s="131"/>
      <c r="KS94" s="131"/>
      <c r="KT94" s="131"/>
      <c r="KU94" s="131"/>
      <c r="KV94" s="131"/>
      <c r="KW94" s="131"/>
      <c r="KX94" s="131"/>
      <c r="KY94" s="131"/>
      <c r="KZ94" s="131"/>
      <c r="LA94" s="131"/>
      <c r="LB94" s="131"/>
      <c r="LC94" s="131"/>
      <c r="LD94" s="131"/>
      <c r="LE94" s="131"/>
      <c r="LF94" s="131"/>
      <c r="LG94" s="131"/>
      <c r="LH94" s="131"/>
      <c r="LI94" s="131"/>
      <c r="LJ94" s="131"/>
      <c r="LK94" s="131"/>
      <c r="LL94" s="131"/>
      <c r="LM94" s="131"/>
      <c r="LN94" s="131"/>
      <c r="LO94" s="131"/>
      <c r="LP94" s="131"/>
      <c r="LQ94" s="131"/>
      <c r="LR94" s="131"/>
      <c r="LS94" s="131"/>
      <c r="LT94" s="131"/>
      <c r="LU94" s="131"/>
      <c r="LV94" s="131"/>
      <c r="LW94" s="131"/>
      <c r="LX94" s="131"/>
      <c r="LY94" s="131"/>
      <c r="LZ94" s="131"/>
      <c r="MA94" s="131"/>
      <c r="MB94" s="131"/>
      <c r="MC94" s="131"/>
      <c r="MD94" s="131"/>
      <c r="ME94" s="131"/>
      <c r="MF94" s="131"/>
      <c r="MG94" s="131"/>
      <c r="MH94" s="131"/>
      <c r="MI94" s="131"/>
      <c r="MJ94" s="131"/>
      <c r="MK94" s="131"/>
      <c r="ML94" s="131"/>
      <c r="MM94" s="131"/>
      <c r="MN94" s="131"/>
      <c r="MO94" s="131"/>
      <c r="MP94" s="131"/>
      <c r="MQ94" s="131"/>
      <c r="MR94" s="131"/>
      <c r="MS94" s="131"/>
      <c r="MT94" s="131"/>
      <c r="MU94" s="131"/>
      <c r="MV94" s="131"/>
      <c r="MW94" s="131"/>
      <c r="MX94" s="131"/>
      <c r="MY94" s="131"/>
      <c r="MZ94" s="131"/>
      <c r="NA94" s="131"/>
      <c r="NB94" s="131"/>
      <c r="NC94" s="131"/>
      <c r="ND94" s="131"/>
      <c r="NE94" s="131"/>
      <c r="NF94" s="131"/>
      <c r="NG94" s="131"/>
      <c r="NH94" s="131"/>
      <c r="NI94" s="131"/>
      <c r="NJ94" s="131"/>
      <c r="NK94" s="131"/>
      <c r="NL94" s="131"/>
      <c r="NM94" s="131"/>
      <c r="NN94" s="131"/>
      <c r="NO94" s="131"/>
      <c r="NP94" s="131"/>
      <c r="NQ94" s="131"/>
      <c r="NR94" s="131"/>
      <c r="NS94" s="131"/>
      <c r="NT94" s="131"/>
      <c r="NU94" s="131"/>
      <c r="NV94" s="131"/>
      <c r="NW94" s="24">
        <f t="shared" si="11"/>
        <v>0</v>
      </c>
      <c r="NX94" s="56" t="s">
        <v>36</v>
      </c>
      <c r="NY94" s="127">
        <v>6530.28</v>
      </c>
      <c r="NZ94" s="78">
        <f t="shared" si="14"/>
        <v>6530.28</v>
      </c>
      <c r="OA94" s="78">
        <f>4935.8/1.2</f>
        <v>4113.166666666667</v>
      </c>
      <c r="OB94" s="127">
        <f t="shared" si="12"/>
        <v>0</v>
      </c>
      <c r="OC94" s="153">
        <v>6530.28</v>
      </c>
      <c r="OD94" s="108">
        <f t="shared" si="13"/>
        <v>1.587652660156408</v>
      </c>
      <c r="OE94" s="160" t="s">
        <v>536</v>
      </c>
    </row>
    <row r="95" spans="1:395" s="5" customFormat="1" ht="12.75" customHeight="1" x14ac:dyDescent="0.25">
      <c r="A95" s="62">
        <v>44551</v>
      </c>
      <c r="B95" s="116" t="s">
        <v>81</v>
      </c>
      <c r="C95" s="129"/>
      <c r="D95" s="129"/>
      <c r="E95" s="130"/>
      <c r="F95" s="130"/>
      <c r="G95" s="130"/>
      <c r="H95" s="130"/>
      <c r="I95" s="130"/>
      <c r="J95" s="130"/>
      <c r="K95" s="130"/>
      <c r="L95" s="130"/>
      <c r="M95" s="131"/>
      <c r="N95" s="131"/>
      <c r="O95" s="131"/>
      <c r="P95" s="131"/>
      <c r="Q95" s="131"/>
      <c r="R95" s="131"/>
      <c r="S95" s="131"/>
      <c r="T95" s="131"/>
      <c r="U95" s="131"/>
      <c r="V95" s="131"/>
      <c r="W95" s="131"/>
      <c r="X95" s="131"/>
      <c r="Y95" s="131"/>
      <c r="Z95" s="131"/>
      <c r="AA95" s="131"/>
      <c r="AB95" s="131"/>
      <c r="AC95" s="131"/>
      <c r="AD95" s="131"/>
      <c r="AE95" s="131"/>
      <c r="AF95" s="131"/>
      <c r="AG95" s="131"/>
      <c r="AH95" s="131"/>
      <c r="AI95" s="131"/>
      <c r="AJ95" s="131"/>
      <c r="AK95" s="131"/>
      <c r="AL95" s="131"/>
      <c r="AM95" s="131"/>
      <c r="AN95" s="131"/>
      <c r="AO95" s="131"/>
      <c r="AP95" s="131"/>
      <c r="AQ95" s="131"/>
      <c r="AR95" s="131"/>
      <c r="AS95" s="131"/>
      <c r="AT95" s="131"/>
      <c r="AU95" s="131"/>
      <c r="AV95" s="131"/>
      <c r="AW95" s="131"/>
      <c r="AX95" s="131"/>
      <c r="AY95" s="131"/>
      <c r="AZ95" s="131"/>
      <c r="BA95" s="131"/>
      <c r="BB95" s="131"/>
      <c r="BC95" s="131"/>
      <c r="BD95" s="131"/>
      <c r="BE95" s="131"/>
      <c r="BF95" s="131"/>
      <c r="BG95" s="131"/>
      <c r="BH95" s="131"/>
      <c r="BI95" s="131"/>
      <c r="BJ95" s="131"/>
      <c r="BK95" s="131"/>
      <c r="BL95" s="131"/>
      <c r="BM95" s="131"/>
      <c r="BN95" s="131"/>
      <c r="BO95" s="131"/>
      <c r="BP95" s="131"/>
      <c r="BQ95" s="131"/>
      <c r="BR95" s="131"/>
      <c r="BS95" s="131"/>
      <c r="BT95" s="131"/>
      <c r="BU95" s="131"/>
      <c r="BV95" s="131"/>
      <c r="BW95" s="131"/>
      <c r="BX95" s="131"/>
      <c r="BY95" s="131"/>
      <c r="BZ95" s="131"/>
      <c r="CA95" s="131"/>
      <c r="CB95" s="131"/>
      <c r="CC95" s="131"/>
      <c r="CD95" s="131"/>
      <c r="CE95" s="131"/>
      <c r="CF95" s="131"/>
      <c r="CG95" s="131"/>
      <c r="CH95" s="131"/>
      <c r="CI95" s="131"/>
      <c r="CJ95" s="131"/>
      <c r="CK95" s="131"/>
      <c r="CL95" s="131"/>
      <c r="CM95" s="131"/>
      <c r="CN95" s="131"/>
      <c r="CO95" s="131"/>
      <c r="CP95" s="131"/>
      <c r="CQ95" s="131"/>
      <c r="CR95" s="131"/>
      <c r="CS95" s="131"/>
      <c r="CT95" s="131"/>
      <c r="CU95" s="131"/>
      <c r="CV95" s="131"/>
      <c r="CW95" s="131"/>
      <c r="CX95" s="131"/>
      <c r="CY95" s="131"/>
      <c r="CZ95" s="131"/>
      <c r="DA95" s="131"/>
      <c r="DB95" s="131"/>
      <c r="DC95" s="131"/>
      <c r="DD95" s="131"/>
      <c r="DE95" s="131"/>
      <c r="DF95" s="131"/>
      <c r="DG95" s="131"/>
      <c r="DH95" s="131"/>
      <c r="DI95" s="131"/>
      <c r="DJ95" s="131"/>
      <c r="DK95" s="131"/>
      <c r="DL95" s="131"/>
      <c r="DM95" s="131"/>
      <c r="DN95" s="131"/>
      <c r="DO95" s="131"/>
      <c r="DP95" s="131"/>
      <c r="DQ95" s="131"/>
      <c r="DR95" s="131"/>
      <c r="DS95" s="131"/>
      <c r="DT95" s="131"/>
      <c r="DU95" s="131"/>
      <c r="DV95" s="131"/>
      <c r="DW95" s="131"/>
      <c r="DX95" s="131"/>
      <c r="DY95" s="131"/>
      <c r="DZ95" s="131"/>
      <c r="EA95" s="131"/>
      <c r="EB95" s="131"/>
      <c r="EC95" s="131"/>
      <c r="ED95" s="131"/>
      <c r="EE95" s="131"/>
      <c r="EF95" s="131"/>
      <c r="EG95" s="131"/>
      <c r="EH95" s="131"/>
      <c r="EI95" s="131"/>
      <c r="EJ95" s="131"/>
      <c r="EK95" s="131"/>
      <c r="EL95" s="131"/>
      <c r="EM95" s="131"/>
      <c r="EN95" s="131"/>
      <c r="EO95" s="131"/>
      <c r="EP95" s="131"/>
      <c r="EQ95" s="131"/>
      <c r="ER95" s="131"/>
      <c r="ES95" s="131"/>
      <c r="ET95" s="131"/>
      <c r="EU95" s="131"/>
      <c r="EV95" s="131"/>
      <c r="EW95" s="131"/>
      <c r="EX95" s="131"/>
      <c r="EY95" s="131"/>
      <c r="EZ95" s="131"/>
      <c r="FA95" s="131"/>
      <c r="FB95" s="131"/>
      <c r="FC95" s="131"/>
      <c r="FD95" s="131"/>
      <c r="FE95" s="131"/>
      <c r="FF95" s="131"/>
      <c r="FG95" s="131"/>
      <c r="FH95" s="131"/>
      <c r="FI95" s="131"/>
      <c r="FJ95" s="131"/>
      <c r="FK95" s="131"/>
      <c r="FL95" s="131"/>
      <c r="FM95" s="131"/>
      <c r="FN95" s="131"/>
      <c r="FO95" s="131"/>
      <c r="FP95" s="131"/>
      <c r="FQ95" s="131"/>
      <c r="FR95" s="131"/>
      <c r="FS95" s="131"/>
      <c r="FT95" s="131"/>
      <c r="FU95" s="131"/>
      <c r="FV95" s="131"/>
      <c r="FW95" s="131"/>
      <c r="FX95" s="131"/>
      <c r="FY95" s="131"/>
      <c r="FZ95" s="131"/>
      <c r="GA95" s="131"/>
      <c r="GB95" s="131"/>
      <c r="GC95" s="131"/>
      <c r="GD95" s="131"/>
      <c r="GE95" s="131"/>
      <c r="GF95" s="131"/>
      <c r="GG95" s="131"/>
      <c r="GH95" s="131"/>
      <c r="GI95" s="131"/>
      <c r="GJ95" s="131"/>
      <c r="GK95" s="131"/>
      <c r="GL95" s="131"/>
      <c r="GM95" s="131"/>
      <c r="GN95" s="131"/>
      <c r="GO95" s="131"/>
      <c r="GP95" s="131"/>
      <c r="GQ95" s="131"/>
      <c r="GR95" s="131"/>
      <c r="GS95" s="131"/>
      <c r="GT95" s="131"/>
      <c r="GU95" s="131"/>
      <c r="GV95" s="131"/>
      <c r="GW95" s="131"/>
      <c r="GX95" s="131"/>
      <c r="GY95" s="131"/>
      <c r="GZ95" s="131"/>
      <c r="HA95" s="131"/>
      <c r="HB95" s="131"/>
      <c r="HC95" s="131"/>
      <c r="HD95" s="131"/>
      <c r="HE95" s="131"/>
      <c r="HF95" s="131"/>
      <c r="HG95" s="131"/>
      <c r="HH95" s="131"/>
      <c r="HI95" s="131"/>
      <c r="HJ95" s="131"/>
      <c r="HK95" s="131"/>
      <c r="HL95" s="131"/>
      <c r="HM95" s="131"/>
      <c r="HN95" s="131"/>
      <c r="HO95" s="131"/>
      <c r="HP95" s="131"/>
      <c r="HQ95" s="131"/>
      <c r="HR95" s="131"/>
      <c r="HS95" s="131"/>
      <c r="HT95" s="131"/>
      <c r="HU95" s="131"/>
      <c r="HV95" s="131"/>
      <c r="HW95" s="131"/>
      <c r="HX95" s="131"/>
      <c r="HY95" s="131"/>
      <c r="HZ95" s="131"/>
      <c r="IA95" s="131"/>
      <c r="IB95" s="131"/>
      <c r="IC95" s="131"/>
      <c r="ID95" s="131"/>
      <c r="IE95" s="131"/>
      <c r="IF95" s="131"/>
      <c r="IG95" s="131"/>
      <c r="IH95" s="131"/>
      <c r="II95" s="131"/>
      <c r="IJ95" s="131"/>
      <c r="IK95" s="131"/>
      <c r="IL95" s="131"/>
      <c r="IM95" s="131"/>
      <c r="IN95" s="131"/>
      <c r="IO95" s="131"/>
      <c r="IP95" s="131"/>
      <c r="IQ95" s="131"/>
      <c r="IR95" s="131"/>
      <c r="IS95" s="131"/>
      <c r="IT95" s="131"/>
      <c r="IU95" s="131"/>
      <c r="IV95" s="131"/>
      <c r="IW95" s="131"/>
      <c r="IX95" s="131"/>
      <c r="IY95" s="131"/>
      <c r="IZ95" s="131"/>
      <c r="JA95" s="131"/>
      <c r="JB95" s="131"/>
      <c r="JC95" s="131"/>
      <c r="JD95" s="131"/>
      <c r="JE95" s="131"/>
      <c r="JF95" s="131"/>
      <c r="JG95" s="131"/>
      <c r="JH95" s="131"/>
      <c r="JI95" s="131"/>
      <c r="JJ95" s="131"/>
      <c r="JK95" s="131"/>
      <c r="JL95" s="131"/>
      <c r="JM95" s="131"/>
      <c r="JN95" s="131"/>
      <c r="JO95" s="131"/>
      <c r="JP95" s="131"/>
      <c r="JQ95" s="131"/>
      <c r="JR95" s="131"/>
      <c r="JS95" s="131"/>
      <c r="JT95" s="131"/>
      <c r="JU95" s="131"/>
      <c r="JV95" s="131"/>
      <c r="JW95" s="131"/>
      <c r="JX95" s="131"/>
      <c r="JY95" s="131"/>
      <c r="JZ95" s="131"/>
      <c r="KA95" s="131"/>
      <c r="KB95" s="131"/>
      <c r="KC95" s="131"/>
      <c r="KD95" s="131"/>
      <c r="KE95" s="131"/>
      <c r="KF95" s="131"/>
      <c r="KG95" s="131"/>
      <c r="KH95" s="131"/>
      <c r="KI95" s="131"/>
      <c r="KJ95" s="131"/>
      <c r="KK95" s="131"/>
      <c r="KL95" s="131"/>
      <c r="KM95" s="131"/>
      <c r="KN95" s="131"/>
      <c r="KO95" s="131"/>
      <c r="KP95" s="131"/>
      <c r="KQ95" s="131"/>
      <c r="KR95" s="131"/>
      <c r="KS95" s="131"/>
      <c r="KT95" s="131"/>
      <c r="KU95" s="131"/>
      <c r="KV95" s="131"/>
      <c r="KW95" s="131"/>
      <c r="KX95" s="131"/>
      <c r="KY95" s="131"/>
      <c r="KZ95" s="131"/>
      <c r="LA95" s="131"/>
      <c r="LB95" s="131"/>
      <c r="LC95" s="131"/>
      <c r="LD95" s="131"/>
      <c r="LE95" s="131"/>
      <c r="LF95" s="131"/>
      <c r="LG95" s="131"/>
      <c r="LH95" s="131"/>
      <c r="LI95" s="131"/>
      <c r="LJ95" s="131"/>
      <c r="LK95" s="131"/>
      <c r="LL95" s="131"/>
      <c r="LM95" s="131"/>
      <c r="LN95" s="131"/>
      <c r="LO95" s="131"/>
      <c r="LP95" s="131"/>
      <c r="LQ95" s="131"/>
      <c r="LR95" s="131"/>
      <c r="LS95" s="131"/>
      <c r="LT95" s="131"/>
      <c r="LU95" s="131"/>
      <c r="LV95" s="131"/>
      <c r="LW95" s="131"/>
      <c r="LX95" s="131"/>
      <c r="LY95" s="131"/>
      <c r="LZ95" s="131"/>
      <c r="MA95" s="131"/>
      <c r="MB95" s="131"/>
      <c r="MC95" s="131"/>
      <c r="MD95" s="131"/>
      <c r="ME95" s="131"/>
      <c r="MF95" s="131"/>
      <c r="MG95" s="131"/>
      <c r="MH95" s="131"/>
      <c r="MI95" s="131"/>
      <c r="MJ95" s="131"/>
      <c r="MK95" s="131"/>
      <c r="ML95" s="131"/>
      <c r="MM95" s="131"/>
      <c r="MN95" s="131"/>
      <c r="MO95" s="131"/>
      <c r="MP95" s="131"/>
      <c r="MQ95" s="131"/>
      <c r="MR95" s="131"/>
      <c r="MS95" s="131"/>
      <c r="MT95" s="131"/>
      <c r="MU95" s="131"/>
      <c r="MV95" s="131"/>
      <c r="MW95" s="131"/>
      <c r="MX95" s="131"/>
      <c r="MY95" s="131"/>
      <c r="MZ95" s="131"/>
      <c r="NA95" s="131"/>
      <c r="NB95" s="131"/>
      <c r="NC95" s="131"/>
      <c r="ND95" s="131"/>
      <c r="NE95" s="131"/>
      <c r="NF95" s="131"/>
      <c r="NG95" s="131"/>
      <c r="NH95" s="131"/>
      <c r="NI95" s="131"/>
      <c r="NJ95" s="131"/>
      <c r="NK95" s="131"/>
      <c r="NL95" s="131"/>
      <c r="NM95" s="131"/>
      <c r="NN95" s="131"/>
      <c r="NO95" s="131"/>
      <c r="NP95" s="131"/>
      <c r="NQ95" s="131"/>
      <c r="NR95" s="131"/>
      <c r="NS95" s="131"/>
      <c r="NT95" s="131"/>
      <c r="NU95" s="131"/>
      <c r="NV95" s="131"/>
      <c r="NW95" s="24">
        <f t="shared" si="11"/>
        <v>0</v>
      </c>
      <c r="NX95" s="56" t="s">
        <v>36</v>
      </c>
      <c r="NY95" s="127">
        <v>11546.71</v>
      </c>
      <c r="NZ95" s="78">
        <f t="shared" si="14"/>
        <v>0</v>
      </c>
      <c r="OA95" s="78">
        <v>7154.92</v>
      </c>
      <c r="OB95" s="127">
        <f t="shared" si="12"/>
        <v>11546.71</v>
      </c>
      <c r="OC95" s="153"/>
      <c r="OD95" s="108">
        <f t="shared" si="13"/>
        <v>1.6138139909321136</v>
      </c>
      <c r="OE95" s="160" t="s">
        <v>536</v>
      </c>
    </row>
    <row r="96" spans="1:395" s="5" customFormat="1" ht="12.75" customHeight="1" x14ac:dyDescent="0.25">
      <c r="A96" s="62">
        <v>44553</v>
      </c>
      <c r="B96" s="116" t="s">
        <v>363</v>
      </c>
      <c r="C96" s="129"/>
      <c r="D96" s="129"/>
      <c r="E96" s="130"/>
      <c r="F96" s="130"/>
      <c r="G96" s="130"/>
      <c r="H96" s="130"/>
      <c r="I96" s="130"/>
      <c r="J96" s="130"/>
      <c r="K96" s="130"/>
      <c r="L96" s="130"/>
      <c r="M96" s="131"/>
      <c r="N96" s="131"/>
      <c r="O96" s="131"/>
      <c r="P96" s="131"/>
      <c r="Q96" s="131"/>
      <c r="R96" s="131"/>
      <c r="S96" s="131"/>
      <c r="T96" s="131"/>
      <c r="U96" s="131"/>
      <c r="V96" s="131"/>
      <c r="W96" s="131"/>
      <c r="X96" s="131"/>
      <c r="Y96" s="131"/>
      <c r="Z96" s="131"/>
      <c r="AA96" s="131"/>
      <c r="AB96" s="131"/>
      <c r="AC96" s="131"/>
      <c r="AD96" s="131"/>
      <c r="AE96" s="131"/>
      <c r="AF96" s="131"/>
      <c r="AG96" s="131"/>
      <c r="AH96" s="131"/>
      <c r="AI96" s="131"/>
      <c r="AJ96" s="131"/>
      <c r="AK96" s="131"/>
      <c r="AL96" s="131"/>
      <c r="AM96" s="131"/>
      <c r="AN96" s="131"/>
      <c r="AO96" s="131"/>
      <c r="AP96" s="131"/>
      <c r="AQ96" s="131"/>
      <c r="AR96" s="131"/>
      <c r="AS96" s="131"/>
      <c r="AT96" s="131"/>
      <c r="AU96" s="131"/>
      <c r="AV96" s="131"/>
      <c r="AW96" s="131"/>
      <c r="AX96" s="131"/>
      <c r="AY96" s="131"/>
      <c r="AZ96" s="131"/>
      <c r="BA96" s="131"/>
      <c r="BB96" s="131"/>
      <c r="BC96" s="131"/>
      <c r="BD96" s="131"/>
      <c r="BE96" s="131"/>
      <c r="BF96" s="131"/>
      <c r="BG96" s="131"/>
      <c r="BH96" s="131"/>
      <c r="BI96" s="131"/>
      <c r="BJ96" s="131"/>
      <c r="BK96" s="131"/>
      <c r="BL96" s="131"/>
      <c r="BM96" s="131"/>
      <c r="BN96" s="131"/>
      <c r="BO96" s="131"/>
      <c r="BP96" s="131"/>
      <c r="BQ96" s="131"/>
      <c r="BR96" s="131"/>
      <c r="BS96" s="131"/>
      <c r="BT96" s="131"/>
      <c r="BU96" s="131"/>
      <c r="BV96" s="131"/>
      <c r="BW96" s="131"/>
      <c r="BX96" s="131"/>
      <c r="BY96" s="131"/>
      <c r="BZ96" s="131"/>
      <c r="CA96" s="131"/>
      <c r="CB96" s="131"/>
      <c r="CC96" s="131"/>
      <c r="CD96" s="131"/>
      <c r="CE96" s="131"/>
      <c r="CF96" s="131"/>
      <c r="CG96" s="131"/>
      <c r="CH96" s="131"/>
      <c r="CI96" s="131"/>
      <c r="CJ96" s="131"/>
      <c r="CK96" s="131"/>
      <c r="CL96" s="131"/>
      <c r="CM96" s="131"/>
      <c r="CN96" s="131"/>
      <c r="CO96" s="131"/>
      <c r="CP96" s="131"/>
      <c r="CQ96" s="131"/>
      <c r="CR96" s="131"/>
      <c r="CS96" s="131"/>
      <c r="CT96" s="131"/>
      <c r="CU96" s="131"/>
      <c r="CV96" s="131"/>
      <c r="CW96" s="131"/>
      <c r="CX96" s="131"/>
      <c r="CY96" s="131"/>
      <c r="CZ96" s="131"/>
      <c r="DA96" s="131"/>
      <c r="DB96" s="131"/>
      <c r="DC96" s="131"/>
      <c r="DD96" s="131"/>
      <c r="DE96" s="131"/>
      <c r="DF96" s="131"/>
      <c r="DG96" s="131"/>
      <c r="DH96" s="131"/>
      <c r="DI96" s="131"/>
      <c r="DJ96" s="131"/>
      <c r="DK96" s="131"/>
      <c r="DL96" s="131"/>
      <c r="DM96" s="131"/>
      <c r="DN96" s="131"/>
      <c r="DO96" s="131"/>
      <c r="DP96" s="131"/>
      <c r="DQ96" s="131"/>
      <c r="DR96" s="131"/>
      <c r="DS96" s="131"/>
      <c r="DT96" s="131"/>
      <c r="DU96" s="131"/>
      <c r="DV96" s="131"/>
      <c r="DW96" s="131"/>
      <c r="DX96" s="131"/>
      <c r="DY96" s="131"/>
      <c r="DZ96" s="131"/>
      <c r="EA96" s="131"/>
      <c r="EB96" s="131"/>
      <c r="EC96" s="131"/>
      <c r="ED96" s="131"/>
      <c r="EE96" s="131"/>
      <c r="EF96" s="131"/>
      <c r="EG96" s="131"/>
      <c r="EH96" s="131"/>
      <c r="EI96" s="131"/>
      <c r="EJ96" s="131"/>
      <c r="EK96" s="131"/>
      <c r="EL96" s="131"/>
      <c r="EM96" s="131"/>
      <c r="EN96" s="131"/>
      <c r="EO96" s="131"/>
      <c r="EP96" s="131"/>
      <c r="EQ96" s="131"/>
      <c r="ER96" s="131"/>
      <c r="ES96" s="131"/>
      <c r="ET96" s="131"/>
      <c r="EU96" s="131"/>
      <c r="EV96" s="131"/>
      <c r="EW96" s="131"/>
      <c r="EX96" s="131"/>
      <c r="EY96" s="131"/>
      <c r="EZ96" s="131"/>
      <c r="FA96" s="131"/>
      <c r="FB96" s="131"/>
      <c r="FC96" s="131"/>
      <c r="FD96" s="131"/>
      <c r="FE96" s="131"/>
      <c r="FF96" s="131"/>
      <c r="FG96" s="131"/>
      <c r="FH96" s="131"/>
      <c r="FI96" s="131"/>
      <c r="FJ96" s="131"/>
      <c r="FK96" s="131"/>
      <c r="FL96" s="131"/>
      <c r="FM96" s="131"/>
      <c r="FN96" s="131"/>
      <c r="FO96" s="131"/>
      <c r="FP96" s="131"/>
      <c r="FQ96" s="131"/>
      <c r="FR96" s="131"/>
      <c r="FS96" s="131"/>
      <c r="FT96" s="131"/>
      <c r="FU96" s="131"/>
      <c r="FV96" s="131"/>
      <c r="FW96" s="131"/>
      <c r="FX96" s="131"/>
      <c r="FY96" s="131"/>
      <c r="FZ96" s="131"/>
      <c r="GA96" s="131"/>
      <c r="GB96" s="131"/>
      <c r="GC96" s="131"/>
      <c r="GD96" s="131"/>
      <c r="GE96" s="131"/>
      <c r="GF96" s="131"/>
      <c r="GG96" s="131"/>
      <c r="GH96" s="131"/>
      <c r="GI96" s="131"/>
      <c r="GJ96" s="131"/>
      <c r="GK96" s="131"/>
      <c r="GL96" s="131"/>
      <c r="GM96" s="131"/>
      <c r="GN96" s="131"/>
      <c r="GO96" s="131"/>
      <c r="GP96" s="131"/>
      <c r="GQ96" s="131"/>
      <c r="GR96" s="131"/>
      <c r="GS96" s="131"/>
      <c r="GT96" s="131"/>
      <c r="GU96" s="131"/>
      <c r="GV96" s="131"/>
      <c r="GW96" s="131"/>
      <c r="GX96" s="131"/>
      <c r="GY96" s="131"/>
      <c r="GZ96" s="131"/>
      <c r="HA96" s="131"/>
      <c r="HB96" s="131"/>
      <c r="HC96" s="131"/>
      <c r="HD96" s="131"/>
      <c r="HE96" s="131"/>
      <c r="HF96" s="131"/>
      <c r="HG96" s="131"/>
      <c r="HH96" s="131"/>
      <c r="HI96" s="131"/>
      <c r="HJ96" s="131"/>
      <c r="HK96" s="131"/>
      <c r="HL96" s="131"/>
      <c r="HM96" s="131"/>
      <c r="HN96" s="131"/>
      <c r="HO96" s="131"/>
      <c r="HP96" s="131"/>
      <c r="HQ96" s="131"/>
      <c r="HR96" s="131"/>
      <c r="HS96" s="131"/>
      <c r="HT96" s="131"/>
      <c r="HU96" s="131"/>
      <c r="HV96" s="131"/>
      <c r="HW96" s="131"/>
      <c r="HX96" s="131"/>
      <c r="HY96" s="131"/>
      <c r="HZ96" s="131"/>
      <c r="IA96" s="131"/>
      <c r="IB96" s="131"/>
      <c r="IC96" s="131"/>
      <c r="ID96" s="131"/>
      <c r="IE96" s="131"/>
      <c r="IF96" s="131"/>
      <c r="IG96" s="131"/>
      <c r="IH96" s="131"/>
      <c r="II96" s="131"/>
      <c r="IJ96" s="131"/>
      <c r="IK96" s="131"/>
      <c r="IL96" s="131"/>
      <c r="IM96" s="131"/>
      <c r="IN96" s="131"/>
      <c r="IO96" s="131"/>
      <c r="IP96" s="131"/>
      <c r="IQ96" s="131"/>
      <c r="IR96" s="131"/>
      <c r="IS96" s="131"/>
      <c r="IT96" s="131"/>
      <c r="IU96" s="131"/>
      <c r="IV96" s="131"/>
      <c r="IW96" s="131"/>
      <c r="IX96" s="131"/>
      <c r="IY96" s="131"/>
      <c r="IZ96" s="131"/>
      <c r="JA96" s="131"/>
      <c r="JB96" s="131"/>
      <c r="JC96" s="131"/>
      <c r="JD96" s="131"/>
      <c r="JE96" s="131"/>
      <c r="JF96" s="131"/>
      <c r="JG96" s="131"/>
      <c r="JH96" s="131"/>
      <c r="JI96" s="131"/>
      <c r="JJ96" s="131"/>
      <c r="JK96" s="131"/>
      <c r="JL96" s="131"/>
      <c r="JM96" s="131"/>
      <c r="JN96" s="131"/>
      <c r="JO96" s="131"/>
      <c r="JP96" s="131"/>
      <c r="JQ96" s="131"/>
      <c r="JR96" s="131"/>
      <c r="JS96" s="131"/>
      <c r="JT96" s="131"/>
      <c r="JU96" s="131"/>
      <c r="JV96" s="131"/>
      <c r="JW96" s="131"/>
      <c r="JX96" s="131"/>
      <c r="JY96" s="131"/>
      <c r="JZ96" s="131"/>
      <c r="KA96" s="131"/>
      <c r="KB96" s="131"/>
      <c r="KC96" s="131"/>
      <c r="KD96" s="131"/>
      <c r="KE96" s="131"/>
      <c r="KF96" s="131"/>
      <c r="KG96" s="131"/>
      <c r="KH96" s="131"/>
      <c r="KI96" s="131"/>
      <c r="KJ96" s="131"/>
      <c r="KK96" s="131"/>
      <c r="KL96" s="131"/>
      <c r="KM96" s="131"/>
      <c r="KN96" s="131"/>
      <c r="KO96" s="131"/>
      <c r="KP96" s="131"/>
      <c r="KQ96" s="131"/>
      <c r="KR96" s="131"/>
      <c r="KS96" s="131"/>
      <c r="KT96" s="131"/>
      <c r="KU96" s="131"/>
      <c r="KV96" s="131"/>
      <c r="KW96" s="131"/>
      <c r="KX96" s="131"/>
      <c r="KY96" s="131"/>
      <c r="KZ96" s="131"/>
      <c r="LA96" s="131"/>
      <c r="LB96" s="131"/>
      <c r="LC96" s="131"/>
      <c r="LD96" s="131"/>
      <c r="LE96" s="131"/>
      <c r="LF96" s="131"/>
      <c r="LG96" s="131"/>
      <c r="LH96" s="131"/>
      <c r="LI96" s="131"/>
      <c r="LJ96" s="131"/>
      <c r="LK96" s="131"/>
      <c r="LL96" s="131"/>
      <c r="LM96" s="131"/>
      <c r="LN96" s="131"/>
      <c r="LO96" s="131"/>
      <c r="LP96" s="131"/>
      <c r="LQ96" s="131"/>
      <c r="LR96" s="131"/>
      <c r="LS96" s="131"/>
      <c r="LT96" s="131"/>
      <c r="LU96" s="131"/>
      <c r="LV96" s="131"/>
      <c r="LW96" s="131"/>
      <c r="LX96" s="131"/>
      <c r="LY96" s="131"/>
      <c r="LZ96" s="131"/>
      <c r="MA96" s="131"/>
      <c r="MB96" s="131"/>
      <c r="MC96" s="131"/>
      <c r="MD96" s="131"/>
      <c r="ME96" s="131"/>
      <c r="MF96" s="131"/>
      <c r="MG96" s="131"/>
      <c r="MH96" s="131"/>
      <c r="MI96" s="131"/>
      <c r="MJ96" s="131"/>
      <c r="MK96" s="131"/>
      <c r="ML96" s="131"/>
      <c r="MM96" s="131"/>
      <c r="MN96" s="131"/>
      <c r="MO96" s="131"/>
      <c r="MP96" s="131"/>
      <c r="MQ96" s="131"/>
      <c r="MR96" s="131"/>
      <c r="MS96" s="131"/>
      <c r="MT96" s="131"/>
      <c r="MU96" s="131"/>
      <c r="MV96" s="131"/>
      <c r="MW96" s="131"/>
      <c r="MX96" s="131"/>
      <c r="MY96" s="131"/>
      <c r="MZ96" s="131"/>
      <c r="NA96" s="131"/>
      <c r="NB96" s="131"/>
      <c r="NC96" s="131"/>
      <c r="ND96" s="131"/>
      <c r="NE96" s="131"/>
      <c r="NF96" s="131"/>
      <c r="NG96" s="131"/>
      <c r="NH96" s="131"/>
      <c r="NI96" s="131"/>
      <c r="NJ96" s="131"/>
      <c r="NK96" s="131"/>
      <c r="NL96" s="131"/>
      <c r="NM96" s="131"/>
      <c r="NN96" s="131"/>
      <c r="NO96" s="131"/>
      <c r="NP96" s="131"/>
      <c r="NQ96" s="131"/>
      <c r="NR96" s="131"/>
      <c r="NS96" s="131"/>
      <c r="NT96" s="131"/>
      <c r="NU96" s="131"/>
      <c r="NV96" s="131"/>
      <c r="NW96" s="24">
        <f t="shared" si="11"/>
        <v>0</v>
      </c>
      <c r="NX96" s="56" t="s">
        <v>36</v>
      </c>
      <c r="NY96" s="127">
        <v>71.040000000000006</v>
      </c>
      <c r="NZ96" s="78">
        <f t="shared" si="14"/>
        <v>0</v>
      </c>
      <c r="OA96" s="78">
        <v>45.11</v>
      </c>
      <c r="OB96" s="127">
        <f t="shared" si="12"/>
        <v>71.040000000000006</v>
      </c>
      <c r="OC96" s="153"/>
      <c r="OD96" s="108">
        <f t="shared" si="13"/>
        <v>1.5748171137220131</v>
      </c>
      <c r="OE96" s="160" t="s">
        <v>509</v>
      </c>
    </row>
    <row r="97" spans="1:395" s="5" customFormat="1" ht="12.75" customHeight="1" x14ac:dyDescent="0.25">
      <c r="A97" s="62">
        <v>44553</v>
      </c>
      <c r="B97" s="106" t="s">
        <v>202</v>
      </c>
      <c r="C97" s="129"/>
      <c r="D97" s="129"/>
      <c r="E97" s="130"/>
      <c r="F97" s="130"/>
      <c r="G97" s="130"/>
      <c r="H97" s="130"/>
      <c r="I97" s="130"/>
      <c r="J97" s="130"/>
      <c r="K97" s="130"/>
      <c r="L97" s="130"/>
      <c r="M97" s="131"/>
      <c r="N97" s="131"/>
      <c r="O97" s="131"/>
      <c r="P97" s="131"/>
      <c r="Q97" s="131"/>
      <c r="R97" s="131"/>
      <c r="S97" s="131"/>
      <c r="T97" s="131"/>
      <c r="U97" s="131"/>
      <c r="V97" s="131"/>
      <c r="W97" s="131"/>
      <c r="X97" s="131"/>
      <c r="Y97" s="131"/>
      <c r="Z97" s="131"/>
      <c r="AA97" s="131"/>
      <c r="AB97" s="131"/>
      <c r="AC97" s="131"/>
      <c r="AD97" s="131"/>
      <c r="AE97" s="131"/>
      <c r="AF97" s="131"/>
      <c r="AG97" s="131"/>
      <c r="AH97" s="131"/>
      <c r="AI97" s="131"/>
      <c r="AJ97" s="131"/>
      <c r="AK97" s="131"/>
      <c r="AL97" s="131"/>
      <c r="AM97" s="131"/>
      <c r="AN97" s="131"/>
      <c r="AO97" s="131"/>
      <c r="AP97" s="131"/>
      <c r="AQ97" s="131"/>
      <c r="AR97" s="131"/>
      <c r="AS97" s="131"/>
      <c r="AT97" s="131"/>
      <c r="AU97" s="131"/>
      <c r="AV97" s="131"/>
      <c r="AW97" s="131"/>
      <c r="AX97" s="131"/>
      <c r="AY97" s="131"/>
      <c r="AZ97" s="131"/>
      <c r="BA97" s="131"/>
      <c r="BB97" s="131"/>
      <c r="BC97" s="131"/>
      <c r="BD97" s="131"/>
      <c r="BE97" s="131"/>
      <c r="BF97" s="131"/>
      <c r="BG97" s="131"/>
      <c r="BH97" s="131"/>
      <c r="BI97" s="131"/>
      <c r="BJ97" s="131"/>
      <c r="BK97" s="131"/>
      <c r="BL97" s="131"/>
      <c r="BM97" s="131"/>
      <c r="BN97" s="131"/>
      <c r="BO97" s="131"/>
      <c r="BP97" s="131"/>
      <c r="BQ97" s="131"/>
      <c r="BR97" s="131"/>
      <c r="BS97" s="131"/>
      <c r="BT97" s="131"/>
      <c r="BU97" s="131"/>
      <c r="BV97" s="131"/>
      <c r="BW97" s="131"/>
      <c r="BX97" s="131"/>
      <c r="BY97" s="131"/>
      <c r="BZ97" s="131"/>
      <c r="CA97" s="131"/>
      <c r="CB97" s="131"/>
      <c r="CC97" s="131"/>
      <c r="CD97" s="131"/>
      <c r="CE97" s="131"/>
      <c r="CF97" s="131"/>
      <c r="CG97" s="131"/>
      <c r="CH97" s="131"/>
      <c r="CI97" s="131"/>
      <c r="CJ97" s="131"/>
      <c r="CK97" s="131"/>
      <c r="CL97" s="131"/>
      <c r="CM97" s="131"/>
      <c r="CN97" s="131"/>
      <c r="CO97" s="131"/>
      <c r="CP97" s="131"/>
      <c r="CQ97" s="131"/>
      <c r="CR97" s="131"/>
      <c r="CS97" s="131"/>
      <c r="CT97" s="131"/>
      <c r="CU97" s="131"/>
      <c r="CV97" s="131"/>
      <c r="CW97" s="131"/>
      <c r="CX97" s="131"/>
      <c r="CY97" s="131"/>
      <c r="CZ97" s="131"/>
      <c r="DA97" s="131"/>
      <c r="DB97" s="131"/>
      <c r="DC97" s="131"/>
      <c r="DD97" s="131"/>
      <c r="DE97" s="131"/>
      <c r="DF97" s="131"/>
      <c r="DG97" s="131"/>
      <c r="DH97" s="131"/>
      <c r="DI97" s="131"/>
      <c r="DJ97" s="131"/>
      <c r="DK97" s="131"/>
      <c r="DL97" s="131"/>
      <c r="DM97" s="131"/>
      <c r="DN97" s="131"/>
      <c r="DO97" s="131"/>
      <c r="DP97" s="131"/>
      <c r="DQ97" s="131"/>
      <c r="DR97" s="131"/>
      <c r="DS97" s="131"/>
      <c r="DT97" s="131"/>
      <c r="DU97" s="131"/>
      <c r="DV97" s="131"/>
      <c r="DW97" s="131"/>
      <c r="DX97" s="131"/>
      <c r="DY97" s="131"/>
      <c r="DZ97" s="131"/>
      <c r="EA97" s="131"/>
      <c r="EB97" s="131"/>
      <c r="EC97" s="131"/>
      <c r="ED97" s="131"/>
      <c r="EE97" s="131"/>
      <c r="EF97" s="131"/>
      <c r="EG97" s="131"/>
      <c r="EH97" s="131"/>
      <c r="EI97" s="131"/>
      <c r="EJ97" s="131"/>
      <c r="EK97" s="131"/>
      <c r="EL97" s="131"/>
      <c r="EM97" s="131"/>
      <c r="EN97" s="131"/>
      <c r="EO97" s="131"/>
      <c r="EP97" s="131"/>
      <c r="EQ97" s="131"/>
      <c r="ER97" s="131"/>
      <c r="ES97" s="131"/>
      <c r="ET97" s="131"/>
      <c r="EU97" s="131"/>
      <c r="EV97" s="131"/>
      <c r="EW97" s="131"/>
      <c r="EX97" s="131"/>
      <c r="EY97" s="131"/>
      <c r="EZ97" s="131"/>
      <c r="FA97" s="131"/>
      <c r="FB97" s="131"/>
      <c r="FC97" s="131"/>
      <c r="FD97" s="131"/>
      <c r="FE97" s="131"/>
      <c r="FF97" s="131"/>
      <c r="FG97" s="131"/>
      <c r="FH97" s="131"/>
      <c r="FI97" s="131"/>
      <c r="FJ97" s="131"/>
      <c r="FK97" s="131"/>
      <c r="FL97" s="131"/>
      <c r="FM97" s="131"/>
      <c r="FN97" s="131"/>
      <c r="FO97" s="131"/>
      <c r="FP97" s="131"/>
      <c r="FQ97" s="131"/>
      <c r="FR97" s="131"/>
      <c r="FS97" s="131"/>
      <c r="FT97" s="131"/>
      <c r="FU97" s="131"/>
      <c r="FV97" s="131"/>
      <c r="FW97" s="131"/>
      <c r="FX97" s="131"/>
      <c r="FY97" s="131"/>
      <c r="FZ97" s="131"/>
      <c r="GA97" s="131"/>
      <c r="GB97" s="131"/>
      <c r="GC97" s="131"/>
      <c r="GD97" s="131"/>
      <c r="GE97" s="131"/>
      <c r="GF97" s="131"/>
      <c r="GG97" s="131"/>
      <c r="GH97" s="131"/>
      <c r="GI97" s="131"/>
      <c r="GJ97" s="131"/>
      <c r="GK97" s="131"/>
      <c r="GL97" s="131"/>
      <c r="GM97" s="131"/>
      <c r="GN97" s="131"/>
      <c r="GO97" s="131"/>
      <c r="GP97" s="131"/>
      <c r="GQ97" s="131"/>
      <c r="GR97" s="131"/>
      <c r="GS97" s="131"/>
      <c r="GT97" s="131"/>
      <c r="GU97" s="131"/>
      <c r="GV97" s="131"/>
      <c r="GW97" s="131"/>
      <c r="GX97" s="131"/>
      <c r="GY97" s="131"/>
      <c r="GZ97" s="131"/>
      <c r="HA97" s="131"/>
      <c r="HB97" s="131"/>
      <c r="HC97" s="131"/>
      <c r="HD97" s="131"/>
      <c r="HE97" s="131"/>
      <c r="HF97" s="131"/>
      <c r="HG97" s="131"/>
      <c r="HH97" s="131"/>
      <c r="HI97" s="131"/>
      <c r="HJ97" s="131"/>
      <c r="HK97" s="131"/>
      <c r="HL97" s="131"/>
      <c r="HM97" s="131"/>
      <c r="HN97" s="131"/>
      <c r="HO97" s="131"/>
      <c r="HP97" s="131"/>
      <c r="HQ97" s="131"/>
      <c r="HR97" s="131"/>
      <c r="HS97" s="131"/>
      <c r="HT97" s="131"/>
      <c r="HU97" s="131"/>
      <c r="HV97" s="131"/>
      <c r="HW97" s="131"/>
      <c r="HX97" s="131"/>
      <c r="HY97" s="131"/>
      <c r="HZ97" s="131"/>
      <c r="IA97" s="131"/>
      <c r="IB97" s="131"/>
      <c r="IC97" s="131"/>
      <c r="ID97" s="131"/>
      <c r="IE97" s="131"/>
      <c r="IF97" s="131"/>
      <c r="IG97" s="131"/>
      <c r="IH97" s="131"/>
      <c r="II97" s="131"/>
      <c r="IJ97" s="131"/>
      <c r="IK97" s="131"/>
      <c r="IL97" s="131"/>
      <c r="IM97" s="131"/>
      <c r="IN97" s="131"/>
      <c r="IO97" s="131"/>
      <c r="IP97" s="131"/>
      <c r="IQ97" s="131"/>
      <c r="IR97" s="131"/>
      <c r="IS97" s="131"/>
      <c r="IT97" s="131"/>
      <c r="IU97" s="131"/>
      <c r="IV97" s="131"/>
      <c r="IW97" s="131"/>
      <c r="IX97" s="131"/>
      <c r="IY97" s="131"/>
      <c r="IZ97" s="131"/>
      <c r="JA97" s="131"/>
      <c r="JB97" s="131"/>
      <c r="JC97" s="131"/>
      <c r="JD97" s="131"/>
      <c r="JE97" s="131"/>
      <c r="JF97" s="131"/>
      <c r="JG97" s="131"/>
      <c r="JH97" s="131"/>
      <c r="JI97" s="131"/>
      <c r="JJ97" s="131"/>
      <c r="JK97" s="131"/>
      <c r="JL97" s="131"/>
      <c r="JM97" s="131"/>
      <c r="JN97" s="131"/>
      <c r="JO97" s="131"/>
      <c r="JP97" s="131"/>
      <c r="JQ97" s="131"/>
      <c r="JR97" s="131"/>
      <c r="JS97" s="131"/>
      <c r="JT97" s="131"/>
      <c r="JU97" s="131"/>
      <c r="JV97" s="131"/>
      <c r="JW97" s="131"/>
      <c r="JX97" s="131"/>
      <c r="JY97" s="131"/>
      <c r="JZ97" s="131"/>
      <c r="KA97" s="131"/>
      <c r="KB97" s="131"/>
      <c r="KC97" s="131"/>
      <c r="KD97" s="131"/>
      <c r="KE97" s="131"/>
      <c r="KF97" s="131"/>
      <c r="KG97" s="131"/>
      <c r="KH97" s="131"/>
      <c r="KI97" s="131"/>
      <c r="KJ97" s="131"/>
      <c r="KK97" s="131"/>
      <c r="KL97" s="131"/>
      <c r="KM97" s="131"/>
      <c r="KN97" s="131"/>
      <c r="KO97" s="131"/>
      <c r="KP97" s="131"/>
      <c r="KQ97" s="131"/>
      <c r="KR97" s="131"/>
      <c r="KS97" s="131"/>
      <c r="KT97" s="131"/>
      <c r="KU97" s="131"/>
      <c r="KV97" s="131"/>
      <c r="KW97" s="131"/>
      <c r="KX97" s="131"/>
      <c r="KY97" s="131"/>
      <c r="KZ97" s="131"/>
      <c r="LA97" s="131"/>
      <c r="LB97" s="131"/>
      <c r="LC97" s="131"/>
      <c r="LD97" s="131"/>
      <c r="LE97" s="131"/>
      <c r="LF97" s="131"/>
      <c r="LG97" s="131"/>
      <c r="LH97" s="131"/>
      <c r="LI97" s="131"/>
      <c r="LJ97" s="131"/>
      <c r="LK97" s="131"/>
      <c r="LL97" s="131"/>
      <c r="LM97" s="131"/>
      <c r="LN97" s="131"/>
      <c r="LO97" s="131"/>
      <c r="LP97" s="131"/>
      <c r="LQ97" s="131"/>
      <c r="LR97" s="131"/>
      <c r="LS97" s="131"/>
      <c r="LT97" s="131"/>
      <c r="LU97" s="131"/>
      <c r="LV97" s="131"/>
      <c r="LW97" s="131"/>
      <c r="LX97" s="131"/>
      <c r="LY97" s="131"/>
      <c r="LZ97" s="131"/>
      <c r="MA97" s="131"/>
      <c r="MB97" s="131"/>
      <c r="MC97" s="131"/>
      <c r="MD97" s="131"/>
      <c r="ME97" s="131"/>
      <c r="MF97" s="131"/>
      <c r="MG97" s="131"/>
      <c r="MH97" s="131"/>
      <c r="MI97" s="131"/>
      <c r="MJ97" s="131"/>
      <c r="MK97" s="131"/>
      <c r="ML97" s="131"/>
      <c r="MM97" s="131"/>
      <c r="MN97" s="131"/>
      <c r="MO97" s="131"/>
      <c r="MP97" s="131"/>
      <c r="MQ97" s="131"/>
      <c r="MR97" s="131"/>
      <c r="MS97" s="131"/>
      <c r="MT97" s="131"/>
      <c r="MU97" s="131"/>
      <c r="MV97" s="131"/>
      <c r="MW97" s="131"/>
      <c r="MX97" s="131"/>
      <c r="MY97" s="131"/>
      <c r="MZ97" s="131"/>
      <c r="NA97" s="131"/>
      <c r="NB97" s="131"/>
      <c r="NC97" s="131"/>
      <c r="ND97" s="131"/>
      <c r="NE97" s="131"/>
      <c r="NF97" s="131"/>
      <c r="NG97" s="131"/>
      <c r="NH97" s="131"/>
      <c r="NI97" s="131"/>
      <c r="NJ97" s="131"/>
      <c r="NK97" s="131"/>
      <c r="NL97" s="131"/>
      <c r="NM97" s="131"/>
      <c r="NN97" s="131"/>
      <c r="NO97" s="131"/>
      <c r="NP97" s="131"/>
      <c r="NQ97" s="131"/>
      <c r="NR97" s="131"/>
      <c r="NS97" s="131"/>
      <c r="NT97" s="131"/>
      <c r="NU97" s="131"/>
      <c r="NV97" s="131"/>
      <c r="NW97" s="24">
        <f t="shared" si="11"/>
        <v>0</v>
      </c>
      <c r="NX97" s="56" t="s">
        <v>36</v>
      </c>
      <c r="NY97" s="127">
        <v>1657.33</v>
      </c>
      <c r="NZ97" s="78">
        <f t="shared" si="14"/>
        <v>0</v>
      </c>
      <c r="OA97" s="78">
        <v>1025.4000000000001</v>
      </c>
      <c r="OB97" s="127">
        <f t="shared" si="12"/>
        <v>1657.33</v>
      </c>
      <c r="OC97" s="153"/>
      <c r="OD97" s="108">
        <f t="shared" si="13"/>
        <v>1.6162765749951236</v>
      </c>
      <c r="OE97" s="160" t="s">
        <v>554</v>
      </c>
    </row>
    <row r="98" spans="1:395" s="5" customFormat="1" ht="12.75" customHeight="1" x14ac:dyDescent="0.25">
      <c r="A98" s="62">
        <v>44554</v>
      </c>
      <c r="B98" s="116" t="s">
        <v>265</v>
      </c>
      <c r="C98" s="129"/>
      <c r="D98" s="129"/>
      <c r="E98" s="130"/>
      <c r="F98" s="130"/>
      <c r="G98" s="130"/>
      <c r="H98" s="130"/>
      <c r="I98" s="130"/>
      <c r="J98" s="130"/>
      <c r="K98" s="130"/>
      <c r="L98" s="130"/>
      <c r="M98" s="131"/>
      <c r="N98" s="131"/>
      <c r="O98" s="131"/>
      <c r="P98" s="131"/>
      <c r="Q98" s="131"/>
      <c r="R98" s="131"/>
      <c r="S98" s="131"/>
      <c r="T98" s="131"/>
      <c r="U98" s="131"/>
      <c r="V98" s="131"/>
      <c r="W98" s="131"/>
      <c r="X98" s="131"/>
      <c r="Y98" s="131"/>
      <c r="Z98" s="131"/>
      <c r="AA98" s="131"/>
      <c r="AB98" s="131"/>
      <c r="AC98" s="131"/>
      <c r="AD98" s="131"/>
      <c r="AE98" s="131"/>
      <c r="AF98" s="131"/>
      <c r="AG98" s="131"/>
      <c r="AH98" s="131"/>
      <c r="AI98" s="131"/>
      <c r="AJ98" s="131"/>
      <c r="AK98" s="131"/>
      <c r="AL98" s="131"/>
      <c r="AM98" s="131"/>
      <c r="AN98" s="131"/>
      <c r="AO98" s="131"/>
      <c r="AP98" s="131"/>
      <c r="AQ98" s="131"/>
      <c r="AR98" s="131"/>
      <c r="AS98" s="131"/>
      <c r="AT98" s="131"/>
      <c r="AU98" s="131"/>
      <c r="AV98" s="131"/>
      <c r="AW98" s="131"/>
      <c r="AX98" s="131"/>
      <c r="AY98" s="131"/>
      <c r="AZ98" s="131"/>
      <c r="BA98" s="131"/>
      <c r="BB98" s="131"/>
      <c r="BC98" s="131"/>
      <c r="BD98" s="131"/>
      <c r="BE98" s="131"/>
      <c r="BF98" s="131"/>
      <c r="BG98" s="131"/>
      <c r="BH98" s="131"/>
      <c r="BI98" s="131"/>
      <c r="BJ98" s="131"/>
      <c r="BK98" s="131"/>
      <c r="BL98" s="131"/>
      <c r="BM98" s="131"/>
      <c r="BN98" s="131"/>
      <c r="BO98" s="131"/>
      <c r="BP98" s="131"/>
      <c r="BQ98" s="131"/>
      <c r="BR98" s="131"/>
      <c r="BS98" s="131"/>
      <c r="BT98" s="131"/>
      <c r="BU98" s="131"/>
      <c r="BV98" s="131"/>
      <c r="BW98" s="131"/>
      <c r="BX98" s="131"/>
      <c r="BY98" s="131"/>
      <c r="BZ98" s="131"/>
      <c r="CA98" s="131"/>
      <c r="CB98" s="131"/>
      <c r="CC98" s="131"/>
      <c r="CD98" s="131"/>
      <c r="CE98" s="131"/>
      <c r="CF98" s="131"/>
      <c r="CG98" s="131"/>
      <c r="CH98" s="131"/>
      <c r="CI98" s="131"/>
      <c r="CJ98" s="131"/>
      <c r="CK98" s="131"/>
      <c r="CL98" s="131"/>
      <c r="CM98" s="131"/>
      <c r="CN98" s="131"/>
      <c r="CO98" s="131"/>
      <c r="CP98" s="131"/>
      <c r="CQ98" s="131"/>
      <c r="CR98" s="131"/>
      <c r="CS98" s="131"/>
      <c r="CT98" s="131"/>
      <c r="CU98" s="131"/>
      <c r="CV98" s="131"/>
      <c r="CW98" s="131"/>
      <c r="CX98" s="131"/>
      <c r="CY98" s="131"/>
      <c r="CZ98" s="131"/>
      <c r="DA98" s="131"/>
      <c r="DB98" s="131"/>
      <c r="DC98" s="131"/>
      <c r="DD98" s="131"/>
      <c r="DE98" s="131"/>
      <c r="DF98" s="131"/>
      <c r="DG98" s="131"/>
      <c r="DH98" s="131"/>
      <c r="DI98" s="131"/>
      <c r="DJ98" s="131"/>
      <c r="DK98" s="131"/>
      <c r="DL98" s="131"/>
      <c r="DM98" s="131"/>
      <c r="DN98" s="131"/>
      <c r="DO98" s="131"/>
      <c r="DP98" s="131"/>
      <c r="DQ98" s="131"/>
      <c r="DR98" s="131"/>
      <c r="DS98" s="131"/>
      <c r="DT98" s="131"/>
      <c r="DU98" s="131"/>
      <c r="DV98" s="131"/>
      <c r="DW98" s="131"/>
      <c r="DX98" s="131"/>
      <c r="DY98" s="131"/>
      <c r="DZ98" s="131"/>
      <c r="EA98" s="131"/>
      <c r="EB98" s="131"/>
      <c r="EC98" s="131"/>
      <c r="ED98" s="131"/>
      <c r="EE98" s="131"/>
      <c r="EF98" s="131"/>
      <c r="EG98" s="131"/>
      <c r="EH98" s="131"/>
      <c r="EI98" s="131"/>
      <c r="EJ98" s="131"/>
      <c r="EK98" s="131"/>
      <c r="EL98" s="131"/>
      <c r="EM98" s="131"/>
      <c r="EN98" s="131"/>
      <c r="EO98" s="131"/>
      <c r="EP98" s="131"/>
      <c r="EQ98" s="131"/>
      <c r="ER98" s="131"/>
      <c r="ES98" s="131"/>
      <c r="ET98" s="131"/>
      <c r="EU98" s="131"/>
      <c r="EV98" s="131"/>
      <c r="EW98" s="131"/>
      <c r="EX98" s="131"/>
      <c r="EY98" s="131"/>
      <c r="EZ98" s="131"/>
      <c r="FA98" s="131"/>
      <c r="FB98" s="131"/>
      <c r="FC98" s="131"/>
      <c r="FD98" s="131"/>
      <c r="FE98" s="131"/>
      <c r="FF98" s="131"/>
      <c r="FG98" s="131"/>
      <c r="FH98" s="131"/>
      <c r="FI98" s="131"/>
      <c r="FJ98" s="131"/>
      <c r="FK98" s="131"/>
      <c r="FL98" s="131"/>
      <c r="FM98" s="131"/>
      <c r="FN98" s="131"/>
      <c r="FO98" s="131"/>
      <c r="FP98" s="131"/>
      <c r="FQ98" s="131"/>
      <c r="FR98" s="131"/>
      <c r="FS98" s="131"/>
      <c r="FT98" s="131"/>
      <c r="FU98" s="131"/>
      <c r="FV98" s="131"/>
      <c r="FW98" s="131"/>
      <c r="FX98" s="131"/>
      <c r="FY98" s="131"/>
      <c r="FZ98" s="131"/>
      <c r="GA98" s="131"/>
      <c r="GB98" s="131"/>
      <c r="GC98" s="131"/>
      <c r="GD98" s="131"/>
      <c r="GE98" s="131"/>
      <c r="GF98" s="131"/>
      <c r="GG98" s="131"/>
      <c r="GH98" s="131"/>
      <c r="GI98" s="131"/>
      <c r="GJ98" s="131"/>
      <c r="GK98" s="131"/>
      <c r="GL98" s="131"/>
      <c r="GM98" s="131"/>
      <c r="GN98" s="131"/>
      <c r="GO98" s="131"/>
      <c r="GP98" s="131"/>
      <c r="GQ98" s="131"/>
      <c r="GR98" s="131"/>
      <c r="GS98" s="131"/>
      <c r="GT98" s="131"/>
      <c r="GU98" s="131"/>
      <c r="GV98" s="131"/>
      <c r="GW98" s="131"/>
      <c r="GX98" s="131"/>
      <c r="GY98" s="131"/>
      <c r="GZ98" s="131"/>
      <c r="HA98" s="131"/>
      <c r="HB98" s="131"/>
      <c r="HC98" s="131"/>
      <c r="HD98" s="131"/>
      <c r="HE98" s="131"/>
      <c r="HF98" s="131"/>
      <c r="HG98" s="131"/>
      <c r="HH98" s="131"/>
      <c r="HI98" s="131"/>
      <c r="HJ98" s="131"/>
      <c r="HK98" s="131"/>
      <c r="HL98" s="131"/>
      <c r="HM98" s="131"/>
      <c r="HN98" s="131"/>
      <c r="HO98" s="131"/>
      <c r="HP98" s="131"/>
      <c r="HQ98" s="131"/>
      <c r="HR98" s="131"/>
      <c r="HS98" s="131"/>
      <c r="HT98" s="131"/>
      <c r="HU98" s="131"/>
      <c r="HV98" s="131"/>
      <c r="HW98" s="131"/>
      <c r="HX98" s="131"/>
      <c r="HY98" s="131"/>
      <c r="HZ98" s="131"/>
      <c r="IA98" s="131"/>
      <c r="IB98" s="131"/>
      <c r="IC98" s="131"/>
      <c r="ID98" s="131"/>
      <c r="IE98" s="131"/>
      <c r="IF98" s="131"/>
      <c r="IG98" s="131"/>
      <c r="IH98" s="131"/>
      <c r="II98" s="131"/>
      <c r="IJ98" s="131"/>
      <c r="IK98" s="131"/>
      <c r="IL98" s="131"/>
      <c r="IM98" s="131"/>
      <c r="IN98" s="131"/>
      <c r="IO98" s="131"/>
      <c r="IP98" s="131"/>
      <c r="IQ98" s="131"/>
      <c r="IR98" s="131"/>
      <c r="IS98" s="131"/>
      <c r="IT98" s="131"/>
      <c r="IU98" s="131"/>
      <c r="IV98" s="131"/>
      <c r="IW98" s="131"/>
      <c r="IX98" s="131"/>
      <c r="IY98" s="131"/>
      <c r="IZ98" s="131"/>
      <c r="JA98" s="131"/>
      <c r="JB98" s="131"/>
      <c r="JC98" s="131"/>
      <c r="JD98" s="131"/>
      <c r="JE98" s="131"/>
      <c r="JF98" s="131"/>
      <c r="JG98" s="131"/>
      <c r="JH98" s="131"/>
      <c r="JI98" s="131"/>
      <c r="JJ98" s="131"/>
      <c r="JK98" s="131"/>
      <c r="JL98" s="131"/>
      <c r="JM98" s="131"/>
      <c r="JN98" s="131"/>
      <c r="JO98" s="131"/>
      <c r="JP98" s="131"/>
      <c r="JQ98" s="131"/>
      <c r="JR98" s="131"/>
      <c r="JS98" s="131"/>
      <c r="JT98" s="131"/>
      <c r="JU98" s="131"/>
      <c r="JV98" s="131"/>
      <c r="JW98" s="131"/>
      <c r="JX98" s="131"/>
      <c r="JY98" s="131"/>
      <c r="JZ98" s="131"/>
      <c r="KA98" s="131"/>
      <c r="KB98" s="131"/>
      <c r="KC98" s="131"/>
      <c r="KD98" s="131"/>
      <c r="KE98" s="131"/>
      <c r="KF98" s="131"/>
      <c r="KG98" s="131"/>
      <c r="KH98" s="131"/>
      <c r="KI98" s="131"/>
      <c r="KJ98" s="131"/>
      <c r="KK98" s="131"/>
      <c r="KL98" s="131"/>
      <c r="KM98" s="131"/>
      <c r="KN98" s="131"/>
      <c r="KO98" s="131"/>
      <c r="KP98" s="131"/>
      <c r="KQ98" s="131"/>
      <c r="KR98" s="131"/>
      <c r="KS98" s="131"/>
      <c r="KT98" s="131"/>
      <c r="KU98" s="131"/>
      <c r="KV98" s="131"/>
      <c r="KW98" s="131"/>
      <c r="KX98" s="131"/>
      <c r="KY98" s="131"/>
      <c r="KZ98" s="131"/>
      <c r="LA98" s="131"/>
      <c r="LB98" s="131"/>
      <c r="LC98" s="131"/>
      <c r="LD98" s="131"/>
      <c r="LE98" s="131"/>
      <c r="LF98" s="131"/>
      <c r="LG98" s="131"/>
      <c r="LH98" s="131"/>
      <c r="LI98" s="131"/>
      <c r="LJ98" s="131"/>
      <c r="LK98" s="131"/>
      <c r="LL98" s="131"/>
      <c r="LM98" s="131"/>
      <c r="LN98" s="131"/>
      <c r="LO98" s="131"/>
      <c r="LP98" s="131"/>
      <c r="LQ98" s="131"/>
      <c r="LR98" s="131"/>
      <c r="LS98" s="131"/>
      <c r="LT98" s="131"/>
      <c r="LU98" s="131"/>
      <c r="LV98" s="131"/>
      <c r="LW98" s="131"/>
      <c r="LX98" s="131"/>
      <c r="LY98" s="131"/>
      <c r="LZ98" s="131"/>
      <c r="MA98" s="131"/>
      <c r="MB98" s="131"/>
      <c r="MC98" s="131"/>
      <c r="MD98" s="131"/>
      <c r="ME98" s="131"/>
      <c r="MF98" s="131"/>
      <c r="MG98" s="131"/>
      <c r="MH98" s="131"/>
      <c r="MI98" s="131"/>
      <c r="MJ98" s="131"/>
      <c r="MK98" s="131"/>
      <c r="ML98" s="131"/>
      <c r="MM98" s="131"/>
      <c r="MN98" s="131"/>
      <c r="MO98" s="131"/>
      <c r="MP98" s="131"/>
      <c r="MQ98" s="131"/>
      <c r="MR98" s="131"/>
      <c r="MS98" s="131"/>
      <c r="MT98" s="131"/>
      <c r="MU98" s="131"/>
      <c r="MV98" s="131"/>
      <c r="MW98" s="131"/>
      <c r="MX98" s="131"/>
      <c r="MY98" s="131"/>
      <c r="MZ98" s="131"/>
      <c r="NA98" s="131"/>
      <c r="NB98" s="131"/>
      <c r="NC98" s="131"/>
      <c r="ND98" s="131"/>
      <c r="NE98" s="131"/>
      <c r="NF98" s="131"/>
      <c r="NG98" s="131"/>
      <c r="NH98" s="131"/>
      <c r="NI98" s="131"/>
      <c r="NJ98" s="131"/>
      <c r="NK98" s="131"/>
      <c r="NL98" s="131"/>
      <c r="NM98" s="131"/>
      <c r="NN98" s="131"/>
      <c r="NO98" s="131"/>
      <c r="NP98" s="131"/>
      <c r="NQ98" s="131"/>
      <c r="NR98" s="131"/>
      <c r="NS98" s="131"/>
      <c r="NT98" s="131"/>
      <c r="NU98" s="131"/>
      <c r="NV98" s="131"/>
      <c r="NW98" s="24">
        <f t="shared" si="11"/>
        <v>0</v>
      </c>
      <c r="NX98" s="56" t="s">
        <v>36</v>
      </c>
      <c r="NY98" s="127">
        <v>128.75</v>
      </c>
      <c r="NZ98" s="78">
        <f t="shared" si="14"/>
        <v>0</v>
      </c>
      <c r="OA98" s="78">
        <v>77.3</v>
      </c>
      <c r="OB98" s="127">
        <f t="shared" si="12"/>
        <v>128.75</v>
      </c>
      <c r="OC98" s="153"/>
      <c r="OD98" s="108">
        <f t="shared" ref="OD98:OD177" si="15">NY98/OA98</f>
        <v>1.6655886157826649</v>
      </c>
      <c r="OE98" s="160" t="s">
        <v>525</v>
      </c>
    </row>
    <row r="99" spans="1:395" s="5" customFormat="1" ht="12.75" customHeight="1" x14ac:dyDescent="0.25">
      <c r="A99" s="62">
        <v>44557</v>
      </c>
      <c r="B99" s="116" t="s">
        <v>363</v>
      </c>
      <c r="C99" s="129"/>
      <c r="D99" s="129"/>
      <c r="E99" s="130"/>
      <c r="F99" s="130"/>
      <c r="G99" s="130"/>
      <c r="H99" s="130"/>
      <c r="I99" s="130"/>
      <c r="J99" s="130"/>
      <c r="K99" s="130"/>
      <c r="L99" s="130"/>
      <c r="M99" s="131"/>
      <c r="N99" s="131"/>
      <c r="O99" s="131"/>
      <c r="P99" s="131"/>
      <c r="Q99" s="131"/>
      <c r="R99" s="131"/>
      <c r="S99" s="131"/>
      <c r="T99" s="131"/>
      <c r="U99" s="131"/>
      <c r="V99" s="131"/>
      <c r="W99" s="131"/>
      <c r="X99" s="131"/>
      <c r="Y99" s="131"/>
      <c r="Z99" s="131"/>
      <c r="AA99" s="131"/>
      <c r="AB99" s="131"/>
      <c r="AC99" s="131"/>
      <c r="AD99" s="131"/>
      <c r="AE99" s="131"/>
      <c r="AF99" s="131"/>
      <c r="AG99" s="131"/>
      <c r="AH99" s="131"/>
      <c r="AI99" s="131"/>
      <c r="AJ99" s="131"/>
      <c r="AK99" s="131"/>
      <c r="AL99" s="131"/>
      <c r="AM99" s="131"/>
      <c r="AN99" s="131"/>
      <c r="AO99" s="131"/>
      <c r="AP99" s="131"/>
      <c r="AQ99" s="131"/>
      <c r="AR99" s="131"/>
      <c r="AS99" s="131"/>
      <c r="AT99" s="131"/>
      <c r="AU99" s="131"/>
      <c r="AV99" s="131"/>
      <c r="AW99" s="131"/>
      <c r="AX99" s="131"/>
      <c r="AY99" s="131"/>
      <c r="AZ99" s="131"/>
      <c r="BA99" s="131"/>
      <c r="BB99" s="131"/>
      <c r="BC99" s="131"/>
      <c r="BD99" s="131"/>
      <c r="BE99" s="131"/>
      <c r="BF99" s="131"/>
      <c r="BG99" s="131"/>
      <c r="BH99" s="131"/>
      <c r="BI99" s="131"/>
      <c r="BJ99" s="131"/>
      <c r="BK99" s="131"/>
      <c r="BL99" s="131"/>
      <c r="BM99" s="131"/>
      <c r="BN99" s="131"/>
      <c r="BO99" s="131"/>
      <c r="BP99" s="131"/>
      <c r="BQ99" s="131"/>
      <c r="BR99" s="131"/>
      <c r="BS99" s="131"/>
      <c r="BT99" s="131"/>
      <c r="BU99" s="131"/>
      <c r="BV99" s="131"/>
      <c r="BW99" s="131"/>
      <c r="BX99" s="131"/>
      <c r="BY99" s="131"/>
      <c r="BZ99" s="131"/>
      <c r="CA99" s="131"/>
      <c r="CB99" s="131"/>
      <c r="CC99" s="131"/>
      <c r="CD99" s="131"/>
      <c r="CE99" s="131"/>
      <c r="CF99" s="131"/>
      <c r="CG99" s="131"/>
      <c r="CH99" s="131"/>
      <c r="CI99" s="131"/>
      <c r="CJ99" s="131"/>
      <c r="CK99" s="131"/>
      <c r="CL99" s="131"/>
      <c r="CM99" s="131"/>
      <c r="CN99" s="131"/>
      <c r="CO99" s="131"/>
      <c r="CP99" s="131"/>
      <c r="CQ99" s="131"/>
      <c r="CR99" s="131"/>
      <c r="CS99" s="131"/>
      <c r="CT99" s="131"/>
      <c r="CU99" s="131"/>
      <c r="CV99" s="131"/>
      <c r="CW99" s="131"/>
      <c r="CX99" s="131"/>
      <c r="CY99" s="131"/>
      <c r="CZ99" s="131"/>
      <c r="DA99" s="131"/>
      <c r="DB99" s="131"/>
      <c r="DC99" s="131"/>
      <c r="DD99" s="131"/>
      <c r="DE99" s="131"/>
      <c r="DF99" s="131"/>
      <c r="DG99" s="131"/>
      <c r="DH99" s="131"/>
      <c r="DI99" s="131"/>
      <c r="DJ99" s="131"/>
      <c r="DK99" s="131"/>
      <c r="DL99" s="131"/>
      <c r="DM99" s="131"/>
      <c r="DN99" s="131"/>
      <c r="DO99" s="131"/>
      <c r="DP99" s="131"/>
      <c r="DQ99" s="131"/>
      <c r="DR99" s="131"/>
      <c r="DS99" s="131"/>
      <c r="DT99" s="131"/>
      <c r="DU99" s="131"/>
      <c r="DV99" s="131"/>
      <c r="DW99" s="131"/>
      <c r="DX99" s="131"/>
      <c r="DY99" s="131"/>
      <c r="DZ99" s="131"/>
      <c r="EA99" s="131"/>
      <c r="EB99" s="131"/>
      <c r="EC99" s="131"/>
      <c r="ED99" s="131"/>
      <c r="EE99" s="131"/>
      <c r="EF99" s="131"/>
      <c r="EG99" s="131"/>
      <c r="EH99" s="131"/>
      <c r="EI99" s="131"/>
      <c r="EJ99" s="131"/>
      <c r="EK99" s="131"/>
      <c r="EL99" s="131"/>
      <c r="EM99" s="131"/>
      <c r="EN99" s="131"/>
      <c r="EO99" s="131"/>
      <c r="EP99" s="131"/>
      <c r="EQ99" s="131"/>
      <c r="ER99" s="131"/>
      <c r="ES99" s="131"/>
      <c r="ET99" s="131"/>
      <c r="EU99" s="131"/>
      <c r="EV99" s="131"/>
      <c r="EW99" s="131"/>
      <c r="EX99" s="131"/>
      <c r="EY99" s="131"/>
      <c r="EZ99" s="131"/>
      <c r="FA99" s="131"/>
      <c r="FB99" s="131"/>
      <c r="FC99" s="131"/>
      <c r="FD99" s="131"/>
      <c r="FE99" s="131"/>
      <c r="FF99" s="131"/>
      <c r="FG99" s="131"/>
      <c r="FH99" s="131"/>
      <c r="FI99" s="131"/>
      <c r="FJ99" s="131"/>
      <c r="FK99" s="131"/>
      <c r="FL99" s="131"/>
      <c r="FM99" s="131"/>
      <c r="FN99" s="131"/>
      <c r="FO99" s="131"/>
      <c r="FP99" s="131"/>
      <c r="FQ99" s="131"/>
      <c r="FR99" s="131"/>
      <c r="FS99" s="131"/>
      <c r="FT99" s="131"/>
      <c r="FU99" s="131"/>
      <c r="FV99" s="131"/>
      <c r="FW99" s="131"/>
      <c r="FX99" s="131"/>
      <c r="FY99" s="131"/>
      <c r="FZ99" s="131"/>
      <c r="GA99" s="131"/>
      <c r="GB99" s="131"/>
      <c r="GC99" s="131"/>
      <c r="GD99" s="131"/>
      <c r="GE99" s="131"/>
      <c r="GF99" s="131"/>
      <c r="GG99" s="131"/>
      <c r="GH99" s="131"/>
      <c r="GI99" s="131"/>
      <c r="GJ99" s="131"/>
      <c r="GK99" s="131"/>
      <c r="GL99" s="131"/>
      <c r="GM99" s="131"/>
      <c r="GN99" s="131"/>
      <c r="GO99" s="131"/>
      <c r="GP99" s="131"/>
      <c r="GQ99" s="131"/>
      <c r="GR99" s="131"/>
      <c r="GS99" s="131"/>
      <c r="GT99" s="131"/>
      <c r="GU99" s="131"/>
      <c r="GV99" s="131"/>
      <c r="GW99" s="131"/>
      <c r="GX99" s="131"/>
      <c r="GY99" s="131"/>
      <c r="GZ99" s="131"/>
      <c r="HA99" s="131"/>
      <c r="HB99" s="131"/>
      <c r="HC99" s="131"/>
      <c r="HD99" s="131"/>
      <c r="HE99" s="131"/>
      <c r="HF99" s="131"/>
      <c r="HG99" s="131"/>
      <c r="HH99" s="131"/>
      <c r="HI99" s="131"/>
      <c r="HJ99" s="131"/>
      <c r="HK99" s="131"/>
      <c r="HL99" s="131"/>
      <c r="HM99" s="131"/>
      <c r="HN99" s="131"/>
      <c r="HO99" s="131"/>
      <c r="HP99" s="131"/>
      <c r="HQ99" s="131"/>
      <c r="HR99" s="131"/>
      <c r="HS99" s="131"/>
      <c r="HT99" s="131"/>
      <c r="HU99" s="131"/>
      <c r="HV99" s="131"/>
      <c r="HW99" s="131"/>
      <c r="HX99" s="131"/>
      <c r="HY99" s="131"/>
      <c r="HZ99" s="131"/>
      <c r="IA99" s="131"/>
      <c r="IB99" s="131"/>
      <c r="IC99" s="131"/>
      <c r="ID99" s="131"/>
      <c r="IE99" s="131"/>
      <c r="IF99" s="131"/>
      <c r="IG99" s="131"/>
      <c r="IH99" s="131"/>
      <c r="II99" s="131"/>
      <c r="IJ99" s="131"/>
      <c r="IK99" s="131"/>
      <c r="IL99" s="131"/>
      <c r="IM99" s="131"/>
      <c r="IN99" s="131"/>
      <c r="IO99" s="131"/>
      <c r="IP99" s="131"/>
      <c r="IQ99" s="131"/>
      <c r="IR99" s="131"/>
      <c r="IS99" s="131"/>
      <c r="IT99" s="131"/>
      <c r="IU99" s="131"/>
      <c r="IV99" s="131"/>
      <c r="IW99" s="131"/>
      <c r="IX99" s="131"/>
      <c r="IY99" s="131"/>
      <c r="IZ99" s="131"/>
      <c r="JA99" s="131"/>
      <c r="JB99" s="131"/>
      <c r="JC99" s="131"/>
      <c r="JD99" s="131"/>
      <c r="JE99" s="131"/>
      <c r="JF99" s="131"/>
      <c r="JG99" s="131"/>
      <c r="JH99" s="131"/>
      <c r="JI99" s="131"/>
      <c r="JJ99" s="131"/>
      <c r="JK99" s="131"/>
      <c r="JL99" s="131"/>
      <c r="JM99" s="131"/>
      <c r="JN99" s="131"/>
      <c r="JO99" s="131"/>
      <c r="JP99" s="131"/>
      <c r="JQ99" s="131"/>
      <c r="JR99" s="131"/>
      <c r="JS99" s="131"/>
      <c r="JT99" s="131"/>
      <c r="JU99" s="131"/>
      <c r="JV99" s="131"/>
      <c r="JW99" s="131"/>
      <c r="JX99" s="131"/>
      <c r="JY99" s="131"/>
      <c r="JZ99" s="131"/>
      <c r="KA99" s="131"/>
      <c r="KB99" s="131"/>
      <c r="KC99" s="131"/>
      <c r="KD99" s="131"/>
      <c r="KE99" s="131"/>
      <c r="KF99" s="131"/>
      <c r="KG99" s="131"/>
      <c r="KH99" s="131"/>
      <c r="KI99" s="131"/>
      <c r="KJ99" s="131"/>
      <c r="KK99" s="131"/>
      <c r="KL99" s="131"/>
      <c r="KM99" s="131"/>
      <c r="KN99" s="131"/>
      <c r="KO99" s="131"/>
      <c r="KP99" s="131"/>
      <c r="KQ99" s="131"/>
      <c r="KR99" s="131"/>
      <c r="KS99" s="131"/>
      <c r="KT99" s="131"/>
      <c r="KU99" s="131"/>
      <c r="KV99" s="131"/>
      <c r="KW99" s="131"/>
      <c r="KX99" s="131"/>
      <c r="KY99" s="131"/>
      <c r="KZ99" s="131"/>
      <c r="LA99" s="131"/>
      <c r="LB99" s="131"/>
      <c r="LC99" s="131"/>
      <c r="LD99" s="131"/>
      <c r="LE99" s="131"/>
      <c r="LF99" s="131"/>
      <c r="LG99" s="131"/>
      <c r="LH99" s="131"/>
      <c r="LI99" s="131"/>
      <c r="LJ99" s="131"/>
      <c r="LK99" s="131"/>
      <c r="LL99" s="131"/>
      <c r="LM99" s="131"/>
      <c r="LN99" s="131"/>
      <c r="LO99" s="131"/>
      <c r="LP99" s="131"/>
      <c r="LQ99" s="131"/>
      <c r="LR99" s="131"/>
      <c r="LS99" s="131"/>
      <c r="LT99" s="131"/>
      <c r="LU99" s="131"/>
      <c r="LV99" s="131"/>
      <c r="LW99" s="131"/>
      <c r="LX99" s="131"/>
      <c r="LY99" s="131"/>
      <c r="LZ99" s="131"/>
      <c r="MA99" s="131"/>
      <c r="MB99" s="131"/>
      <c r="MC99" s="131"/>
      <c r="MD99" s="131"/>
      <c r="ME99" s="131"/>
      <c r="MF99" s="131"/>
      <c r="MG99" s="131"/>
      <c r="MH99" s="131"/>
      <c r="MI99" s="131"/>
      <c r="MJ99" s="131"/>
      <c r="MK99" s="131"/>
      <c r="ML99" s="131"/>
      <c r="MM99" s="131"/>
      <c r="MN99" s="131"/>
      <c r="MO99" s="131"/>
      <c r="MP99" s="131"/>
      <c r="MQ99" s="131"/>
      <c r="MR99" s="131"/>
      <c r="MS99" s="131"/>
      <c r="MT99" s="131"/>
      <c r="MU99" s="131"/>
      <c r="MV99" s="131"/>
      <c r="MW99" s="131"/>
      <c r="MX99" s="131"/>
      <c r="MY99" s="131"/>
      <c r="MZ99" s="131"/>
      <c r="NA99" s="131"/>
      <c r="NB99" s="131"/>
      <c r="NC99" s="131"/>
      <c r="ND99" s="131"/>
      <c r="NE99" s="131"/>
      <c r="NF99" s="131"/>
      <c r="NG99" s="131"/>
      <c r="NH99" s="131"/>
      <c r="NI99" s="131"/>
      <c r="NJ99" s="131"/>
      <c r="NK99" s="131"/>
      <c r="NL99" s="131"/>
      <c r="NM99" s="131"/>
      <c r="NN99" s="131"/>
      <c r="NO99" s="131"/>
      <c r="NP99" s="131"/>
      <c r="NQ99" s="131"/>
      <c r="NR99" s="131"/>
      <c r="NS99" s="131"/>
      <c r="NT99" s="131"/>
      <c r="NU99" s="131"/>
      <c r="NV99" s="131"/>
      <c r="NW99" s="24">
        <f t="shared" si="11"/>
        <v>0</v>
      </c>
      <c r="NX99" s="56" t="s">
        <v>72</v>
      </c>
      <c r="NY99" s="127">
        <v>88.3</v>
      </c>
      <c r="NZ99" s="78">
        <f t="shared" si="14"/>
        <v>0</v>
      </c>
      <c r="OA99" s="78">
        <v>59.59</v>
      </c>
      <c r="OB99" s="127">
        <f t="shared" si="12"/>
        <v>88.3</v>
      </c>
      <c r="OC99" s="153"/>
      <c r="OD99" s="108">
        <f t="shared" si="15"/>
        <v>1.4817922470213121</v>
      </c>
      <c r="OE99" s="160" t="s">
        <v>526</v>
      </c>
    </row>
    <row r="100" spans="1:395" s="5" customFormat="1" ht="12.75" hidden="1" customHeight="1" x14ac:dyDescent="0.25">
      <c r="A100" s="62">
        <v>44557</v>
      </c>
      <c r="B100" s="106" t="s">
        <v>464</v>
      </c>
      <c r="C100" s="129"/>
      <c r="D100" s="129"/>
      <c r="E100" s="130"/>
      <c r="F100" s="130"/>
      <c r="G100" s="130"/>
      <c r="H100" s="130"/>
      <c r="I100" s="130"/>
      <c r="J100" s="130"/>
      <c r="K100" s="130"/>
      <c r="L100" s="130"/>
      <c r="M100" s="131"/>
      <c r="N100" s="131"/>
      <c r="O100" s="131"/>
      <c r="P100" s="131"/>
      <c r="Q100" s="131"/>
      <c r="R100" s="131"/>
      <c r="S100" s="131"/>
      <c r="T100" s="131"/>
      <c r="U100" s="131"/>
      <c r="V100" s="131"/>
      <c r="W100" s="131"/>
      <c r="X100" s="131"/>
      <c r="Y100" s="131"/>
      <c r="Z100" s="131"/>
      <c r="AA100" s="131"/>
      <c r="AB100" s="131"/>
      <c r="AC100" s="131"/>
      <c r="AD100" s="131"/>
      <c r="AE100" s="131"/>
      <c r="AF100" s="131"/>
      <c r="AG100" s="131"/>
      <c r="AH100" s="131"/>
      <c r="AI100" s="131"/>
      <c r="AJ100" s="131"/>
      <c r="AK100" s="131"/>
      <c r="AL100" s="131"/>
      <c r="AM100" s="131"/>
      <c r="AN100" s="131"/>
      <c r="AO100" s="131"/>
      <c r="AP100" s="131"/>
      <c r="AQ100" s="131"/>
      <c r="AR100" s="131"/>
      <c r="AS100" s="131"/>
      <c r="AT100" s="131"/>
      <c r="AU100" s="131"/>
      <c r="AV100" s="131"/>
      <c r="AW100" s="131"/>
      <c r="AX100" s="131"/>
      <c r="AY100" s="131"/>
      <c r="AZ100" s="131"/>
      <c r="BA100" s="131"/>
      <c r="BB100" s="131"/>
      <c r="BC100" s="131"/>
      <c r="BD100" s="131"/>
      <c r="BE100" s="131"/>
      <c r="BF100" s="131"/>
      <c r="BG100" s="131"/>
      <c r="BH100" s="131"/>
      <c r="BI100" s="131"/>
      <c r="BJ100" s="131"/>
      <c r="BK100" s="131"/>
      <c r="BL100" s="131"/>
      <c r="BM100" s="131"/>
      <c r="BN100" s="131"/>
      <c r="BO100" s="131"/>
      <c r="BP100" s="131"/>
      <c r="BQ100" s="131"/>
      <c r="BR100" s="131"/>
      <c r="BS100" s="131"/>
      <c r="BT100" s="131"/>
      <c r="BU100" s="131"/>
      <c r="BV100" s="131"/>
      <c r="BW100" s="131"/>
      <c r="BX100" s="131"/>
      <c r="BY100" s="131"/>
      <c r="BZ100" s="131"/>
      <c r="CA100" s="131"/>
      <c r="CB100" s="131"/>
      <c r="CC100" s="131"/>
      <c r="CD100" s="131"/>
      <c r="CE100" s="131"/>
      <c r="CF100" s="131"/>
      <c r="CG100" s="131"/>
      <c r="CH100" s="131"/>
      <c r="CI100" s="131"/>
      <c r="CJ100" s="131"/>
      <c r="CK100" s="131"/>
      <c r="CL100" s="131"/>
      <c r="CM100" s="131"/>
      <c r="CN100" s="131"/>
      <c r="CO100" s="131"/>
      <c r="CP100" s="131"/>
      <c r="CQ100" s="131"/>
      <c r="CR100" s="131"/>
      <c r="CS100" s="131"/>
      <c r="CT100" s="131"/>
      <c r="CU100" s="131"/>
      <c r="CV100" s="131"/>
      <c r="CW100" s="131"/>
      <c r="CX100" s="131"/>
      <c r="CY100" s="131"/>
      <c r="CZ100" s="131"/>
      <c r="DA100" s="131"/>
      <c r="DB100" s="131"/>
      <c r="DC100" s="131"/>
      <c r="DD100" s="131"/>
      <c r="DE100" s="131"/>
      <c r="DF100" s="131"/>
      <c r="DG100" s="131"/>
      <c r="DH100" s="131"/>
      <c r="DI100" s="131"/>
      <c r="DJ100" s="131"/>
      <c r="DK100" s="131"/>
      <c r="DL100" s="131"/>
      <c r="DM100" s="131"/>
      <c r="DN100" s="131"/>
      <c r="DO100" s="131"/>
      <c r="DP100" s="131"/>
      <c r="DQ100" s="131"/>
      <c r="DR100" s="131"/>
      <c r="DS100" s="131"/>
      <c r="DT100" s="131"/>
      <c r="DU100" s="131"/>
      <c r="DV100" s="131"/>
      <c r="DW100" s="131"/>
      <c r="DX100" s="131"/>
      <c r="DY100" s="131"/>
      <c r="DZ100" s="131"/>
      <c r="EA100" s="131"/>
      <c r="EB100" s="131"/>
      <c r="EC100" s="131"/>
      <c r="ED100" s="131"/>
      <c r="EE100" s="131"/>
      <c r="EF100" s="131"/>
      <c r="EG100" s="131"/>
      <c r="EH100" s="131"/>
      <c r="EI100" s="131"/>
      <c r="EJ100" s="131"/>
      <c r="EK100" s="131"/>
      <c r="EL100" s="131"/>
      <c r="EM100" s="131"/>
      <c r="EN100" s="131"/>
      <c r="EO100" s="131"/>
      <c r="EP100" s="131"/>
      <c r="EQ100" s="131"/>
      <c r="ER100" s="131"/>
      <c r="ES100" s="131"/>
      <c r="ET100" s="131"/>
      <c r="EU100" s="131"/>
      <c r="EV100" s="131"/>
      <c r="EW100" s="131"/>
      <c r="EX100" s="131"/>
      <c r="EY100" s="131"/>
      <c r="EZ100" s="131"/>
      <c r="FA100" s="131"/>
      <c r="FB100" s="131"/>
      <c r="FC100" s="131"/>
      <c r="FD100" s="131"/>
      <c r="FE100" s="131"/>
      <c r="FF100" s="131"/>
      <c r="FG100" s="131"/>
      <c r="FH100" s="131"/>
      <c r="FI100" s="131"/>
      <c r="FJ100" s="131"/>
      <c r="FK100" s="131"/>
      <c r="FL100" s="131"/>
      <c r="FM100" s="131"/>
      <c r="FN100" s="131"/>
      <c r="FO100" s="131"/>
      <c r="FP100" s="131"/>
      <c r="FQ100" s="131"/>
      <c r="FR100" s="131"/>
      <c r="FS100" s="131"/>
      <c r="FT100" s="131"/>
      <c r="FU100" s="131"/>
      <c r="FV100" s="131"/>
      <c r="FW100" s="131"/>
      <c r="FX100" s="131"/>
      <c r="FY100" s="131"/>
      <c r="FZ100" s="131"/>
      <c r="GA100" s="131"/>
      <c r="GB100" s="131"/>
      <c r="GC100" s="131"/>
      <c r="GD100" s="131"/>
      <c r="GE100" s="131"/>
      <c r="GF100" s="131"/>
      <c r="GG100" s="131"/>
      <c r="GH100" s="131"/>
      <c r="GI100" s="131"/>
      <c r="GJ100" s="131"/>
      <c r="GK100" s="131"/>
      <c r="GL100" s="131"/>
      <c r="GM100" s="131"/>
      <c r="GN100" s="131"/>
      <c r="GO100" s="131"/>
      <c r="GP100" s="131"/>
      <c r="GQ100" s="131"/>
      <c r="GR100" s="131"/>
      <c r="GS100" s="131"/>
      <c r="GT100" s="131"/>
      <c r="GU100" s="131"/>
      <c r="GV100" s="131"/>
      <c r="GW100" s="131"/>
      <c r="GX100" s="131"/>
      <c r="GY100" s="131"/>
      <c r="GZ100" s="131"/>
      <c r="HA100" s="131"/>
      <c r="HB100" s="131"/>
      <c r="HC100" s="131"/>
      <c r="HD100" s="131"/>
      <c r="HE100" s="131"/>
      <c r="HF100" s="131"/>
      <c r="HG100" s="131"/>
      <c r="HH100" s="131"/>
      <c r="HI100" s="131"/>
      <c r="HJ100" s="131"/>
      <c r="HK100" s="131"/>
      <c r="HL100" s="131"/>
      <c r="HM100" s="131"/>
      <c r="HN100" s="131"/>
      <c r="HO100" s="131"/>
      <c r="HP100" s="131"/>
      <c r="HQ100" s="131"/>
      <c r="HR100" s="131"/>
      <c r="HS100" s="131"/>
      <c r="HT100" s="131"/>
      <c r="HU100" s="131"/>
      <c r="HV100" s="131"/>
      <c r="HW100" s="131"/>
      <c r="HX100" s="131"/>
      <c r="HY100" s="131"/>
      <c r="HZ100" s="131"/>
      <c r="IA100" s="131"/>
      <c r="IB100" s="131"/>
      <c r="IC100" s="131"/>
      <c r="ID100" s="131"/>
      <c r="IE100" s="131"/>
      <c r="IF100" s="131"/>
      <c r="IG100" s="131"/>
      <c r="IH100" s="131"/>
      <c r="II100" s="131"/>
      <c r="IJ100" s="131"/>
      <c r="IK100" s="131"/>
      <c r="IL100" s="131"/>
      <c r="IM100" s="131"/>
      <c r="IN100" s="131"/>
      <c r="IO100" s="131"/>
      <c r="IP100" s="131"/>
      <c r="IQ100" s="131"/>
      <c r="IR100" s="131"/>
      <c r="IS100" s="131"/>
      <c r="IT100" s="131"/>
      <c r="IU100" s="131"/>
      <c r="IV100" s="131"/>
      <c r="IW100" s="131"/>
      <c r="IX100" s="131"/>
      <c r="IY100" s="131"/>
      <c r="IZ100" s="131"/>
      <c r="JA100" s="131"/>
      <c r="JB100" s="131"/>
      <c r="JC100" s="131"/>
      <c r="JD100" s="131"/>
      <c r="JE100" s="131"/>
      <c r="JF100" s="131"/>
      <c r="JG100" s="131"/>
      <c r="JH100" s="131"/>
      <c r="JI100" s="131"/>
      <c r="JJ100" s="131"/>
      <c r="JK100" s="131"/>
      <c r="JL100" s="131"/>
      <c r="JM100" s="131"/>
      <c r="JN100" s="131"/>
      <c r="JO100" s="131"/>
      <c r="JP100" s="131"/>
      <c r="JQ100" s="131"/>
      <c r="JR100" s="131"/>
      <c r="JS100" s="131"/>
      <c r="JT100" s="131"/>
      <c r="JU100" s="131"/>
      <c r="JV100" s="131"/>
      <c r="JW100" s="131"/>
      <c r="JX100" s="131"/>
      <c r="JY100" s="131"/>
      <c r="JZ100" s="131"/>
      <c r="KA100" s="131"/>
      <c r="KB100" s="131"/>
      <c r="KC100" s="131"/>
      <c r="KD100" s="131"/>
      <c r="KE100" s="131"/>
      <c r="KF100" s="131"/>
      <c r="KG100" s="131"/>
      <c r="KH100" s="131"/>
      <c r="KI100" s="131"/>
      <c r="KJ100" s="131"/>
      <c r="KK100" s="131"/>
      <c r="KL100" s="131"/>
      <c r="KM100" s="131"/>
      <c r="KN100" s="131"/>
      <c r="KO100" s="131"/>
      <c r="KP100" s="131"/>
      <c r="KQ100" s="131"/>
      <c r="KR100" s="131"/>
      <c r="KS100" s="131"/>
      <c r="KT100" s="131"/>
      <c r="KU100" s="131"/>
      <c r="KV100" s="131"/>
      <c r="KW100" s="131"/>
      <c r="KX100" s="131"/>
      <c r="KY100" s="131"/>
      <c r="KZ100" s="131"/>
      <c r="LA100" s="131"/>
      <c r="LB100" s="131"/>
      <c r="LC100" s="131"/>
      <c r="LD100" s="131"/>
      <c r="LE100" s="131"/>
      <c r="LF100" s="131"/>
      <c r="LG100" s="131"/>
      <c r="LH100" s="131"/>
      <c r="LI100" s="131"/>
      <c r="LJ100" s="131"/>
      <c r="LK100" s="131"/>
      <c r="LL100" s="131"/>
      <c r="LM100" s="131"/>
      <c r="LN100" s="131"/>
      <c r="LO100" s="131"/>
      <c r="LP100" s="131"/>
      <c r="LQ100" s="131"/>
      <c r="LR100" s="131"/>
      <c r="LS100" s="131"/>
      <c r="LT100" s="131"/>
      <c r="LU100" s="131"/>
      <c r="LV100" s="131"/>
      <c r="LW100" s="131"/>
      <c r="LX100" s="131"/>
      <c r="LY100" s="131"/>
      <c r="LZ100" s="131"/>
      <c r="MA100" s="131"/>
      <c r="MB100" s="131"/>
      <c r="MC100" s="131"/>
      <c r="MD100" s="131"/>
      <c r="ME100" s="131"/>
      <c r="MF100" s="131"/>
      <c r="MG100" s="131"/>
      <c r="MH100" s="131"/>
      <c r="MI100" s="131"/>
      <c r="MJ100" s="131"/>
      <c r="MK100" s="131"/>
      <c r="ML100" s="131"/>
      <c r="MM100" s="131"/>
      <c r="MN100" s="131"/>
      <c r="MO100" s="131"/>
      <c r="MP100" s="131"/>
      <c r="MQ100" s="131"/>
      <c r="MR100" s="131"/>
      <c r="MS100" s="131"/>
      <c r="MT100" s="131"/>
      <c r="MU100" s="131"/>
      <c r="MV100" s="131"/>
      <c r="MW100" s="131"/>
      <c r="MX100" s="131"/>
      <c r="MY100" s="131"/>
      <c r="MZ100" s="131"/>
      <c r="NA100" s="131"/>
      <c r="NB100" s="131"/>
      <c r="NC100" s="131"/>
      <c r="ND100" s="131"/>
      <c r="NE100" s="131"/>
      <c r="NF100" s="131"/>
      <c r="NG100" s="131"/>
      <c r="NH100" s="131"/>
      <c r="NI100" s="131"/>
      <c r="NJ100" s="131"/>
      <c r="NK100" s="131"/>
      <c r="NL100" s="131"/>
      <c r="NM100" s="131"/>
      <c r="NN100" s="131"/>
      <c r="NO100" s="131"/>
      <c r="NP100" s="131"/>
      <c r="NQ100" s="131"/>
      <c r="NR100" s="131"/>
      <c r="NS100" s="131"/>
      <c r="NT100" s="131"/>
      <c r="NU100" s="131"/>
      <c r="NV100" s="131"/>
      <c r="NW100" s="24">
        <f t="shared" si="11"/>
        <v>0</v>
      </c>
      <c r="NX100" s="56" t="s">
        <v>36</v>
      </c>
      <c r="NY100" s="127">
        <v>338.16</v>
      </c>
      <c r="NZ100" s="78">
        <f t="shared" si="14"/>
        <v>338.16</v>
      </c>
      <c r="OA100" s="78">
        <v>185.39999999999998</v>
      </c>
      <c r="OB100" s="127">
        <f t="shared" si="12"/>
        <v>0</v>
      </c>
      <c r="OC100" s="153">
        <v>338.16</v>
      </c>
      <c r="OD100" s="108">
        <f t="shared" si="15"/>
        <v>1.8239482200647252</v>
      </c>
      <c r="OE100" s="160" t="s">
        <v>511</v>
      </c>
    </row>
    <row r="101" spans="1:395" s="5" customFormat="1" ht="12.75" customHeight="1" x14ac:dyDescent="0.25">
      <c r="A101" s="62">
        <v>44557</v>
      </c>
      <c r="B101" s="116" t="s">
        <v>81</v>
      </c>
      <c r="C101" s="129"/>
      <c r="D101" s="129"/>
      <c r="E101" s="130"/>
      <c r="F101" s="130"/>
      <c r="G101" s="130"/>
      <c r="H101" s="130"/>
      <c r="I101" s="130"/>
      <c r="J101" s="130"/>
      <c r="K101" s="130"/>
      <c r="L101" s="130"/>
      <c r="M101" s="131"/>
      <c r="N101" s="131"/>
      <c r="O101" s="131"/>
      <c r="P101" s="131"/>
      <c r="Q101" s="131"/>
      <c r="R101" s="131"/>
      <c r="S101" s="131"/>
      <c r="T101" s="131"/>
      <c r="U101" s="131"/>
      <c r="V101" s="131"/>
      <c r="W101" s="131"/>
      <c r="X101" s="131"/>
      <c r="Y101" s="131"/>
      <c r="Z101" s="131"/>
      <c r="AA101" s="131"/>
      <c r="AB101" s="131"/>
      <c r="AC101" s="131"/>
      <c r="AD101" s="131"/>
      <c r="AE101" s="131"/>
      <c r="AF101" s="131"/>
      <c r="AG101" s="131"/>
      <c r="AH101" s="131"/>
      <c r="AI101" s="131"/>
      <c r="AJ101" s="131"/>
      <c r="AK101" s="131"/>
      <c r="AL101" s="131"/>
      <c r="AM101" s="131"/>
      <c r="AN101" s="131"/>
      <c r="AO101" s="131"/>
      <c r="AP101" s="131"/>
      <c r="AQ101" s="131"/>
      <c r="AR101" s="131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1"/>
      <c r="BD101" s="131"/>
      <c r="BE101" s="131"/>
      <c r="BF101" s="131"/>
      <c r="BG101" s="131"/>
      <c r="BH101" s="131"/>
      <c r="BI101" s="131"/>
      <c r="BJ101" s="131"/>
      <c r="BK101" s="131"/>
      <c r="BL101" s="131"/>
      <c r="BM101" s="131"/>
      <c r="BN101" s="131"/>
      <c r="BO101" s="131"/>
      <c r="BP101" s="131"/>
      <c r="BQ101" s="131"/>
      <c r="BR101" s="131"/>
      <c r="BS101" s="131"/>
      <c r="BT101" s="131"/>
      <c r="BU101" s="131"/>
      <c r="BV101" s="131"/>
      <c r="BW101" s="131"/>
      <c r="BX101" s="131"/>
      <c r="BY101" s="131"/>
      <c r="BZ101" s="131"/>
      <c r="CA101" s="131"/>
      <c r="CB101" s="131"/>
      <c r="CC101" s="131"/>
      <c r="CD101" s="131"/>
      <c r="CE101" s="131"/>
      <c r="CF101" s="131"/>
      <c r="CG101" s="131"/>
      <c r="CH101" s="131"/>
      <c r="CI101" s="131"/>
      <c r="CJ101" s="131"/>
      <c r="CK101" s="131"/>
      <c r="CL101" s="131"/>
      <c r="CM101" s="131"/>
      <c r="CN101" s="131"/>
      <c r="CO101" s="131"/>
      <c r="CP101" s="131"/>
      <c r="CQ101" s="131"/>
      <c r="CR101" s="131"/>
      <c r="CS101" s="131"/>
      <c r="CT101" s="131"/>
      <c r="CU101" s="131"/>
      <c r="CV101" s="131"/>
      <c r="CW101" s="131"/>
      <c r="CX101" s="131"/>
      <c r="CY101" s="131"/>
      <c r="CZ101" s="131"/>
      <c r="DA101" s="131"/>
      <c r="DB101" s="131"/>
      <c r="DC101" s="131"/>
      <c r="DD101" s="131"/>
      <c r="DE101" s="131"/>
      <c r="DF101" s="131"/>
      <c r="DG101" s="131"/>
      <c r="DH101" s="131"/>
      <c r="DI101" s="131"/>
      <c r="DJ101" s="131"/>
      <c r="DK101" s="131"/>
      <c r="DL101" s="131"/>
      <c r="DM101" s="131"/>
      <c r="DN101" s="131"/>
      <c r="DO101" s="131"/>
      <c r="DP101" s="131"/>
      <c r="DQ101" s="131"/>
      <c r="DR101" s="131"/>
      <c r="DS101" s="131"/>
      <c r="DT101" s="131"/>
      <c r="DU101" s="131"/>
      <c r="DV101" s="131"/>
      <c r="DW101" s="131"/>
      <c r="DX101" s="131"/>
      <c r="DY101" s="131"/>
      <c r="DZ101" s="131"/>
      <c r="EA101" s="131"/>
      <c r="EB101" s="131"/>
      <c r="EC101" s="131"/>
      <c r="ED101" s="131"/>
      <c r="EE101" s="131"/>
      <c r="EF101" s="131"/>
      <c r="EG101" s="131"/>
      <c r="EH101" s="131"/>
      <c r="EI101" s="131"/>
      <c r="EJ101" s="131"/>
      <c r="EK101" s="131"/>
      <c r="EL101" s="131"/>
      <c r="EM101" s="131"/>
      <c r="EN101" s="131"/>
      <c r="EO101" s="131"/>
      <c r="EP101" s="131"/>
      <c r="EQ101" s="131"/>
      <c r="ER101" s="131"/>
      <c r="ES101" s="131"/>
      <c r="ET101" s="131"/>
      <c r="EU101" s="131"/>
      <c r="EV101" s="131"/>
      <c r="EW101" s="131"/>
      <c r="EX101" s="131"/>
      <c r="EY101" s="131"/>
      <c r="EZ101" s="131"/>
      <c r="FA101" s="131"/>
      <c r="FB101" s="131"/>
      <c r="FC101" s="131"/>
      <c r="FD101" s="131"/>
      <c r="FE101" s="131"/>
      <c r="FF101" s="131"/>
      <c r="FG101" s="131"/>
      <c r="FH101" s="131"/>
      <c r="FI101" s="131"/>
      <c r="FJ101" s="131"/>
      <c r="FK101" s="131"/>
      <c r="FL101" s="131"/>
      <c r="FM101" s="131"/>
      <c r="FN101" s="131"/>
      <c r="FO101" s="131"/>
      <c r="FP101" s="131"/>
      <c r="FQ101" s="131"/>
      <c r="FR101" s="131"/>
      <c r="FS101" s="131"/>
      <c r="FT101" s="131"/>
      <c r="FU101" s="131"/>
      <c r="FV101" s="131"/>
      <c r="FW101" s="131"/>
      <c r="FX101" s="131"/>
      <c r="FY101" s="131"/>
      <c r="FZ101" s="131"/>
      <c r="GA101" s="131"/>
      <c r="GB101" s="131"/>
      <c r="GC101" s="131"/>
      <c r="GD101" s="131"/>
      <c r="GE101" s="131"/>
      <c r="GF101" s="131"/>
      <c r="GG101" s="131"/>
      <c r="GH101" s="131"/>
      <c r="GI101" s="131"/>
      <c r="GJ101" s="131"/>
      <c r="GK101" s="131"/>
      <c r="GL101" s="131"/>
      <c r="GM101" s="131"/>
      <c r="GN101" s="131"/>
      <c r="GO101" s="131"/>
      <c r="GP101" s="131"/>
      <c r="GQ101" s="131"/>
      <c r="GR101" s="131"/>
      <c r="GS101" s="131"/>
      <c r="GT101" s="131"/>
      <c r="GU101" s="131"/>
      <c r="GV101" s="131"/>
      <c r="GW101" s="131"/>
      <c r="GX101" s="131"/>
      <c r="GY101" s="131"/>
      <c r="GZ101" s="131"/>
      <c r="HA101" s="131"/>
      <c r="HB101" s="131"/>
      <c r="HC101" s="131"/>
      <c r="HD101" s="131"/>
      <c r="HE101" s="131"/>
      <c r="HF101" s="131"/>
      <c r="HG101" s="131"/>
      <c r="HH101" s="131"/>
      <c r="HI101" s="131"/>
      <c r="HJ101" s="131"/>
      <c r="HK101" s="131"/>
      <c r="HL101" s="131"/>
      <c r="HM101" s="131"/>
      <c r="HN101" s="131"/>
      <c r="HO101" s="131"/>
      <c r="HP101" s="131"/>
      <c r="HQ101" s="131"/>
      <c r="HR101" s="131"/>
      <c r="HS101" s="131"/>
      <c r="HT101" s="131"/>
      <c r="HU101" s="131"/>
      <c r="HV101" s="131"/>
      <c r="HW101" s="131"/>
      <c r="HX101" s="131"/>
      <c r="HY101" s="131"/>
      <c r="HZ101" s="131"/>
      <c r="IA101" s="131"/>
      <c r="IB101" s="131"/>
      <c r="IC101" s="131"/>
      <c r="ID101" s="131"/>
      <c r="IE101" s="131"/>
      <c r="IF101" s="131"/>
      <c r="IG101" s="131"/>
      <c r="IH101" s="131"/>
      <c r="II101" s="131"/>
      <c r="IJ101" s="131"/>
      <c r="IK101" s="131"/>
      <c r="IL101" s="131"/>
      <c r="IM101" s="131"/>
      <c r="IN101" s="131"/>
      <c r="IO101" s="131"/>
      <c r="IP101" s="131"/>
      <c r="IQ101" s="131"/>
      <c r="IR101" s="131"/>
      <c r="IS101" s="131"/>
      <c r="IT101" s="131"/>
      <c r="IU101" s="131"/>
      <c r="IV101" s="131"/>
      <c r="IW101" s="131"/>
      <c r="IX101" s="131"/>
      <c r="IY101" s="131"/>
      <c r="IZ101" s="131"/>
      <c r="JA101" s="131"/>
      <c r="JB101" s="131"/>
      <c r="JC101" s="131"/>
      <c r="JD101" s="131"/>
      <c r="JE101" s="131"/>
      <c r="JF101" s="131"/>
      <c r="JG101" s="131"/>
      <c r="JH101" s="131"/>
      <c r="JI101" s="131"/>
      <c r="JJ101" s="131"/>
      <c r="JK101" s="131"/>
      <c r="JL101" s="131"/>
      <c r="JM101" s="131"/>
      <c r="JN101" s="131"/>
      <c r="JO101" s="131"/>
      <c r="JP101" s="131"/>
      <c r="JQ101" s="131"/>
      <c r="JR101" s="131"/>
      <c r="JS101" s="131"/>
      <c r="JT101" s="131"/>
      <c r="JU101" s="131"/>
      <c r="JV101" s="131"/>
      <c r="JW101" s="131"/>
      <c r="JX101" s="131"/>
      <c r="JY101" s="131"/>
      <c r="JZ101" s="131"/>
      <c r="KA101" s="131"/>
      <c r="KB101" s="131"/>
      <c r="KC101" s="131"/>
      <c r="KD101" s="131"/>
      <c r="KE101" s="131"/>
      <c r="KF101" s="131"/>
      <c r="KG101" s="131"/>
      <c r="KH101" s="131"/>
      <c r="KI101" s="131"/>
      <c r="KJ101" s="131"/>
      <c r="KK101" s="131"/>
      <c r="KL101" s="131"/>
      <c r="KM101" s="131"/>
      <c r="KN101" s="131"/>
      <c r="KO101" s="131"/>
      <c r="KP101" s="131"/>
      <c r="KQ101" s="131"/>
      <c r="KR101" s="131"/>
      <c r="KS101" s="131"/>
      <c r="KT101" s="131"/>
      <c r="KU101" s="131"/>
      <c r="KV101" s="131"/>
      <c r="KW101" s="131"/>
      <c r="KX101" s="131"/>
      <c r="KY101" s="131"/>
      <c r="KZ101" s="131"/>
      <c r="LA101" s="131"/>
      <c r="LB101" s="131"/>
      <c r="LC101" s="131"/>
      <c r="LD101" s="131"/>
      <c r="LE101" s="131"/>
      <c r="LF101" s="131"/>
      <c r="LG101" s="131"/>
      <c r="LH101" s="131"/>
      <c r="LI101" s="131"/>
      <c r="LJ101" s="131"/>
      <c r="LK101" s="131"/>
      <c r="LL101" s="131"/>
      <c r="LM101" s="131"/>
      <c r="LN101" s="131"/>
      <c r="LO101" s="131"/>
      <c r="LP101" s="131"/>
      <c r="LQ101" s="131"/>
      <c r="LR101" s="131"/>
      <c r="LS101" s="131"/>
      <c r="LT101" s="131"/>
      <c r="LU101" s="131"/>
      <c r="LV101" s="131"/>
      <c r="LW101" s="131"/>
      <c r="LX101" s="131"/>
      <c r="LY101" s="131"/>
      <c r="LZ101" s="131"/>
      <c r="MA101" s="131"/>
      <c r="MB101" s="131"/>
      <c r="MC101" s="131"/>
      <c r="MD101" s="131"/>
      <c r="ME101" s="131"/>
      <c r="MF101" s="131"/>
      <c r="MG101" s="131"/>
      <c r="MH101" s="131"/>
      <c r="MI101" s="131"/>
      <c r="MJ101" s="131"/>
      <c r="MK101" s="131"/>
      <c r="ML101" s="131"/>
      <c r="MM101" s="131"/>
      <c r="MN101" s="131"/>
      <c r="MO101" s="131"/>
      <c r="MP101" s="131"/>
      <c r="MQ101" s="131"/>
      <c r="MR101" s="131"/>
      <c r="MS101" s="131"/>
      <c r="MT101" s="131"/>
      <c r="MU101" s="131"/>
      <c r="MV101" s="131"/>
      <c r="MW101" s="131"/>
      <c r="MX101" s="131"/>
      <c r="MY101" s="131"/>
      <c r="MZ101" s="131"/>
      <c r="NA101" s="131"/>
      <c r="NB101" s="131"/>
      <c r="NC101" s="131"/>
      <c r="ND101" s="131"/>
      <c r="NE101" s="131"/>
      <c r="NF101" s="131"/>
      <c r="NG101" s="131"/>
      <c r="NH101" s="131"/>
      <c r="NI101" s="131"/>
      <c r="NJ101" s="131"/>
      <c r="NK101" s="131"/>
      <c r="NL101" s="131"/>
      <c r="NM101" s="131"/>
      <c r="NN101" s="131"/>
      <c r="NO101" s="131"/>
      <c r="NP101" s="131"/>
      <c r="NQ101" s="131"/>
      <c r="NR101" s="131"/>
      <c r="NS101" s="131"/>
      <c r="NT101" s="131"/>
      <c r="NU101" s="131"/>
      <c r="NV101" s="131"/>
      <c r="NW101" s="24">
        <f t="shared" si="11"/>
        <v>0</v>
      </c>
      <c r="NX101" s="56" t="s">
        <v>36</v>
      </c>
      <c r="NY101" s="127">
        <v>5052.6000000000004</v>
      </c>
      <c r="NZ101" s="78">
        <f t="shared" si="14"/>
        <v>0</v>
      </c>
      <c r="OA101" s="78">
        <v>3175.5</v>
      </c>
      <c r="OB101" s="127">
        <f t="shared" si="12"/>
        <v>5052.6000000000004</v>
      </c>
      <c r="OC101" s="153"/>
      <c r="OD101" s="108">
        <f t="shared" si="15"/>
        <v>1.5911195087387815</v>
      </c>
      <c r="OE101" s="160" t="s">
        <v>553</v>
      </c>
    </row>
    <row r="102" spans="1:395" s="5" customFormat="1" ht="12.75" customHeight="1" x14ac:dyDescent="0.25">
      <c r="A102" s="62">
        <v>44557</v>
      </c>
      <c r="B102" s="116" t="s">
        <v>374</v>
      </c>
      <c r="C102" s="129"/>
      <c r="D102" s="129"/>
      <c r="E102" s="130"/>
      <c r="F102" s="130"/>
      <c r="G102" s="130"/>
      <c r="H102" s="130"/>
      <c r="I102" s="130"/>
      <c r="J102" s="130"/>
      <c r="K102" s="130"/>
      <c r="L102" s="130"/>
      <c r="M102" s="131"/>
      <c r="N102" s="131"/>
      <c r="O102" s="131"/>
      <c r="P102" s="131"/>
      <c r="Q102" s="131"/>
      <c r="R102" s="131"/>
      <c r="S102" s="131"/>
      <c r="T102" s="131"/>
      <c r="U102" s="131"/>
      <c r="V102" s="131"/>
      <c r="W102" s="131"/>
      <c r="X102" s="131"/>
      <c r="Y102" s="131"/>
      <c r="Z102" s="131"/>
      <c r="AA102" s="131"/>
      <c r="AB102" s="131"/>
      <c r="AC102" s="131"/>
      <c r="AD102" s="131"/>
      <c r="AE102" s="131"/>
      <c r="AF102" s="131"/>
      <c r="AG102" s="131"/>
      <c r="AH102" s="131"/>
      <c r="AI102" s="131"/>
      <c r="AJ102" s="131"/>
      <c r="AK102" s="131"/>
      <c r="AL102" s="131"/>
      <c r="AM102" s="131"/>
      <c r="AN102" s="131"/>
      <c r="AO102" s="131"/>
      <c r="AP102" s="131"/>
      <c r="AQ102" s="131"/>
      <c r="AR102" s="131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1"/>
      <c r="BC102" s="131"/>
      <c r="BD102" s="131"/>
      <c r="BE102" s="131"/>
      <c r="BF102" s="131"/>
      <c r="BG102" s="131"/>
      <c r="BH102" s="131"/>
      <c r="BI102" s="131"/>
      <c r="BJ102" s="131"/>
      <c r="BK102" s="131"/>
      <c r="BL102" s="131"/>
      <c r="BM102" s="131"/>
      <c r="BN102" s="131"/>
      <c r="BO102" s="131"/>
      <c r="BP102" s="131"/>
      <c r="BQ102" s="131"/>
      <c r="BR102" s="131"/>
      <c r="BS102" s="131"/>
      <c r="BT102" s="131"/>
      <c r="BU102" s="131"/>
      <c r="BV102" s="131"/>
      <c r="BW102" s="131"/>
      <c r="BX102" s="131"/>
      <c r="BY102" s="131"/>
      <c r="BZ102" s="131"/>
      <c r="CA102" s="131"/>
      <c r="CB102" s="131"/>
      <c r="CC102" s="131"/>
      <c r="CD102" s="131"/>
      <c r="CE102" s="131"/>
      <c r="CF102" s="131"/>
      <c r="CG102" s="131"/>
      <c r="CH102" s="131"/>
      <c r="CI102" s="131"/>
      <c r="CJ102" s="131"/>
      <c r="CK102" s="131"/>
      <c r="CL102" s="131"/>
      <c r="CM102" s="131"/>
      <c r="CN102" s="131"/>
      <c r="CO102" s="131"/>
      <c r="CP102" s="131"/>
      <c r="CQ102" s="131"/>
      <c r="CR102" s="131"/>
      <c r="CS102" s="131"/>
      <c r="CT102" s="131"/>
      <c r="CU102" s="131"/>
      <c r="CV102" s="131"/>
      <c r="CW102" s="131"/>
      <c r="CX102" s="131"/>
      <c r="CY102" s="131"/>
      <c r="CZ102" s="131"/>
      <c r="DA102" s="131"/>
      <c r="DB102" s="131"/>
      <c r="DC102" s="131"/>
      <c r="DD102" s="131"/>
      <c r="DE102" s="131"/>
      <c r="DF102" s="131"/>
      <c r="DG102" s="131"/>
      <c r="DH102" s="131"/>
      <c r="DI102" s="131"/>
      <c r="DJ102" s="131"/>
      <c r="DK102" s="131"/>
      <c r="DL102" s="131"/>
      <c r="DM102" s="131"/>
      <c r="DN102" s="131"/>
      <c r="DO102" s="131"/>
      <c r="DP102" s="131"/>
      <c r="DQ102" s="131"/>
      <c r="DR102" s="131"/>
      <c r="DS102" s="131"/>
      <c r="DT102" s="131"/>
      <c r="DU102" s="131"/>
      <c r="DV102" s="131"/>
      <c r="DW102" s="131"/>
      <c r="DX102" s="131"/>
      <c r="DY102" s="131"/>
      <c r="DZ102" s="131"/>
      <c r="EA102" s="131"/>
      <c r="EB102" s="131"/>
      <c r="EC102" s="131"/>
      <c r="ED102" s="131"/>
      <c r="EE102" s="131"/>
      <c r="EF102" s="131"/>
      <c r="EG102" s="131"/>
      <c r="EH102" s="131"/>
      <c r="EI102" s="131"/>
      <c r="EJ102" s="131"/>
      <c r="EK102" s="131"/>
      <c r="EL102" s="131"/>
      <c r="EM102" s="131"/>
      <c r="EN102" s="131"/>
      <c r="EO102" s="131"/>
      <c r="EP102" s="131"/>
      <c r="EQ102" s="131"/>
      <c r="ER102" s="131"/>
      <c r="ES102" s="131"/>
      <c r="ET102" s="131"/>
      <c r="EU102" s="131"/>
      <c r="EV102" s="131"/>
      <c r="EW102" s="131"/>
      <c r="EX102" s="131"/>
      <c r="EY102" s="131"/>
      <c r="EZ102" s="131"/>
      <c r="FA102" s="131"/>
      <c r="FB102" s="131"/>
      <c r="FC102" s="131"/>
      <c r="FD102" s="131"/>
      <c r="FE102" s="131"/>
      <c r="FF102" s="131"/>
      <c r="FG102" s="131"/>
      <c r="FH102" s="131"/>
      <c r="FI102" s="131"/>
      <c r="FJ102" s="131"/>
      <c r="FK102" s="131"/>
      <c r="FL102" s="131"/>
      <c r="FM102" s="131"/>
      <c r="FN102" s="131"/>
      <c r="FO102" s="131"/>
      <c r="FP102" s="131"/>
      <c r="FQ102" s="131"/>
      <c r="FR102" s="131"/>
      <c r="FS102" s="131"/>
      <c r="FT102" s="131"/>
      <c r="FU102" s="131"/>
      <c r="FV102" s="131"/>
      <c r="FW102" s="131"/>
      <c r="FX102" s="131"/>
      <c r="FY102" s="131"/>
      <c r="FZ102" s="131"/>
      <c r="GA102" s="131"/>
      <c r="GB102" s="131"/>
      <c r="GC102" s="131"/>
      <c r="GD102" s="131"/>
      <c r="GE102" s="131"/>
      <c r="GF102" s="131"/>
      <c r="GG102" s="131"/>
      <c r="GH102" s="131"/>
      <c r="GI102" s="131"/>
      <c r="GJ102" s="131"/>
      <c r="GK102" s="131"/>
      <c r="GL102" s="131"/>
      <c r="GM102" s="131"/>
      <c r="GN102" s="131"/>
      <c r="GO102" s="131"/>
      <c r="GP102" s="131"/>
      <c r="GQ102" s="131"/>
      <c r="GR102" s="131"/>
      <c r="GS102" s="131"/>
      <c r="GT102" s="131"/>
      <c r="GU102" s="131"/>
      <c r="GV102" s="131"/>
      <c r="GW102" s="131"/>
      <c r="GX102" s="131"/>
      <c r="GY102" s="131"/>
      <c r="GZ102" s="131"/>
      <c r="HA102" s="131"/>
      <c r="HB102" s="131"/>
      <c r="HC102" s="131"/>
      <c r="HD102" s="131"/>
      <c r="HE102" s="131"/>
      <c r="HF102" s="131"/>
      <c r="HG102" s="131"/>
      <c r="HH102" s="131"/>
      <c r="HI102" s="131"/>
      <c r="HJ102" s="131"/>
      <c r="HK102" s="131"/>
      <c r="HL102" s="131"/>
      <c r="HM102" s="131"/>
      <c r="HN102" s="131"/>
      <c r="HO102" s="131"/>
      <c r="HP102" s="131"/>
      <c r="HQ102" s="131"/>
      <c r="HR102" s="131"/>
      <c r="HS102" s="131"/>
      <c r="HT102" s="131"/>
      <c r="HU102" s="131"/>
      <c r="HV102" s="131"/>
      <c r="HW102" s="131"/>
      <c r="HX102" s="131"/>
      <c r="HY102" s="131"/>
      <c r="HZ102" s="131"/>
      <c r="IA102" s="131"/>
      <c r="IB102" s="131"/>
      <c r="IC102" s="131"/>
      <c r="ID102" s="131"/>
      <c r="IE102" s="131"/>
      <c r="IF102" s="131"/>
      <c r="IG102" s="131"/>
      <c r="IH102" s="131"/>
      <c r="II102" s="131"/>
      <c r="IJ102" s="131"/>
      <c r="IK102" s="131"/>
      <c r="IL102" s="131"/>
      <c r="IM102" s="131"/>
      <c r="IN102" s="131"/>
      <c r="IO102" s="131"/>
      <c r="IP102" s="131"/>
      <c r="IQ102" s="131"/>
      <c r="IR102" s="131"/>
      <c r="IS102" s="131"/>
      <c r="IT102" s="131"/>
      <c r="IU102" s="131"/>
      <c r="IV102" s="131"/>
      <c r="IW102" s="131"/>
      <c r="IX102" s="131"/>
      <c r="IY102" s="131"/>
      <c r="IZ102" s="131"/>
      <c r="JA102" s="131"/>
      <c r="JB102" s="131"/>
      <c r="JC102" s="131"/>
      <c r="JD102" s="131"/>
      <c r="JE102" s="131"/>
      <c r="JF102" s="131"/>
      <c r="JG102" s="131"/>
      <c r="JH102" s="131"/>
      <c r="JI102" s="131"/>
      <c r="JJ102" s="131"/>
      <c r="JK102" s="131"/>
      <c r="JL102" s="131"/>
      <c r="JM102" s="131"/>
      <c r="JN102" s="131"/>
      <c r="JO102" s="131"/>
      <c r="JP102" s="131"/>
      <c r="JQ102" s="131"/>
      <c r="JR102" s="131"/>
      <c r="JS102" s="131"/>
      <c r="JT102" s="131"/>
      <c r="JU102" s="131"/>
      <c r="JV102" s="131"/>
      <c r="JW102" s="131"/>
      <c r="JX102" s="131"/>
      <c r="JY102" s="131"/>
      <c r="JZ102" s="131"/>
      <c r="KA102" s="131"/>
      <c r="KB102" s="131"/>
      <c r="KC102" s="131"/>
      <c r="KD102" s="131"/>
      <c r="KE102" s="131"/>
      <c r="KF102" s="131"/>
      <c r="KG102" s="131"/>
      <c r="KH102" s="131"/>
      <c r="KI102" s="131"/>
      <c r="KJ102" s="131"/>
      <c r="KK102" s="131"/>
      <c r="KL102" s="131"/>
      <c r="KM102" s="131"/>
      <c r="KN102" s="131"/>
      <c r="KO102" s="131"/>
      <c r="KP102" s="131"/>
      <c r="KQ102" s="131"/>
      <c r="KR102" s="131"/>
      <c r="KS102" s="131"/>
      <c r="KT102" s="131"/>
      <c r="KU102" s="131"/>
      <c r="KV102" s="131"/>
      <c r="KW102" s="131"/>
      <c r="KX102" s="131"/>
      <c r="KY102" s="131"/>
      <c r="KZ102" s="131"/>
      <c r="LA102" s="131"/>
      <c r="LB102" s="131"/>
      <c r="LC102" s="131"/>
      <c r="LD102" s="131"/>
      <c r="LE102" s="131"/>
      <c r="LF102" s="131"/>
      <c r="LG102" s="131"/>
      <c r="LH102" s="131"/>
      <c r="LI102" s="131"/>
      <c r="LJ102" s="131"/>
      <c r="LK102" s="131"/>
      <c r="LL102" s="131"/>
      <c r="LM102" s="131"/>
      <c r="LN102" s="131"/>
      <c r="LO102" s="131"/>
      <c r="LP102" s="131"/>
      <c r="LQ102" s="131"/>
      <c r="LR102" s="131"/>
      <c r="LS102" s="131"/>
      <c r="LT102" s="131"/>
      <c r="LU102" s="131"/>
      <c r="LV102" s="131"/>
      <c r="LW102" s="131"/>
      <c r="LX102" s="131"/>
      <c r="LY102" s="131"/>
      <c r="LZ102" s="131"/>
      <c r="MA102" s="131"/>
      <c r="MB102" s="131"/>
      <c r="MC102" s="131"/>
      <c r="MD102" s="131"/>
      <c r="ME102" s="131"/>
      <c r="MF102" s="131"/>
      <c r="MG102" s="131"/>
      <c r="MH102" s="131"/>
      <c r="MI102" s="131"/>
      <c r="MJ102" s="131"/>
      <c r="MK102" s="131"/>
      <c r="ML102" s="131"/>
      <c r="MM102" s="131"/>
      <c r="MN102" s="131"/>
      <c r="MO102" s="131"/>
      <c r="MP102" s="131"/>
      <c r="MQ102" s="131"/>
      <c r="MR102" s="131"/>
      <c r="MS102" s="131"/>
      <c r="MT102" s="131"/>
      <c r="MU102" s="131"/>
      <c r="MV102" s="131"/>
      <c r="MW102" s="131"/>
      <c r="MX102" s="131"/>
      <c r="MY102" s="131"/>
      <c r="MZ102" s="131"/>
      <c r="NA102" s="131"/>
      <c r="NB102" s="131"/>
      <c r="NC102" s="131"/>
      <c r="ND102" s="131"/>
      <c r="NE102" s="131"/>
      <c r="NF102" s="131"/>
      <c r="NG102" s="131"/>
      <c r="NH102" s="131"/>
      <c r="NI102" s="131"/>
      <c r="NJ102" s="131"/>
      <c r="NK102" s="131"/>
      <c r="NL102" s="131"/>
      <c r="NM102" s="131"/>
      <c r="NN102" s="131"/>
      <c r="NO102" s="131"/>
      <c r="NP102" s="131"/>
      <c r="NQ102" s="131"/>
      <c r="NR102" s="131"/>
      <c r="NS102" s="131"/>
      <c r="NT102" s="131"/>
      <c r="NU102" s="131"/>
      <c r="NV102" s="131"/>
      <c r="NW102" s="24">
        <f t="shared" si="11"/>
        <v>0</v>
      </c>
      <c r="NX102" s="56" t="s">
        <v>72</v>
      </c>
      <c r="NY102" s="127">
        <v>1921.73</v>
      </c>
      <c r="NZ102" s="78">
        <f t="shared" si="14"/>
        <v>1421.73</v>
      </c>
      <c r="OA102" s="78">
        <v>1061.92</v>
      </c>
      <c r="OB102" s="127">
        <f t="shared" si="12"/>
        <v>500</v>
      </c>
      <c r="OC102" s="153">
        <f>921.73+500</f>
        <v>1421.73</v>
      </c>
      <c r="OD102" s="108">
        <f t="shared" si="15"/>
        <v>1.8096749284315201</v>
      </c>
      <c r="OE102" s="160" t="s">
        <v>553</v>
      </c>
    </row>
    <row r="103" spans="1:395" s="5" customFormat="1" ht="12.75" customHeight="1" x14ac:dyDescent="0.25">
      <c r="A103" s="62">
        <v>44557</v>
      </c>
      <c r="B103" s="116" t="s">
        <v>302</v>
      </c>
      <c r="C103" s="129"/>
      <c r="D103" s="129"/>
      <c r="E103" s="130"/>
      <c r="F103" s="130"/>
      <c r="G103" s="130"/>
      <c r="H103" s="130"/>
      <c r="I103" s="130"/>
      <c r="J103" s="130"/>
      <c r="K103" s="130"/>
      <c r="L103" s="130"/>
      <c r="M103" s="131"/>
      <c r="N103" s="131"/>
      <c r="O103" s="131"/>
      <c r="P103" s="131"/>
      <c r="Q103" s="131"/>
      <c r="R103" s="131"/>
      <c r="S103" s="131"/>
      <c r="T103" s="131"/>
      <c r="U103" s="131"/>
      <c r="V103" s="131"/>
      <c r="W103" s="131"/>
      <c r="X103" s="131"/>
      <c r="Y103" s="131"/>
      <c r="Z103" s="131"/>
      <c r="AA103" s="131"/>
      <c r="AB103" s="131"/>
      <c r="AC103" s="131"/>
      <c r="AD103" s="131"/>
      <c r="AE103" s="131"/>
      <c r="AF103" s="131"/>
      <c r="AG103" s="131"/>
      <c r="AH103" s="131"/>
      <c r="AI103" s="131"/>
      <c r="AJ103" s="131"/>
      <c r="AK103" s="131"/>
      <c r="AL103" s="131"/>
      <c r="AM103" s="131"/>
      <c r="AN103" s="131"/>
      <c r="AO103" s="131"/>
      <c r="AP103" s="131"/>
      <c r="AQ103" s="131"/>
      <c r="AR103" s="131"/>
      <c r="AS103" s="131"/>
      <c r="AT103" s="131"/>
      <c r="AU103" s="131"/>
      <c r="AV103" s="131"/>
      <c r="AW103" s="131"/>
      <c r="AX103" s="131"/>
      <c r="AY103" s="131"/>
      <c r="AZ103" s="131"/>
      <c r="BA103" s="131"/>
      <c r="BB103" s="131"/>
      <c r="BC103" s="131"/>
      <c r="BD103" s="131"/>
      <c r="BE103" s="131"/>
      <c r="BF103" s="131"/>
      <c r="BG103" s="131"/>
      <c r="BH103" s="131"/>
      <c r="BI103" s="131"/>
      <c r="BJ103" s="131"/>
      <c r="BK103" s="131"/>
      <c r="BL103" s="131"/>
      <c r="BM103" s="131"/>
      <c r="BN103" s="131"/>
      <c r="BO103" s="131"/>
      <c r="BP103" s="131"/>
      <c r="BQ103" s="131"/>
      <c r="BR103" s="131"/>
      <c r="BS103" s="131"/>
      <c r="BT103" s="131"/>
      <c r="BU103" s="131"/>
      <c r="BV103" s="131"/>
      <c r="BW103" s="131"/>
      <c r="BX103" s="131"/>
      <c r="BY103" s="131"/>
      <c r="BZ103" s="131"/>
      <c r="CA103" s="131"/>
      <c r="CB103" s="131"/>
      <c r="CC103" s="131"/>
      <c r="CD103" s="131"/>
      <c r="CE103" s="131"/>
      <c r="CF103" s="131"/>
      <c r="CG103" s="131"/>
      <c r="CH103" s="131"/>
      <c r="CI103" s="131"/>
      <c r="CJ103" s="131"/>
      <c r="CK103" s="131"/>
      <c r="CL103" s="131"/>
      <c r="CM103" s="131"/>
      <c r="CN103" s="131"/>
      <c r="CO103" s="131"/>
      <c r="CP103" s="131"/>
      <c r="CQ103" s="131"/>
      <c r="CR103" s="131"/>
      <c r="CS103" s="131"/>
      <c r="CT103" s="131"/>
      <c r="CU103" s="131"/>
      <c r="CV103" s="131"/>
      <c r="CW103" s="131"/>
      <c r="CX103" s="131"/>
      <c r="CY103" s="131"/>
      <c r="CZ103" s="131"/>
      <c r="DA103" s="131"/>
      <c r="DB103" s="131"/>
      <c r="DC103" s="131"/>
      <c r="DD103" s="131"/>
      <c r="DE103" s="131"/>
      <c r="DF103" s="131"/>
      <c r="DG103" s="131"/>
      <c r="DH103" s="131"/>
      <c r="DI103" s="131"/>
      <c r="DJ103" s="131"/>
      <c r="DK103" s="131"/>
      <c r="DL103" s="131"/>
      <c r="DM103" s="131"/>
      <c r="DN103" s="131"/>
      <c r="DO103" s="131"/>
      <c r="DP103" s="131"/>
      <c r="DQ103" s="131"/>
      <c r="DR103" s="131"/>
      <c r="DS103" s="131"/>
      <c r="DT103" s="131"/>
      <c r="DU103" s="131"/>
      <c r="DV103" s="131"/>
      <c r="DW103" s="131"/>
      <c r="DX103" s="131"/>
      <c r="DY103" s="131"/>
      <c r="DZ103" s="131"/>
      <c r="EA103" s="131"/>
      <c r="EB103" s="131"/>
      <c r="EC103" s="131"/>
      <c r="ED103" s="131"/>
      <c r="EE103" s="131"/>
      <c r="EF103" s="131"/>
      <c r="EG103" s="131"/>
      <c r="EH103" s="131"/>
      <c r="EI103" s="131"/>
      <c r="EJ103" s="131"/>
      <c r="EK103" s="131"/>
      <c r="EL103" s="131"/>
      <c r="EM103" s="131"/>
      <c r="EN103" s="131"/>
      <c r="EO103" s="131"/>
      <c r="EP103" s="131"/>
      <c r="EQ103" s="131"/>
      <c r="ER103" s="131"/>
      <c r="ES103" s="131"/>
      <c r="ET103" s="131"/>
      <c r="EU103" s="131"/>
      <c r="EV103" s="131"/>
      <c r="EW103" s="131"/>
      <c r="EX103" s="131"/>
      <c r="EY103" s="131"/>
      <c r="EZ103" s="131"/>
      <c r="FA103" s="131"/>
      <c r="FB103" s="131"/>
      <c r="FC103" s="131"/>
      <c r="FD103" s="131"/>
      <c r="FE103" s="131"/>
      <c r="FF103" s="131"/>
      <c r="FG103" s="131"/>
      <c r="FH103" s="131"/>
      <c r="FI103" s="131"/>
      <c r="FJ103" s="131"/>
      <c r="FK103" s="131"/>
      <c r="FL103" s="131"/>
      <c r="FM103" s="131"/>
      <c r="FN103" s="131"/>
      <c r="FO103" s="131"/>
      <c r="FP103" s="131"/>
      <c r="FQ103" s="131"/>
      <c r="FR103" s="131"/>
      <c r="FS103" s="131"/>
      <c r="FT103" s="131"/>
      <c r="FU103" s="131"/>
      <c r="FV103" s="131"/>
      <c r="FW103" s="131"/>
      <c r="FX103" s="131"/>
      <c r="FY103" s="131"/>
      <c r="FZ103" s="131"/>
      <c r="GA103" s="131"/>
      <c r="GB103" s="131"/>
      <c r="GC103" s="131"/>
      <c r="GD103" s="131"/>
      <c r="GE103" s="131"/>
      <c r="GF103" s="131"/>
      <c r="GG103" s="131"/>
      <c r="GH103" s="131"/>
      <c r="GI103" s="131"/>
      <c r="GJ103" s="131"/>
      <c r="GK103" s="131"/>
      <c r="GL103" s="131"/>
      <c r="GM103" s="131"/>
      <c r="GN103" s="131"/>
      <c r="GO103" s="131"/>
      <c r="GP103" s="131"/>
      <c r="GQ103" s="131"/>
      <c r="GR103" s="131"/>
      <c r="GS103" s="131"/>
      <c r="GT103" s="131"/>
      <c r="GU103" s="131"/>
      <c r="GV103" s="131"/>
      <c r="GW103" s="131"/>
      <c r="GX103" s="131"/>
      <c r="GY103" s="131"/>
      <c r="GZ103" s="131"/>
      <c r="HA103" s="131"/>
      <c r="HB103" s="131"/>
      <c r="HC103" s="131"/>
      <c r="HD103" s="131"/>
      <c r="HE103" s="131"/>
      <c r="HF103" s="131"/>
      <c r="HG103" s="131"/>
      <c r="HH103" s="131"/>
      <c r="HI103" s="131"/>
      <c r="HJ103" s="131"/>
      <c r="HK103" s="131"/>
      <c r="HL103" s="131"/>
      <c r="HM103" s="131"/>
      <c r="HN103" s="131"/>
      <c r="HO103" s="131"/>
      <c r="HP103" s="131"/>
      <c r="HQ103" s="131"/>
      <c r="HR103" s="131"/>
      <c r="HS103" s="131"/>
      <c r="HT103" s="131"/>
      <c r="HU103" s="131"/>
      <c r="HV103" s="131"/>
      <c r="HW103" s="131"/>
      <c r="HX103" s="131"/>
      <c r="HY103" s="131"/>
      <c r="HZ103" s="131"/>
      <c r="IA103" s="131"/>
      <c r="IB103" s="131"/>
      <c r="IC103" s="131"/>
      <c r="ID103" s="131"/>
      <c r="IE103" s="131"/>
      <c r="IF103" s="131"/>
      <c r="IG103" s="131"/>
      <c r="IH103" s="131"/>
      <c r="II103" s="131"/>
      <c r="IJ103" s="131"/>
      <c r="IK103" s="131"/>
      <c r="IL103" s="131"/>
      <c r="IM103" s="131"/>
      <c r="IN103" s="131"/>
      <c r="IO103" s="131"/>
      <c r="IP103" s="131"/>
      <c r="IQ103" s="131"/>
      <c r="IR103" s="131"/>
      <c r="IS103" s="131"/>
      <c r="IT103" s="131"/>
      <c r="IU103" s="131"/>
      <c r="IV103" s="131"/>
      <c r="IW103" s="131"/>
      <c r="IX103" s="131"/>
      <c r="IY103" s="131"/>
      <c r="IZ103" s="131"/>
      <c r="JA103" s="131"/>
      <c r="JB103" s="131"/>
      <c r="JC103" s="131"/>
      <c r="JD103" s="131"/>
      <c r="JE103" s="131"/>
      <c r="JF103" s="131"/>
      <c r="JG103" s="131"/>
      <c r="JH103" s="131"/>
      <c r="JI103" s="131"/>
      <c r="JJ103" s="131"/>
      <c r="JK103" s="131"/>
      <c r="JL103" s="131"/>
      <c r="JM103" s="131"/>
      <c r="JN103" s="131"/>
      <c r="JO103" s="131"/>
      <c r="JP103" s="131"/>
      <c r="JQ103" s="131"/>
      <c r="JR103" s="131"/>
      <c r="JS103" s="131"/>
      <c r="JT103" s="131"/>
      <c r="JU103" s="131"/>
      <c r="JV103" s="131"/>
      <c r="JW103" s="131"/>
      <c r="JX103" s="131"/>
      <c r="JY103" s="131"/>
      <c r="JZ103" s="131"/>
      <c r="KA103" s="131"/>
      <c r="KB103" s="131"/>
      <c r="KC103" s="131"/>
      <c r="KD103" s="131"/>
      <c r="KE103" s="131"/>
      <c r="KF103" s="131"/>
      <c r="KG103" s="131"/>
      <c r="KH103" s="131"/>
      <c r="KI103" s="131"/>
      <c r="KJ103" s="131"/>
      <c r="KK103" s="131"/>
      <c r="KL103" s="131"/>
      <c r="KM103" s="131"/>
      <c r="KN103" s="131"/>
      <c r="KO103" s="131"/>
      <c r="KP103" s="131"/>
      <c r="KQ103" s="131"/>
      <c r="KR103" s="131"/>
      <c r="KS103" s="131"/>
      <c r="KT103" s="131"/>
      <c r="KU103" s="131"/>
      <c r="KV103" s="131"/>
      <c r="KW103" s="131"/>
      <c r="KX103" s="131"/>
      <c r="KY103" s="131"/>
      <c r="KZ103" s="131"/>
      <c r="LA103" s="131"/>
      <c r="LB103" s="131"/>
      <c r="LC103" s="131"/>
      <c r="LD103" s="131"/>
      <c r="LE103" s="131"/>
      <c r="LF103" s="131"/>
      <c r="LG103" s="131"/>
      <c r="LH103" s="131"/>
      <c r="LI103" s="131"/>
      <c r="LJ103" s="131"/>
      <c r="LK103" s="131"/>
      <c r="LL103" s="131"/>
      <c r="LM103" s="131"/>
      <c r="LN103" s="131"/>
      <c r="LO103" s="131"/>
      <c r="LP103" s="131"/>
      <c r="LQ103" s="131"/>
      <c r="LR103" s="131"/>
      <c r="LS103" s="131"/>
      <c r="LT103" s="131"/>
      <c r="LU103" s="131"/>
      <c r="LV103" s="131"/>
      <c r="LW103" s="131"/>
      <c r="LX103" s="131"/>
      <c r="LY103" s="131"/>
      <c r="LZ103" s="131"/>
      <c r="MA103" s="131"/>
      <c r="MB103" s="131"/>
      <c r="MC103" s="131"/>
      <c r="MD103" s="131"/>
      <c r="ME103" s="131"/>
      <c r="MF103" s="131"/>
      <c r="MG103" s="131"/>
      <c r="MH103" s="131"/>
      <c r="MI103" s="131"/>
      <c r="MJ103" s="131"/>
      <c r="MK103" s="131"/>
      <c r="ML103" s="131"/>
      <c r="MM103" s="131"/>
      <c r="MN103" s="131"/>
      <c r="MO103" s="131"/>
      <c r="MP103" s="131"/>
      <c r="MQ103" s="131"/>
      <c r="MR103" s="131"/>
      <c r="MS103" s="131"/>
      <c r="MT103" s="131"/>
      <c r="MU103" s="131"/>
      <c r="MV103" s="131"/>
      <c r="MW103" s="131"/>
      <c r="MX103" s="131"/>
      <c r="MY103" s="131"/>
      <c r="MZ103" s="131"/>
      <c r="NA103" s="131"/>
      <c r="NB103" s="131"/>
      <c r="NC103" s="131"/>
      <c r="ND103" s="131"/>
      <c r="NE103" s="131"/>
      <c r="NF103" s="131"/>
      <c r="NG103" s="131"/>
      <c r="NH103" s="131"/>
      <c r="NI103" s="131"/>
      <c r="NJ103" s="131"/>
      <c r="NK103" s="131"/>
      <c r="NL103" s="131"/>
      <c r="NM103" s="131"/>
      <c r="NN103" s="131"/>
      <c r="NO103" s="131"/>
      <c r="NP103" s="131"/>
      <c r="NQ103" s="131"/>
      <c r="NR103" s="131"/>
      <c r="NS103" s="131"/>
      <c r="NT103" s="131"/>
      <c r="NU103" s="131"/>
      <c r="NV103" s="131"/>
      <c r="NW103" s="24">
        <f t="shared" si="11"/>
        <v>0</v>
      </c>
      <c r="NX103" s="56" t="s">
        <v>36</v>
      </c>
      <c r="NY103" s="127">
        <v>808.44</v>
      </c>
      <c r="NZ103" s="78">
        <f t="shared" si="14"/>
        <v>0</v>
      </c>
      <c r="OA103" s="78">
        <v>471.69999999999993</v>
      </c>
      <c r="OB103" s="127">
        <f t="shared" si="12"/>
        <v>808.44</v>
      </c>
      <c r="OC103" s="153"/>
      <c r="OD103" s="108">
        <f t="shared" si="15"/>
        <v>1.7138859444562224</v>
      </c>
      <c r="OE103" s="160" t="s">
        <v>553</v>
      </c>
    </row>
    <row r="104" spans="1:395" s="5" customFormat="1" ht="12.75" customHeight="1" x14ac:dyDescent="0.25">
      <c r="A104" s="62">
        <v>44558</v>
      </c>
      <c r="B104" s="116" t="s">
        <v>439</v>
      </c>
      <c r="C104" s="129"/>
      <c r="D104" s="129"/>
      <c r="E104" s="130"/>
      <c r="F104" s="130"/>
      <c r="G104" s="130"/>
      <c r="H104" s="130"/>
      <c r="I104" s="130"/>
      <c r="J104" s="130"/>
      <c r="K104" s="130"/>
      <c r="L104" s="130"/>
      <c r="M104" s="131"/>
      <c r="N104" s="131"/>
      <c r="O104" s="131"/>
      <c r="P104" s="131"/>
      <c r="Q104" s="131"/>
      <c r="R104" s="131"/>
      <c r="S104" s="131"/>
      <c r="T104" s="131"/>
      <c r="U104" s="131"/>
      <c r="V104" s="131"/>
      <c r="W104" s="131"/>
      <c r="X104" s="131"/>
      <c r="Y104" s="131"/>
      <c r="Z104" s="131"/>
      <c r="AA104" s="131"/>
      <c r="AB104" s="131"/>
      <c r="AC104" s="131"/>
      <c r="AD104" s="131"/>
      <c r="AE104" s="131"/>
      <c r="AF104" s="131"/>
      <c r="AG104" s="131"/>
      <c r="AH104" s="131"/>
      <c r="AI104" s="131"/>
      <c r="AJ104" s="131"/>
      <c r="AK104" s="131"/>
      <c r="AL104" s="131"/>
      <c r="AM104" s="131"/>
      <c r="AN104" s="131"/>
      <c r="AO104" s="131"/>
      <c r="AP104" s="131"/>
      <c r="AQ104" s="131"/>
      <c r="AR104" s="131"/>
      <c r="AS104" s="131"/>
      <c r="AT104" s="131"/>
      <c r="AU104" s="131"/>
      <c r="AV104" s="131"/>
      <c r="AW104" s="131"/>
      <c r="AX104" s="131"/>
      <c r="AY104" s="131"/>
      <c r="AZ104" s="131"/>
      <c r="BA104" s="131"/>
      <c r="BB104" s="131"/>
      <c r="BC104" s="131"/>
      <c r="BD104" s="131"/>
      <c r="BE104" s="131"/>
      <c r="BF104" s="131"/>
      <c r="BG104" s="131"/>
      <c r="BH104" s="131"/>
      <c r="BI104" s="131"/>
      <c r="BJ104" s="131"/>
      <c r="BK104" s="131"/>
      <c r="BL104" s="131"/>
      <c r="BM104" s="131"/>
      <c r="BN104" s="131"/>
      <c r="BO104" s="131"/>
      <c r="BP104" s="131"/>
      <c r="BQ104" s="131"/>
      <c r="BR104" s="131"/>
      <c r="BS104" s="131"/>
      <c r="BT104" s="131"/>
      <c r="BU104" s="131"/>
      <c r="BV104" s="131"/>
      <c r="BW104" s="131"/>
      <c r="BX104" s="131"/>
      <c r="BY104" s="131"/>
      <c r="BZ104" s="131"/>
      <c r="CA104" s="131"/>
      <c r="CB104" s="131"/>
      <c r="CC104" s="131"/>
      <c r="CD104" s="131"/>
      <c r="CE104" s="131"/>
      <c r="CF104" s="131"/>
      <c r="CG104" s="131"/>
      <c r="CH104" s="131"/>
      <c r="CI104" s="131"/>
      <c r="CJ104" s="131"/>
      <c r="CK104" s="131"/>
      <c r="CL104" s="131"/>
      <c r="CM104" s="131"/>
      <c r="CN104" s="131"/>
      <c r="CO104" s="131"/>
      <c r="CP104" s="131"/>
      <c r="CQ104" s="131"/>
      <c r="CR104" s="131"/>
      <c r="CS104" s="131"/>
      <c r="CT104" s="131"/>
      <c r="CU104" s="131"/>
      <c r="CV104" s="131"/>
      <c r="CW104" s="131"/>
      <c r="CX104" s="131"/>
      <c r="CY104" s="131"/>
      <c r="CZ104" s="131"/>
      <c r="DA104" s="131"/>
      <c r="DB104" s="131"/>
      <c r="DC104" s="131"/>
      <c r="DD104" s="131"/>
      <c r="DE104" s="131"/>
      <c r="DF104" s="131"/>
      <c r="DG104" s="131"/>
      <c r="DH104" s="131"/>
      <c r="DI104" s="131"/>
      <c r="DJ104" s="131"/>
      <c r="DK104" s="131"/>
      <c r="DL104" s="131"/>
      <c r="DM104" s="131"/>
      <c r="DN104" s="131"/>
      <c r="DO104" s="131"/>
      <c r="DP104" s="131"/>
      <c r="DQ104" s="131"/>
      <c r="DR104" s="131"/>
      <c r="DS104" s="131"/>
      <c r="DT104" s="131"/>
      <c r="DU104" s="131"/>
      <c r="DV104" s="131"/>
      <c r="DW104" s="131"/>
      <c r="DX104" s="131"/>
      <c r="DY104" s="131"/>
      <c r="DZ104" s="131"/>
      <c r="EA104" s="131"/>
      <c r="EB104" s="131"/>
      <c r="EC104" s="131"/>
      <c r="ED104" s="131"/>
      <c r="EE104" s="131"/>
      <c r="EF104" s="131"/>
      <c r="EG104" s="131"/>
      <c r="EH104" s="131"/>
      <c r="EI104" s="131"/>
      <c r="EJ104" s="131"/>
      <c r="EK104" s="131"/>
      <c r="EL104" s="131"/>
      <c r="EM104" s="131"/>
      <c r="EN104" s="131"/>
      <c r="EO104" s="131"/>
      <c r="EP104" s="131"/>
      <c r="EQ104" s="131"/>
      <c r="ER104" s="131"/>
      <c r="ES104" s="131"/>
      <c r="ET104" s="131"/>
      <c r="EU104" s="131"/>
      <c r="EV104" s="131"/>
      <c r="EW104" s="131"/>
      <c r="EX104" s="131"/>
      <c r="EY104" s="131"/>
      <c r="EZ104" s="131"/>
      <c r="FA104" s="131"/>
      <c r="FB104" s="131"/>
      <c r="FC104" s="131"/>
      <c r="FD104" s="131"/>
      <c r="FE104" s="131"/>
      <c r="FF104" s="131"/>
      <c r="FG104" s="131"/>
      <c r="FH104" s="131"/>
      <c r="FI104" s="131"/>
      <c r="FJ104" s="131"/>
      <c r="FK104" s="131"/>
      <c r="FL104" s="131"/>
      <c r="FM104" s="131"/>
      <c r="FN104" s="131"/>
      <c r="FO104" s="131"/>
      <c r="FP104" s="131"/>
      <c r="FQ104" s="131"/>
      <c r="FR104" s="131"/>
      <c r="FS104" s="131"/>
      <c r="FT104" s="131"/>
      <c r="FU104" s="131"/>
      <c r="FV104" s="131"/>
      <c r="FW104" s="131"/>
      <c r="FX104" s="131"/>
      <c r="FY104" s="131"/>
      <c r="FZ104" s="131"/>
      <c r="GA104" s="131"/>
      <c r="GB104" s="131"/>
      <c r="GC104" s="131"/>
      <c r="GD104" s="131"/>
      <c r="GE104" s="131"/>
      <c r="GF104" s="131"/>
      <c r="GG104" s="131"/>
      <c r="GH104" s="131"/>
      <c r="GI104" s="131"/>
      <c r="GJ104" s="131"/>
      <c r="GK104" s="131"/>
      <c r="GL104" s="131"/>
      <c r="GM104" s="131"/>
      <c r="GN104" s="131"/>
      <c r="GO104" s="131"/>
      <c r="GP104" s="131"/>
      <c r="GQ104" s="131"/>
      <c r="GR104" s="131"/>
      <c r="GS104" s="131"/>
      <c r="GT104" s="131"/>
      <c r="GU104" s="131"/>
      <c r="GV104" s="131"/>
      <c r="GW104" s="131"/>
      <c r="GX104" s="131"/>
      <c r="GY104" s="131"/>
      <c r="GZ104" s="131"/>
      <c r="HA104" s="131"/>
      <c r="HB104" s="131"/>
      <c r="HC104" s="131"/>
      <c r="HD104" s="131"/>
      <c r="HE104" s="131"/>
      <c r="HF104" s="131"/>
      <c r="HG104" s="131"/>
      <c r="HH104" s="131"/>
      <c r="HI104" s="131"/>
      <c r="HJ104" s="131"/>
      <c r="HK104" s="131"/>
      <c r="HL104" s="131"/>
      <c r="HM104" s="131"/>
      <c r="HN104" s="131"/>
      <c r="HO104" s="131"/>
      <c r="HP104" s="131"/>
      <c r="HQ104" s="131"/>
      <c r="HR104" s="131"/>
      <c r="HS104" s="131"/>
      <c r="HT104" s="131"/>
      <c r="HU104" s="131"/>
      <c r="HV104" s="131"/>
      <c r="HW104" s="131"/>
      <c r="HX104" s="131"/>
      <c r="HY104" s="131"/>
      <c r="HZ104" s="131"/>
      <c r="IA104" s="131"/>
      <c r="IB104" s="131"/>
      <c r="IC104" s="131"/>
      <c r="ID104" s="131"/>
      <c r="IE104" s="131"/>
      <c r="IF104" s="131"/>
      <c r="IG104" s="131"/>
      <c r="IH104" s="131"/>
      <c r="II104" s="131"/>
      <c r="IJ104" s="131"/>
      <c r="IK104" s="131"/>
      <c r="IL104" s="131"/>
      <c r="IM104" s="131"/>
      <c r="IN104" s="131"/>
      <c r="IO104" s="131"/>
      <c r="IP104" s="131"/>
      <c r="IQ104" s="131"/>
      <c r="IR104" s="131"/>
      <c r="IS104" s="131"/>
      <c r="IT104" s="131"/>
      <c r="IU104" s="131"/>
      <c r="IV104" s="131"/>
      <c r="IW104" s="131"/>
      <c r="IX104" s="131"/>
      <c r="IY104" s="131"/>
      <c r="IZ104" s="131"/>
      <c r="JA104" s="131"/>
      <c r="JB104" s="131"/>
      <c r="JC104" s="131"/>
      <c r="JD104" s="131"/>
      <c r="JE104" s="131"/>
      <c r="JF104" s="131"/>
      <c r="JG104" s="131"/>
      <c r="JH104" s="131"/>
      <c r="JI104" s="131"/>
      <c r="JJ104" s="131"/>
      <c r="JK104" s="131"/>
      <c r="JL104" s="131"/>
      <c r="JM104" s="131"/>
      <c r="JN104" s="131"/>
      <c r="JO104" s="131"/>
      <c r="JP104" s="131"/>
      <c r="JQ104" s="131"/>
      <c r="JR104" s="131"/>
      <c r="JS104" s="131"/>
      <c r="JT104" s="131"/>
      <c r="JU104" s="131"/>
      <c r="JV104" s="131"/>
      <c r="JW104" s="131"/>
      <c r="JX104" s="131"/>
      <c r="JY104" s="131"/>
      <c r="JZ104" s="131"/>
      <c r="KA104" s="131"/>
      <c r="KB104" s="131"/>
      <c r="KC104" s="131"/>
      <c r="KD104" s="131"/>
      <c r="KE104" s="131"/>
      <c r="KF104" s="131"/>
      <c r="KG104" s="131"/>
      <c r="KH104" s="131"/>
      <c r="KI104" s="131"/>
      <c r="KJ104" s="131"/>
      <c r="KK104" s="131"/>
      <c r="KL104" s="131"/>
      <c r="KM104" s="131"/>
      <c r="KN104" s="131"/>
      <c r="KO104" s="131"/>
      <c r="KP104" s="131"/>
      <c r="KQ104" s="131"/>
      <c r="KR104" s="131"/>
      <c r="KS104" s="131"/>
      <c r="KT104" s="131"/>
      <c r="KU104" s="131"/>
      <c r="KV104" s="131"/>
      <c r="KW104" s="131"/>
      <c r="KX104" s="131"/>
      <c r="KY104" s="131"/>
      <c r="KZ104" s="131"/>
      <c r="LA104" s="131"/>
      <c r="LB104" s="131"/>
      <c r="LC104" s="131"/>
      <c r="LD104" s="131"/>
      <c r="LE104" s="131"/>
      <c r="LF104" s="131"/>
      <c r="LG104" s="131"/>
      <c r="LH104" s="131"/>
      <c r="LI104" s="131"/>
      <c r="LJ104" s="131"/>
      <c r="LK104" s="131"/>
      <c r="LL104" s="131"/>
      <c r="LM104" s="131"/>
      <c r="LN104" s="131"/>
      <c r="LO104" s="131"/>
      <c r="LP104" s="131"/>
      <c r="LQ104" s="131"/>
      <c r="LR104" s="131"/>
      <c r="LS104" s="131"/>
      <c r="LT104" s="131"/>
      <c r="LU104" s="131"/>
      <c r="LV104" s="131"/>
      <c r="LW104" s="131"/>
      <c r="LX104" s="131"/>
      <c r="LY104" s="131"/>
      <c r="LZ104" s="131"/>
      <c r="MA104" s="131"/>
      <c r="MB104" s="131"/>
      <c r="MC104" s="131"/>
      <c r="MD104" s="131"/>
      <c r="ME104" s="131"/>
      <c r="MF104" s="131"/>
      <c r="MG104" s="131"/>
      <c r="MH104" s="131"/>
      <c r="MI104" s="131"/>
      <c r="MJ104" s="131"/>
      <c r="MK104" s="131"/>
      <c r="ML104" s="131"/>
      <c r="MM104" s="131"/>
      <c r="MN104" s="131"/>
      <c r="MO104" s="131"/>
      <c r="MP104" s="131"/>
      <c r="MQ104" s="131"/>
      <c r="MR104" s="131"/>
      <c r="MS104" s="131"/>
      <c r="MT104" s="131"/>
      <c r="MU104" s="131"/>
      <c r="MV104" s="131"/>
      <c r="MW104" s="131"/>
      <c r="MX104" s="131"/>
      <c r="MY104" s="131"/>
      <c r="MZ104" s="131"/>
      <c r="NA104" s="131"/>
      <c r="NB104" s="131"/>
      <c r="NC104" s="131"/>
      <c r="ND104" s="131"/>
      <c r="NE104" s="131"/>
      <c r="NF104" s="131"/>
      <c r="NG104" s="131"/>
      <c r="NH104" s="131"/>
      <c r="NI104" s="131"/>
      <c r="NJ104" s="131"/>
      <c r="NK104" s="131"/>
      <c r="NL104" s="131"/>
      <c r="NM104" s="131"/>
      <c r="NN104" s="131"/>
      <c r="NO104" s="131"/>
      <c r="NP104" s="131"/>
      <c r="NQ104" s="131"/>
      <c r="NR104" s="131"/>
      <c r="NS104" s="131"/>
      <c r="NT104" s="131"/>
      <c r="NU104" s="131"/>
      <c r="NV104" s="131"/>
      <c r="NW104" s="24">
        <f t="shared" si="11"/>
        <v>0</v>
      </c>
      <c r="NX104" s="56" t="s">
        <v>36</v>
      </c>
      <c r="NY104" s="127">
        <v>1293.3599999999999</v>
      </c>
      <c r="NZ104" s="78">
        <f t="shared" si="14"/>
        <v>354.36</v>
      </c>
      <c r="OA104" s="78">
        <v>677.3</v>
      </c>
      <c r="OB104" s="127">
        <f t="shared" si="12"/>
        <v>938.99999999999989</v>
      </c>
      <c r="OC104" s="153">
        <v>354.36</v>
      </c>
      <c r="OD104" s="108">
        <f t="shared" si="15"/>
        <v>1.9095821644765982</v>
      </c>
      <c r="OE104" s="160" t="s">
        <v>555</v>
      </c>
    </row>
    <row r="105" spans="1:395" s="5" customFormat="1" ht="12.75" customHeight="1" x14ac:dyDescent="0.25">
      <c r="A105" s="62">
        <v>44558</v>
      </c>
      <c r="B105" s="106" t="s">
        <v>146</v>
      </c>
      <c r="C105" s="129"/>
      <c r="D105" s="129"/>
      <c r="E105" s="130"/>
      <c r="F105" s="130"/>
      <c r="G105" s="130"/>
      <c r="H105" s="130"/>
      <c r="I105" s="130"/>
      <c r="J105" s="130"/>
      <c r="K105" s="130"/>
      <c r="L105" s="130"/>
      <c r="M105" s="131"/>
      <c r="N105" s="131"/>
      <c r="O105" s="131"/>
      <c r="P105" s="131"/>
      <c r="Q105" s="131"/>
      <c r="R105" s="131"/>
      <c r="S105" s="131"/>
      <c r="T105" s="131"/>
      <c r="U105" s="131"/>
      <c r="V105" s="131"/>
      <c r="W105" s="131"/>
      <c r="X105" s="131"/>
      <c r="Y105" s="131"/>
      <c r="Z105" s="131"/>
      <c r="AA105" s="131"/>
      <c r="AB105" s="131"/>
      <c r="AC105" s="131"/>
      <c r="AD105" s="131"/>
      <c r="AE105" s="131"/>
      <c r="AF105" s="131"/>
      <c r="AG105" s="131"/>
      <c r="AH105" s="131"/>
      <c r="AI105" s="131"/>
      <c r="AJ105" s="131"/>
      <c r="AK105" s="131"/>
      <c r="AL105" s="131"/>
      <c r="AM105" s="131"/>
      <c r="AN105" s="131"/>
      <c r="AO105" s="131"/>
      <c r="AP105" s="131"/>
      <c r="AQ105" s="131"/>
      <c r="AR105" s="131"/>
      <c r="AS105" s="131"/>
      <c r="AT105" s="131"/>
      <c r="AU105" s="131"/>
      <c r="AV105" s="131"/>
      <c r="AW105" s="131"/>
      <c r="AX105" s="131"/>
      <c r="AY105" s="131"/>
      <c r="AZ105" s="131"/>
      <c r="BA105" s="131"/>
      <c r="BB105" s="131"/>
      <c r="BC105" s="131"/>
      <c r="BD105" s="131"/>
      <c r="BE105" s="131"/>
      <c r="BF105" s="131"/>
      <c r="BG105" s="131"/>
      <c r="BH105" s="131"/>
      <c r="BI105" s="131"/>
      <c r="BJ105" s="131"/>
      <c r="BK105" s="131"/>
      <c r="BL105" s="131"/>
      <c r="BM105" s="131"/>
      <c r="BN105" s="131"/>
      <c r="BO105" s="131"/>
      <c r="BP105" s="131"/>
      <c r="BQ105" s="131"/>
      <c r="BR105" s="131"/>
      <c r="BS105" s="131"/>
      <c r="BT105" s="131"/>
      <c r="BU105" s="131"/>
      <c r="BV105" s="131"/>
      <c r="BW105" s="131"/>
      <c r="BX105" s="131"/>
      <c r="BY105" s="131"/>
      <c r="BZ105" s="131"/>
      <c r="CA105" s="131"/>
      <c r="CB105" s="131"/>
      <c r="CC105" s="131"/>
      <c r="CD105" s="131"/>
      <c r="CE105" s="131"/>
      <c r="CF105" s="131"/>
      <c r="CG105" s="131"/>
      <c r="CH105" s="131"/>
      <c r="CI105" s="131"/>
      <c r="CJ105" s="131"/>
      <c r="CK105" s="131"/>
      <c r="CL105" s="131"/>
      <c r="CM105" s="131"/>
      <c r="CN105" s="131"/>
      <c r="CO105" s="131"/>
      <c r="CP105" s="131"/>
      <c r="CQ105" s="131"/>
      <c r="CR105" s="131"/>
      <c r="CS105" s="131"/>
      <c r="CT105" s="131"/>
      <c r="CU105" s="131"/>
      <c r="CV105" s="131"/>
      <c r="CW105" s="131"/>
      <c r="CX105" s="131"/>
      <c r="CY105" s="131"/>
      <c r="CZ105" s="131"/>
      <c r="DA105" s="131"/>
      <c r="DB105" s="131"/>
      <c r="DC105" s="131"/>
      <c r="DD105" s="131"/>
      <c r="DE105" s="131"/>
      <c r="DF105" s="131"/>
      <c r="DG105" s="131"/>
      <c r="DH105" s="131"/>
      <c r="DI105" s="131"/>
      <c r="DJ105" s="131"/>
      <c r="DK105" s="131"/>
      <c r="DL105" s="131"/>
      <c r="DM105" s="131"/>
      <c r="DN105" s="131"/>
      <c r="DO105" s="131"/>
      <c r="DP105" s="131"/>
      <c r="DQ105" s="131"/>
      <c r="DR105" s="131"/>
      <c r="DS105" s="131"/>
      <c r="DT105" s="131"/>
      <c r="DU105" s="131"/>
      <c r="DV105" s="131"/>
      <c r="DW105" s="131"/>
      <c r="DX105" s="131"/>
      <c r="DY105" s="131"/>
      <c r="DZ105" s="131"/>
      <c r="EA105" s="131"/>
      <c r="EB105" s="131"/>
      <c r="EC105" s="131"/>
      <c r="ED105" s="131"/>
      <c r="EE105" s="131"/>
      <c r="EF105" s="131"/>
      <c r="EG105" s="131"/>
      <c r="EH105" s="131"/>
      <c r="EI105" s="131"/>
      <c r="EJ105" s="131"/>
      <c r="EK105" s="131"/>
      <c r="EL105" s="131"/>
      <c r="EM105" s="131"/>
      <c r="EN105" s="131"/>
      <c r="EO105" s="131"/>
      <c r="EP105" s="131"/>
      <c r="EQ105" s="131"/>
      <c r="ER105" s="131"/>
      <c r="ES105" s="131"/>
      <c r="ET105" s="131"/>
      <c r="EU105" s="131"/>
      <c r="EV105" s="131"/>
      <c r="EW105" s="131"/>
      <c r="EX105" s="131"/>
      <c r="EY105" s="131"/>
      <c r="EZ105" s="131"/>
      <c r="FA105" s="131"/>
      <c r="FB105" s="131"/>
      <c r="FC105" s="131"/>
      <c r="FD105" s="131"/>
      <c r="FE105" s="131"/>
      <c r="FF105" s="131"/>
      <c r="FG105" s="131"/>
      <c r="FH105" s="131"/>
      <c r="FI105" s="131"/>
      <c r="FJ105" s="131"/>
      <c r="FK105" s="131"/>
      <c r="FL105" s="131"/>
      <c r="FM105" s="131"/>
      <c r="FN105" s="131"/>
      <c r="FO105" s="131"/>
      <c r="FP105" s="131"/>
      <c r="FQ105" s="131"/>
      <c r="FR105" s="131"/>
      <c r="FS105" s="131"/>
      <c r="FT105" s="131"/>
      <c r="FU105" s="131"/>
      <c r="FV105" s="131"/>
      <c r="FW105" s="131"/>
      <c r="FX105" s="131"/>
      <c r="FY105" s="131"/>
      <c r="FZ105" s="131"/>
      <c r="GA105" s="131"/>
      <c r="GB105" s="131"/>
      <c r="GC105" s="131"/>
      <c r="GD105" s="131"/>
      <c r="GE105" s="131"/>
      <c r="GF105" s="131"/>
      <c r="GG105" s="131"/>
      <c r="GH105" s="131"/>
      <c r="GI105" s="131"/>
      <c r="GJ105" s="131"/>
      <c r="GK105" s="131"/>
      <c r="GL105" s="131"/>
      <c r="GM105" s="131"/>
      <c r="GN105" s="131"/>
      <c r="GO105" s="131"/>
      <c r="GP105" s="131"/>
      <c r="GQ105" s="131"/>
      <c r="GR105" s="131"/>
      <c r="GS105" s="131"/>
      <c r="GT105" s="131"/>
      <c r="GU105" s="131"/>
      <c r="GV105" s="131"/>
      <c r="GW105" s="131"/>
      <c r="GX105" s="131"/>
      <c r="GY105" s="131"/>
      <c r="GZ105" s="131"/>
      <c r="HA105" s="131"/>
      <c r="HB105" s="131"/>
      <c r="HC105" s="131"/>
      <c r="HD105" s="131"/>
      <c r="HE105" s="131"/>
      <c r="HF105" s="131"/>
      <c r="HG105" s="131"/>
      <c r="HH105" s="131"/>
      <c r="HI105" s="131"/>
      <c r="HJ105" s="131"/>
      <c r="HK105" s="131"/>
      <c r="HL105" s="131"/>
      <c r="HM105" s="131"/>
      <c r="HN105" s="131"/>
      <c r="HO105" s="131"/>
      <c r="HP105" s="131"/>
      <c r="HQ105" s="131"/>
      <c r="HR105" s="131"/>
      <c r="HS105" s="131"/>
      <c r="HT105" s="131"/>
      <c r="HU105" s="131"/>
      <c r="HV105" s="131"/>
      <c r="HW105" s="131"/>
      <c r="HX105" s="131"/>
      <c r="HY105" s="131"/>
      <c r="HZ105" s="131"/>
      <c r="IA105" s="131"/>
      <c r="IB105" s="131"/>
      <c r="IC105" s="131"/>
      <c r="ID105" s="131"/>
      <c r="IE105" s="131"/>
      <c r="IF105" s="131"/>
      <c r="IG105" s="131"/>
      <c r="IH105" s="131"/>
      <c r="II105" s="131"/>
      <c r="IJ105" s="131"/>
      <c r="IK105" s="131"/>
      <c r="IL105" s="131"/>
      <c r="IM105" s="131"/>
      <c r="IN105" s="131"/>
      <c r="IO105" s="131"/>
      <c r="IP105" s="131"/>
      <c r="IQ105" s="131"/>
      <c r="IR105" s="131"/>
      <c r="IS105" s="131"/>
      <c r="IT105" s="131"/>
      <c r="IU105" s="131"/>
      <c r="IV105" s="131"/>
      <c r="IW105" s="131"/>
      <c r="IX105" s="131"/>
      <c r="IY105" s="131"/>
      <c r="IZ105" s="131"/>
      <c r="JA105" s="131"/>
      <c r="JB105" s="131"/>
      <c r="JC105" s="131"/>
      <c r="JD105" s="131"/>
      <c r="JE105" s="131"/>
      <c r="JF105" s="131"/>
      <c r="JG105" s="131"/>
      <c r="JH105" s="131"/>
      <c r="JI105" s="131"/>
      <c r="JJ105" s="131"/>
      <c r="JK105" s="131"/>
      <c r="JL105" s="131"/>
      <c r="JM105" s="131"/>
      <c r="JN105" s="131"/>
      <c r="JO105" s="131"/>
      <c r="JP105" s="131"/>
      <c r="JQ105" s="131"/>
      <c r="JR105" s="131"/>
      <c r="JS105" s="131"/>
      <c r="JT105" s="131"/>
      <c r="JU105" s="131"/>
      <c r="JV105" s="131"/>
      <c r="JW105" s="131"/>
      <c r="JX105" s="131"/>
      <c r="JY105" s="131"/>
      <c r="JZ105" s="131"/>
      <c r="KA105" s="131"/>
      <c r="KB105" s="131"/>
      <c r="KC105" s="131"/>
      <c r="KD105" s="131"/>
      <c r="KE105" s="131"/>
      <c r="KF105" s="131"/>
      <c r="KG105" s="131"/>
      <c r="KH105" s="131"/>
      <c r="KI105" s="131"/>
      <c r="KJ105" s="131"/>
      <c r="KK105" s="131"/>
      <c r="KL105" s="131"/>
      <c r="KM105" s="131"/>
      <c r="KN105" s="131"/>
      <c r="KO105" s="131"/>
      <c r="KP105" s="131"/>
      <c r="KQ105" s="131"/>
      <c r="KR105" s="131"/>
      <c r="KS105" s="131"/>
      <c r="KT105" s="131"/>
      <c r="KU105" s="131"/>
      <c r="KV105" s="131"/>
      <c r="KW105" s="131"/>
      <c r="KX105" s="131"/>
      <c r="KY105" s="131"/>
      <c r="KZ105" s="131"/>
      <c r="LA105" s="131"/>
      <c r="LB105" s="131"/>
      <c r="LC105" s="131"/>
      <c r="LD105" s="131"/>
      <c r="LE105" s="131"/>
      <c r="LF105" s="131"/>
      <c r="LG105" s="131"/>
      <c r="LH105" s="131"/>
      <c r="LI105" s="131"/>
      <c r="LJ105" s="131"/>
      <c r="LK105" s="131"/>
      <c r="LL105" s="131"/>
      <c r="LM105" s="131"/>
      <c r="LN105" s="131"/>
      <c r="LO105" s="131"/>
      <c r="LP105" s="131"/>
      <c r="LQ105" s="131"/>
      <c r="LR105" s="131"/>
      <c r="LS105" s="131"/>
      <c r="LT105" s="131"/>
      <c r="LU105" s="131"/>
      <c r="LV105" s="131"/>
      <c r="LW105" s="131"/>
      <c r="LX105" s="131"/>
      <c r="LY105" s="131"/>
      <c r="LZ105" s="131"/>
      <c r="MA105" s="131"/>
      <c r="MB105" s="131"/>
      <c r="MC105" s="131"/>
      <c r="MD105" s="131"/>
      <c r="ME105" s="131"/>
      <c r="MF105" s="131"/>
      <c r="MG105" s="131"/>
      <c r="MH105" s="131"/>
      <c r="MI105" s="131"/>
      <c r="MJ105" s="131"/>
      <c r="MK105" s="131"/>
      <c r="ML105" s="131"/>
      <c r="MM105" s="131"/>
      <c r="MN105" s="131"/>
      <c r="MO105" s="131"/>
      <c r="MP105" s="131"/>
      <c r="MQ105" s="131"/>
      <c r="MR105" s="131"/>
      <c r="MS105" s="131"/>
      <c r="MT105" s="131"/>
      <c r="MU105" s="131"/>
      <c r="MV105" s="131"/>
      <c r="MW105" s="131"/>
      <c r="MX105" s="131"/>
      <c r="MY105" s="131"/>
      <c r="MZ105" s="131"/>
      <c r="NA105" s="131"/>
      <c r="NB105" s="131"/>
      <c r="NC105" s="131"/>
      <c r="ND105" s="131"/>
      <c r="NE105" s="131"/>
      <c r="NF105" s="131"/>
      <c r="NG105" s="131"/>
      <c r="NH105" s="131"/>
      <c r="NI105" s="131"/>
      <c r="NJ105" s="131"/>
      <c r="NK105" s="131"/>
      <c r="NL105" s="131"/>
      <c r="NM105" s="131"/>
      <c r="NN105" s="131"/>
      <c r="NO105" s="131"/>
      <c r="NP105" s="131"/>
      <c r="NQ105" s="131"/>
      <c r="NR105" s="131"/>
      <c r="NS105" s="131"/>
      <c r="NT105" s="131"/>
      <c r="NU105" s="131"/>
      <c r="NV105" s="131"/>
      <c r="NW105" s="24">
        <f t="shared" si="11"/>
        <v>0</v>
      </c>
      <c r="NX105" s="56" t="s">
        <v>36</v>
      </c>
      <c r="NY105" s="127">
        <v>988.2</v>
      </c>
      <c r="NZ105" s="78">
        <f t="shared" si="14"/>
        <v>0</v>
      </c>
      <c r="OA105" s="78">
        <v>565.79999999999995</v>
      </c>
      <c r="OB105" s="127">
        <f t="shared" si="12"/>
        <v>988.2</v>
      </c>
      <c r="OC105" s="153"/>
      <c r="OD105" s="108">
        <f t="shared" si="15"/>
        <v>1.7465535524920468</v>
      </c>
      <c r="OE105" s="160" t="s">
        <v>555</v>
      </c>
    </row>
    <row r="106" spans="1:395" s="5" customFormat="1" ht="12.75" customHeight="1" x14ac:dyDescent="0.25">
      <c r="A106" s="62">
        <v>44558</v>
      </c>
      <c r="B106" s="116" t="s">
        <v>297</v>
      </c>
      <c r="C106" s="129"/>
      <c r="D106" s="129"/>
      <c r="E106" s="130"/>
      <c r="F106" s="130"/>
      <c r="G106" s="130"/>
      <c r="H106" s="130"/>
      <c r="I106" s="130"/>
      <c r="J106" s="130"/>
      <c r="K106" s="130"/>
      <c r="L106" s="130"/>
      <c r="M106" s="131"/>
      <c r="N106" s="131"/>
      <c r="O106" s="131"/>
      <c r="P106" s="131"/>
      <c r="Q106" s="131"/>
      <c r="R106" s="131"/>
      <c r="S106" s="131"/>
      <c r="T106" s="131"/>
      <c r="U106" s="131"/>
      <c r="V106" s="131"/>
      <c r="W106" s="131"/>
      <c r="X106" s="131"/>
      <c r="Y106" s="131"/>
      <c r="Z106" s="131"/>
      <c r="AA106" s="131"/>
      <c r="AB106" s="131"/>
      <c r="AC106" s="131"/>
      <c r="AD106" s="131"/>
      <c r="AE106" s="131"/>
      <c r="AF106" s="131"/>
      <c r="AG106" s="131"/>
      <c r="AH106" s="131"/>
      <c r="AI106" s="131"/>
      <c r="AJ106" s="131"/>
      <c r="AK106" s="131"/>
      <c r="AL106" s="131"/>
      <c r="AM106" s="131"/>
      <c r="AN106" s="131"/>
      <c r="AO106" s="131"/>
      <c r="AP106" s="131"/>
      <c r="AQ106" s="131"/>
      <c r="AR106" s="131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1"/>
      <c r="BD106" s="131"/>
      <c r="BE106" s="131"/>
      <c r="BF106" s="131"/>
      <c r="BG106" s="131"/>
      <c r="BH106" s="131"/>
      <c r="BI106" s="131"/>
      <c r="BJ106" s="131"/>
      <c r="BK106" s="131"/>
      <c r="BL106" s="131"/>
      <c r="BM106" s="131"/>
      <c r="BN106" s="131"/>
      <c r="BO106" s="131"/>
      <c r="BP106" s="131"/>
      <c r="BQ106" s="131"/>
      <c r="BR106" s="131"/>
      <c r="BS106" s="131"/>
      <c r="BT106" s="131"/>
      <c r="BU106" s="131"/>
      <c r="BV106" s="131"/>
      <c r="BW106" s="131"/>
      <c r="BX106" s="131"/>
      <c r="BY106" s="131"/>
      <c r="BZ106" s="131"/>
      <c r="CA106" s="131"/>
      <c r="CB106" s="131"/>
      <c r="CC106" s="131"/>
      <c r="CD106" s="131"/>
      <c r="CE106" s="131"/>
      <c r="CF106" s="131"/>
      <c r="CG106" s="131"/>
      <c r="CH106" s="131"/>
      <c r="CI106" s="131"/>
      <c r="CJ106" s="131"/>
      <c r="CK106" s="131"/>
      <c r="CL106" s="131"/>
      <c r="CM106" s="131"/>
      <c r="CN106" s="131"/>
      <c r="CO106" s="131"/>
      <c r="CP106" s="131"/>
      <c r="CQ106" s="131"/>
      <c r="CR106" s="131"/>
      <c r="CS106" s="131"/>
      <c r="CT106" s="131"/>
      <c r="CU106" s="131"/>
      <c r="CV106" s="131"/>
      <c r="CW106" s="131"/>
      <c r="CX106" s="131"/>
      <c r="CY106" s="131"/>
      <c r="CZ106" s="131"/>
      <c r="DA106" s="131"/>
      <c r="DB106" s="131"/>
      <c r="DC106" s="131"/>
      <c r="DD106" s="131"/>
      <c r="DE106" s="131"/>
      <c r="DF106" s="131"/>
      <c r="DG106" s="131"/>
      <c r="DH106" s="131"/>
      <c r="DI106" s="131"/>
      <c r="DJ106" s="131"/>
      <c r="DK106" s="131"/>
      <c r="DL106" s="131"/>
      <c r="DM106" s="131"/>
      <c r="DN106" s="131"/>
      <c r="DO106" s="131"/>
      <c r="DP106" s="131"/>
      <c r="DQ106" s="131"/>
      <c r="DR106" s="131"/>
      <c r="DS106" s="131"/>
      <c r="DT106" s="131"/>
      <c r="DU106" s="131"/>
      <c r="DV106" s="131"/>
      <c r="DW106" s="131"/>
      <c r="DX106" s="131"/>
      <c r="DY106" s="131"/>
      <c r="DZ106" s="131"/>
      <c r="EA106" s="131"/>
      <c r="EB106" s="131"/>
      <c r="EC106" s="131"/>
      <c r="ED106" s="131"/>
      <c r="EE106" s="131"/>
      <c r="EF106" s="131"/>
      <c r="EG106" s="131"/>
      <c r="EH106" s="131"/>
      <c r="EI106" s="131"/>
      <c r="EJ106" s="131"/>
      <c r="EK106" s="131"/>
      <c r="EL106" s="131"/>
      <c r="EM106" s="131"/>
      <c r="EN106" s="131"/>
      <c r="EO106" s="131"/>
      <c r="EP106" s="131"/>
      <c r="EQ106" s="131"/>
      <c r="ER106" s="131"/>
      <c r="ES106" s="131"/>
      <c r="ET106" s="131"/>
      <c r="EU106" s="131"/>
      <c r="EV106" s="131"/>
      <c r="EW106" s="131"/>
      <c r="EX106" s="131"/>
      <c r="EY106" s="131"/>
      <c r="EZ106" s="131"/>
      <c r="FA106" s="131"/>
      <c r="FB106" s="131"/>
      <c r="FC106" s="131"/>
      <c r="FD106" s="131"/>
      <c r="FE106" s="131"/>
      <c r="FF106" s="131"/>
      <c r="FG106" s="131"/>
      <c r="FH106" s="131"/>
      <c r="FI106" s="131"/>
      <c r="FJ106" s="131"/>
      <c r="FK106" s="131"/>
      <c r="FL106" s="131"/>
      <c r="FM106" s="131"/>
      <c r="FN106" s="131"/>
      <c r="FO106" s="131"/>
      <c r="FP106" s="131"/>
      <c r="FQ106" s="131"/>
      <c r="FR106" s="131"/>
      <c r="FS106" s="131"/>
      <c r="FT106" s="131"/>
      <c r="FU106" s="131"/>
      <c r="FV106" s="131"/>
      <c r="FW106" s="131"/>
      <c r="FX106" s="131"/>
      <c r="FY106" s="131"/>
      <c r="FZ106" s="131"/>
      <c r="GA106" s="131"/>
      <c r="GB106" s="131"/>
      <c r="GC106" s="131"/>
      <c r="GD106" s="131"/>
      <c r="GE106" s="131"/>
      <c r="GF106" s="131"/>
      <c r="GG106" s="131"/>
      <c r="GH106" s="131"/>
      <c r="GI106" s="131"/>
      <c r="GJ106" s="131"/>
      <c r="GK106" s="131"/>
      <c r="GL106" s="131"/>
      <c r="GM106" s="131"/>
      <c r="GN106" s="131"/>
      <c r="GO106" s="131"/>
      <c r="GP106" s="131"/>
      <c r="GQ106" s="131"/>
      <c r="GR106" s="131"/>
      <c r="GS106" s="131"/>
      <c r="GT106" s="131"/>
      <c r="GU106" s="131"/>
      <c r="GV106" s="131"/>
      <c r="GW106" s="131"/>
      <c r="GX106" s="131"/>
      <c r="GY106" s="131"/>
      <c r="GZ106" s="131"/>
      <c r="HA106" s="131"/>
      <c r="HB106" s="131"/>
      <c r="HC106" s="131"/>
      <c r="HD106" s="131"/>
      <c r="HE106" s="131"/>
      <c r="HF106" s="131"/>
      <c r="HG106" s="131"/>
      <c r="HH106" s="131"/>
      <c r="HI106" s="131"/>
      <c r="HJ106" s="131"/>
      <c r="HK106" s="131"/>
      <c r="HL106" s="131"/>
      <c r="HM106" s="131"/>
      <c r="HN106" s="131"/>
      <c r="HO106" s="131"/>
      <c r="HP106" s="131"/>
      <c r="HQ106" s="131"/>
      <c r="HR106" s="131"/>
      <c r="HS106" s="131"/>
      <c r="HT106" s="131"/>
      <c r="HU106" s="131"/>
      <c r="HV106" s="131"/>
      <c r="HW106" s="131"/>
      <c r="HX106" s="131"/>
      <c r="HY106" s="131"/>
      <c r="HZ106" s="131"/>
      <c r="IA106" s="131"/>
      <c r="IB106" s="131"/>
      <c r="IC106" s="131"/>
      <c r="ID106" s="131"/>
      <c r="IE106" s="131"/>
      <c r="IF106" s="131"/>
      <c r="IG106" s="131"/>
      <c r="IH106" s="131"/>
      <c r="II106" s="131"/>
      <c r="IJ106" s="131"/>
      <c r="IK106" s="131"/>
      <c r="IL106" s="131"/>
      <c r="IM106" s="131"/>
      <c r="IN106" s="131"/>
      <c r="IO106" s="131"/>
      <c r="IP106" s="131"/>
      <c r="IQ106" s="131"/>
      <c r="IR106" s="131"/>
      <c r="IS106" s="131"/>
      <c r="IT106" s="131"/>
      <c r="IU106" s="131"/>
      <c r="IV106" s="131"/>
      <c r="IW106" s="131"/>
      <c r="IX106" s="131"/>
      <c r="IY106" s="131"/>
      <c r="IZ106" s="131"/>
      <c r="JA106" s="131"/>
      <c r="JB106" s="131"/>
      <c r="JC106" s="131"/>
      <c r="JD106" s="131"/>
      <c r="JE106" s="131"/>
      <c r="JF106" s="131"/>
      <c r="JG106" s="131"/>
      <c r="JH106" s="131"/>
      <c r="JI106" s="131"/>
      <c r="JJ106" s="131"/>
      <c r="JK106" s="131"/>
      <c r="JL106" s="131"/>
      <c r="JM106" s="131"/>
      <c r="JN106" s="131"/>
      <c r="JO106" s="131"/>
      <c r="JP106" s="131"/>
      <c r="JQ106" s="131"/>
      <c r="JR106" s="131"/>
      <c r="JS106" s="131"/>
      <c r="JT106" s="131"/>
      <c r="JU106" s="131"/>
      <c r="JV106" s="131"/>
      <c r="JW106" s="131"/>
      <c r="JX106" s="131"/>
      <c r="JY106" s="131"/>
      <c r="JZ106" s="131"/>
      <c r="KA106" s="131"/>
      <c r="KB106" s="131"/>
      <c r="KC106" s="131"/>
      <c r="KD106" s="131"/>
      <c r="KE106" s="131"/>
      <c r="KF106" s="131"/>
      <c r="KG106" s="131"/>
      <c r="KH106" s="131"/>
      <c r="KI106" s="131"/>
      <c r="KJ106" s="131"/>
      <c r="KK106" s="131"/>
      <c r="KL106" s="131"/>
      <c r="KM106" s="131"/>
      <c r="KN106" s="131"/>
      <c r="KO106" s="131"/>
      <c r="KP106" s="131"/>
      <c r="KQ106" s="131"/>
      <c r="KR106" s="131"/>
      <c r="KS106" s="131"/>
      <c r="KT106" s="131"/>
      <c r="KU106" s="131"/>
      <c r="KV106" s="131"/>
      <c r="KW106" s="131"/>
      <c r="KX106" s="131"/>
      <c r="KY106" s="131"/>
      <c r="KZ106" s="131"/>
      <c r="LA106" s="131"/>
      <c r="LB106" s="131"/>
      <c r="LC106" s="131"/>
      <c r="LD106" s="131"/>
      <c r="LE106" s="131"/>
      <c r="LF106" s="131"/>
      <c r="LG106" s="131"/>
      <c r="LH106" s="131"/>
      <c r="LI106" s="131"/>
      <c r="LJ106" s="131"/>
      <c r="LK106" s="131"/>
      <c r="LL106" s="131"/>
      <c r="LM106" s="131"/>
      <c r="LN106" s="131"/>
      <c r="LO106" s="131"/>
      <c r="LP106" s="131"/>
      <c r="LQ106" s="131"/>
      <c r="LR106" s="131"/>
      <c r="LS106" s="131"/>
      <c r="LT106" s="131"/>
      <c r="LU106" s="131"/>
      <c r="LV106" s="131"/>
      <c r="LW106" s="131"/>
      <c r="LX106" s="131"/>
      <c r="LY106" s="131"/>
      <c r="LZ106" s="131"/>
      <c r="MA106" s="131"/>
      <c r="MB106" s="131"/>
      <c r="MC106" s="131"/>
      <c r="MD106" s="131"/>
      <c r="ME106" s="131"/>
      <c r="MF106" s="131"/>
      <c r="MG106" s="131"/>
      <c r="MH106" s="131"/>
      <c r="MI106" s="131"/>
      <c r="MJ106" s="131"/>
      <c r="MK106" s="131"/>
      <c r="ML106" s="131"/>
      <c r="MM106" s="131"/>
      <c r="MN106" s="131"/>
      <c r="MO106" s="131"/>
      <c r="MP106" s="131"/>
      <c r="MQ106" s="131"/>
      <c r="MR106" s="131"/>
      <c r="MS106" s="131"/>
      <c r="MT106" s="131"/>
      <c r="MU106" s="131"/>
      <c r="MV106" s="131"/>
      <c r="MW106" s="131"/>
      <c r="MX106" s="131"/>
      <c r="MY106" s="131"/>
      <c r="MZ106" s="131"/>
      <c r="NA106" s="131"/>
      <c r="NB106" s="131"/>
      <c r="NC106" s="131"/>
      <c r="ND106" s="131"/>
      <c r="NE106" s="131"/>
      <c r="NF106" s="131"/>
      <c r="NG106" s="131"/>
      <c r="NH106" s="131"/>
      <c r="NI106" s="131"/>
      <c r="NJ106" s="131"/>
      <c r="NK106" s="131"/>
      <c r="NL106" s="131"/>
      <c r="NM106" s="131"/>
      <c r="NN106" s="131"/>
      <c r="NO106" s="131"/>
      <c r="NP106" s="131"/>
      <c r="NQ106" s="131"/>
      <c r="NR106" s="131"/>
      <c r="NS106" s="131"/>
      <c r="NT106" s="131"/>
      <c r="NU106" s="131"/>
      <c r="NV106" s="131"/>
      <c r="NW106" s="24">
        <f t="shared" si="11"/>
        <v>0</v>
      </c>
      <c r="NX106" s="56" t="s">
        <v>36</v>
      </c>
      <c r="NY106" s="127">
        <v>5454.35</v>
      </c>
      <c r="NZ106" s="78">
        <f t="shared" si="14"/>
        <v>0</v>
      </c>
      <c r="OA106" s="78">
        <f>4269.3/1.2</f>
        <v>3557.7500000000005</v>
      </c>
      <c r="OB106" s="127">
        <f t="shared" si="12"/>
        <v>5454.35</v>
      </c>
      <c r="OC106" s="153"/>
      <c r="OD106" s="108">
        <f t="shared" si="15"/>
        <v>1.5330897336799942</v>
      </c>
      <c r="OE106" s="160" t="s">
        <v>555</v>
      </c>
    </row>
    <row r="107" spans="1:395" s="5" customFormat="1" ht="12.75" customHeight="1" x14ac:dyDescent="0.25">
      <c r="A107" s="62">
        <v>44558</v>
      </c>
      <c r="B107" s="116" t="s">
        <v>57</v>
      </c>
      <c r="C107" s="129"/>
      <c r="D107" s="129"/>
      <c r="E107" s="130"/>
      <c r="F107" s="130"/>
      <c r="G107" s="130"/>
      <c r="H107" s="130"/>
      <c r="I107" s="130"/>
      <c r="J107" s="130"/>
      <c r="K107" s="130"/>
      <c r="L107" s="130"/>
      <c r="M107" s="131"/>
      <c r="N107" s="131"/>
      <c r="O107" s="131"/>
      <c r="P107" s="131"/>
      <c r="Q107" s="131"/>
      <c r="R107" s="131"/>
      <c r="S107" s="131"/>
      <c r="T107" s="131"/>
      <c r="U107" s="131"/>
      <c r="V107" s="131"/>
      <c r="W107" s="131"/>
      <c r="X107" s="131"/>
      <c r="Y107" s="131"/>
      <c r="Z107" s="131"/>
      <c r="AA107" s="131"/>
      <c r="AB107" s="131"/>
      <c r="AC107" s="131"/>
      <c r="AD107" s="131"/>
      <c r="AE107" s="131"/>
      <c r="AF107" s="131"/>
      <c r="AG107" s="131"/>
      <c r="AH107" s="131"/>
      <c r="AI107" s="131"/>
      <c r="AJ107" s="131"/>
      <c r="AK107" s="131"/>
      <c r="AL107" s="131"/>
      <c r="AM107" s="131"/>
      <c r="AN107" s="131"/>
      <c r="AO107" s="131"/>
      <c r="AP107" s="131"/>
      <c r="AQ107" s="131"/>
      <c r="AR107" s="131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1"/>
      <c r="BC107" s="131"/>
      <c r="BD107" s="131"/>
      <c r="BE107" s="131"/>
      <c r="BF107" s="131"/>
      <c r="BG107" s="131"/>
      <c r="BH107" s="131"/>
      <c r="BI107" s="131"/>
      <c r="BJ107" s="131"/>
      <c r="BK107" s="131"/>
      <c r="BL107" s="131"/>
      <c r="BM107" s="131"/>
      <c r="BN107" s="131"/>
      <c r="BO107" s="131"/>
      <c r="BP107" s="131"/>
      <c r="BQ107" s="131"/>
      <c r="BR107" s="131"/>
      <c r="BS107" s="131"/>
      <c r="BT107" s="131"/>
      <c r="BU107" s="131"/>
      <c r="BV107" s="131"/>
      <c r="BW107" s="131"/>
      <c r="BX107" s="131"/>
      <c r="BY107" s="131"/>
      <c r="BZ107" s="131"/>
      <c r="CA107" s="131"/>
      <c r="CB107" s="131"/>
      <c r="CC107" s="131"/>
      <c r="CD107" s="131"/>
      <c r="CE107" s="131"/>
      <c r="CF107" s="131"/>
      <c r="CG107" s="131"/>
      <c r="CH107" s="131"/>
      <c r="CI107" s="131"/>
      <c r="CJ107" s="131"/>
      <c r="CK107" s="131"/>
      <c r="CL107" s="131"/>
      <c r="CM107" s="131"/>
      <c r="CN107" s="131"/>
      <c r="CO107" s="131"/>
      <c r="CP107" s="131"/>
      <c r="CQ107" s="131"/>
      <c r="CR107" s="131"/>
      <c r="CS107" s="131"/>
      <c r="CT107" s="131"/>
      <c r="CU107" s="131"/>
      <c r="CV107" s="131"/>
      <c r="CW107" s="131"/>
      <c r="CX107" s="131"/>
      <c r="CY107" s="131"/>
      <c r="CZ107" s="131"/>
      <c r="DA107" s="131"/>
      <c r="DB107" s="131"/>
      <c r="DC107" s="131"/>
      <c r="DD107" s="131"/>
      <c r="DE107" s="131"/>
      <c r="DF107" s="131"/>
      <c r="DG107" s="131"/>
      <c r="DH107" s="131"/>
      <c r="DI107" s="131"/>
      <c r="DJ107" s="131"/>
      <c r="DK107" s="131"/>
      <c r="DL107" s="131"/>
      <c r="DM107" s="131"/>
      <c r="DN107" s="131"/>
      <c r="DO107" s="131"/>
      <c r="DP107" s="131"/>
      <c r="DQ107" s="131"/>
      <c r="DR107" s="131"/>
      <c r="DS107" s="131"/>
      <c r="DT107" s="131"/>
      <c r="DU107" s="131"/>
      <c r="DV107" s="131"/>
      <c r="DW107" s="131"/>
      <c r="DX107" s="131"/>
      <c r="DY107" s="131"/>
      <c r="DZ107" s="131"/>
      <c r="EA107" s="131"/>
      <c r="EB107" s="131"/>
      <c r="EC107" s="131"/>
      <c r="ED107" s="131"/>
      <c r="EE107" s="131"/>
      <c r="EF107" s="131"/>
      <c r="EG107" s="131"/>
      <c r="EH107" s="131"/>
      <c r="EI107" s="131"/>
      <c r="EJ107" s="131"/>
      <c r="EK107" s="131"/>
      <c r="EL107" s="131"/>
      <c r="EM107" s="131"/>
      <c r="EN107" s="131"/>
      <c r="EO107" s="131"/>
      <c r="EP107" s="131"/>
      <c r="EQ107" s="131"/>
      <c r="ER107" s="131"/>
      <c r="ES107" s="131"/>
      <c r="ET107" s="131"/>
      <c r="EU107" s="131"/>
      <c r="EV107" s="131"/>
      <c r="EW107" s="131"/>
      <c r="EX107" s="131"/>
      <c r="EY107" s="131"/>
      <c r="EZ107" s="131"/>
      <c r="FA107" s="131"/>
      <c r="FB107" s="131"/>
      <c r="FC107" s="131"/>
      <c r="FD107" s="131"/>
      <c r="FE107" s="131"/>
      <c r="FF107" s="131"/>
      <c r="FG107" s="131"/>
      <c r="FH107" s="131"/>
      <c r="FI107" s="131"/>
      <c r="FJ107" s="131"/>
      <c r="FK107" s="131"/>
      <c r="FL107" s="131"/>
      <c r="FM107" s="131"/>
      <c r="FN107" s="131"/>
      <c r="FO107" s="131"/>
      <c r="FP107" s="131"/>
      <c r="FQ107" s="131"/>
      <c r="FR107" s="131"/>
      <c r="FS107" s="131"/>
      <c r="FT107" s="131"/>
      <c r="FU107" s="131"/>
      <c r="FV107" s="131"/>
      <c r="FW107" s="131"/>
      <c r="FX107" s="131"/>
      <c r="FY107" s="131"/>
      <c r="FZ107" s="131"/>
      <c r="GA107" s="131"/>
      <c r="GB107" s="131"/>
      <c r="GC107" s="131"/>
      <c r="GD107" s="131"/>
      <c r="GE107" s="131"/>
      <c r="GF107" s="131"/>
      <c r="GG107" s="131"/>
      <c r="GH107" s="131"/>
      <c r="GI107" s="131"/>
      <c r="GJ107" s="131"/>
      <c r="GK107" s="131"/>
      <c r="GL107" s="131"/>
      <c r="GM107" s="131"/>
      <c r="GN107" s="131"/>
      <c r="GO107" s="131"/>
      <c r="GP107" s="131"/>
      <c r="GQ107" s="131"/>
      <c r="GR107" s="131"/>
      <c r="GS107" s="131"/>
      <c r="GT107" s="131"/>
      <c r="GU107" s="131"/>
      <c r="GV107" s="131"/>
      <c r="GW107" s="131"/>
      <c r="GX107" s="131"/>
      <c r="GY107" s="131"/>
      <c r="GZ107" s="131"/>
      <c r="HA107" s="131"/>
      <c r="HB107" s="131"/>
      <c r="HC107" s="131"/>
      <c r="HD107" s="131"/>
      <c r="HE107" s="131"/>
      <c r="HF107" s="131"/>
      <c r="HG107" s="131"/>
      <c r="HH107" s="131"/>
      <c r="HI107" s="131"/>
      <c r="HJ107" s="131"/>
      <c r="HK107" s="131"/>
      <c r="HL107" s="131"/>
      <c r="HM107" s="131"/>
      <c r="HN107" s="131"/>
      <c r="HO107" s="131"/>
      <c r="HP107" s="131"/>
      <c r="HQ107" s="131"/>
      <c r="HR107" s="131"/>
      <c r="HS107" s="131"/>
      <c r="HT107" s="131"/>
      <c r="HU107" s="131"/>
      <c r="HV107" s="131"/>
      <c r="HW107" s="131"/>
      <c r="HX107" s="131"/>
      <c r="HY107" s="131"/>
      <c r="HZ107" s="131"/>
      <c r="IA107" s="131"/>
      <c r="IB107" s="131"/>
      <c r="IC107" s="131"/>
      <c r="ID107" s="131"/>
      <c r="IE107" s="131"/>
      <c r="IF107" s="131"/>
      <c r="IG107" s="131"/>
      <c r="IH107" s="131"/>
      <c r="II107" s="131"/>
      <c r="IJ107" s="131"/>
      <c r="IK107" s="131"/>
      <c r="IL107" s="131"/>
      <c r="IM107" s="131"/>
      <c r="IN107" s="131"/>
      <c r="IO107" s="131"/>
      <c r="IP107" s="131"/>
      <c r="IQ107" s="131"/>
      <c r="IR107" s="131"/>
      <c r="IS107" s="131"/>
      <c r="IT107" s="131"/>
      <c r="IU107" s="131"/>
      <c r="IV107" s="131"/>
      <c r="IW107" s="131"/>
      <c r="IX107" s="131"/>
      <c r="IY107" s="131"/>
      <c r="IZ107" s="131"/>
      <c r="JA107" s="131"/>
      <c r="JB107" s="131"/>
      <c r="JC107" s="131"/>
      <c r="JD107" s="131"/>
      <c r="JE107" s="131"/>
      <c r="JF107" s="131"/>
      <c r="JG107" s="131"/>
      <c r="JH107" s="131"/>
      <c r="JI107" s="131"/>
      <c r="JJ107" s="131"/>
      <c r="JK107" s="131"/>
      <c r="JL107" s="131"/>
      <c r="JM107" s="131"/>
      <c r="JN107" s="131"/>
      <c r="JO107" s="131"/>
      <c r="JP107" s="131"/>
      <c r="JQ107" s="131"/>
      <c r="JR107" s="131"/>
      <c r="JS107" s="131"/>
      <c r="JT107" s="131"/>
      <c r="JU107" s="131"/>
      <c r="JV107" s="131"/>
      <c r="JW107" s="131"/>
      <c r="JX107" s="131"/>
      <c r="JY107" s="131"/>
      <c r="JZ107" s="131"/>
      <c r="KA107" s="131"/>
      <c r="KB107" s="131"/>
      <c r="KC107" s="131"/>
      <c r="KD107" s="131"/>
      <c r="KE107" s="131"/>
      <c r="KF107" s="131"/>
      <c r="KG107" s="131"/>
      <c r="KH107" s="131"/>
      <c r="KI107" s="131"/>
      <c r="KJ107" s="131"/>
      <c r="KK107" s="131"/>
      <c r="KL107" s="131"/>
      <c r="KM107" s="131"/>
      <c r="KN107" s="131"/>
      <c r="KO107" s="131"/>
      <c r="KP107" s="131"/>
      <c r="KQ107" s="131"/>
      <c r="KR107" s="131"/>
      <c r="KS107" s="131"/>
      <c r="KT107" s="131"/>
      <c r="KU107" s="131"/>
      <c r="KV107" s="131"/>
      <c r="KW107" s="131"/>
      <c r="KX107" s="131"/>
      <c r="KY107" s="131"/>
      <c r="KZ107" s="131"/>
      <c r="LA107" s="131"/>
      <c r="LB107" s="131"/>
      <c r="LC107" s="131"/>
      <c r="LD107" s="131"/>
      <c r="LE107" s="131"/>
      <c r="LF107" s="131"/>
      <c r="LG107" s="131"/>
      <c r="LH107" s="131"/>
      <c r="LI107" s="131"/>
      <c r="LJ107" s="131"/>
      <c r="LK107" s="131"/>
      <c r="LL107" s="131"/>
      <c r="LM107" s="131"/>
      <c r="LN107" s="131"/>
      <c r="LO107" s="131"/>
      <c r="LP107" s="131"/>
      <c r="LQ107" s="131"/>
      <c r="LR107" s="131"/>
      <c r="LS107" s="131"/>
      <c r="LT107" s="131"/>
      <c r="LU107" s="131"/>
      <c r="LV107" s="131"/>
      <c r="LW107" s="131"/>
      <c r="LX107" s="131"/>
      <c r="LY107" s="131"/>
      <c r="LZ107" s="131"/>
      <c r="MA107" s="131"/>
      <c r="MB107" s="131"/>
      <c r="MC107" s="131"/>
      <c r="MD107" s="131"/>
      <c r="ME107" s="131"/>
      <c r="MF107" s="131"/>
      <c r="MG107" s="131"/>
      <c r="MH107" s="131"/>
      <c r="MI107" s="131"/>
      <c r="MJ107" s="131"/>
      <c r="MK107" s="131"/>
      <c r="ML107" s="131"/>
      <c r="MM107" s="131"/>
      <c r="MN107" s="131"/>
      <c r="MO107" s="131"/>
      <c r="MP107" s="131"/>
      <c r="MQ107" s="131"/>
      <c r="MR107" s="131"/>
      <c r="MS107" s="131"/>
      <c r="MT107" s="131"/>
      <c r="MU107" s="131"/>
      <c r="MV107" s="131"/>
      <c r="MW107" s="131"/>
      <c r="MX107" s="131"/>
      <c r="MY107" s="131"/>
      <c r="MZ107" s="131"/>
      <c r="NA107" s="131"/>
      <c r="NB107" s="131"/>
      <c r="NC107" s="131"/>
      <c r="ND107" s="131"/>
      <c r="NE107" s="131"/>
      <c r="NF107" s="131"/>
      <c r="NG107" s="131"/>
      <c r="NH107" s="131"/>
      <c r="NI107" s="131"/>
      <c r="NJ107" s="131"/>
      <c r="NK107" s="131"/>
      <c r="NL107" s="131"/>
      <c r="NM107" s="131"/>
      <c r="NN107" s="131"/>
      <c r="NO107" s="131"/>
      <c r="NP107" s="131"/>
      <c r="NQ107" s="131"/>
      <c r="NR107" s="131"/>
      <c r="NS107" s="131"/>
      <c r="NT107" s="131"/>
      <c r="NU107" s="131"/>
      <c r="NV107" s="131"/>
      <c r="NW107" s="24">
        <f t="shared" si="11"/>
        <v>0</v>
      </c>
      <c r="NX107" s="56" t="s">
        <v>36</v>
      </c>
      <c r="NY107" s="127">
        <v>11166</v>
      </c>
      <c r="NZ107" s="78">
        <f t="shared" si="14"/>
        <v>0</v>
      </c>
      <c r="OA107" s="78">
        <v>8323</v>
      </c>
      <c r="OB107" s="127">
        <f t="shared" si="12"/>
        <v>11166</v>
      </c>
      <c r="OC107" s="153"/>
      <c r="OD107" s="108">
        <f t="shared" si="15"/>
        <v>1.3415835636188875</v>
      </c>
      <c r="OE107" s="160" t="s">
        <v>556</v>
      </c>
    </row>
    <row r="108" spans="1:395" s="5" customFormat="1" ht="12.75" customHeight="1" x14ac:dyDescent="0.25">
      <c r="A108" s="62">
        <v>44558</v>
      </c>
      <c r="B108" s="116" t="s">
        <v>57</v>
      </c>
      <c r="C108" s="129"/>
      <c r="D108" s="129"/>
      <c r="E108" s="130"/>
      <c r="F108" s="130"/>
      <c r="G108" s="130"/>
      <c r="H108" s="130"/>
      <c r="I108" s="130"/>
      <c r="J108" s="130"/>
      <c r="K108" s="130"/>
      <c r="L108" s="130"/>
      <c r="M108" s="131"/>
      <c r="N108" s="131"/>
      <c r="O108" s="131"/>
      <c r="P108" s="131"/>
      <c r="Q108" s="131"/>
      <c r="R108" s="131"/>
      <c r="S108" s="131"/>
      <c r="T108" s="131"/>
      <c r="U108" s="131"/>
      <c r="V108" s="131"/>
      <c r="W108" s="131"/>
      <c r="X108" s="131"/>
      <c r="Y108" s="131"/>
      <c r="Z108" s="131"/>
      <c r="AA108" s="131"/>
      <c r="AB108" s="131"/>
      <c r="AC108" s="131"/>
      <c r="AD108" s="131"/>
      <c r="AE108" s="131"/>
      <c r="AF108" s="131"/>
      <c r="AG108" s="131"/>
      <c r="AH108" s="131"/>
      <c r="AI108" s="131"/>
      <c r="AJ108" s="131"/>
      <c r="AK108" s="131"/>
      <c r="AL108" s="131"/>
      <c r="AM108" s="131"/>
      <c r="AN108" s="131"/>
      <c r="AO108" s="131"/>
      <c r="AP108" s="131"/>
      <c r="AQ108" s="131"/>
      <c r="AR108" s="131"/>
      <c r="AS108" s="131"/>
      <c r="AT108" s="131"/>
      <c r="AU108" s="131"/>
      <c r="AV108" s="131"/>
      <c r="AW108" s="131"/>
      <c r="AX108" s="131"/>
      <c r="AY108" s="131"/>
      <c r="AZ108" s="131"/>
      <c r="BA108" s="131"/>
      <c r="BB108" s="131"/>
      <c r="BC108" s="131"/>
      <c r="BD108" s="131"/>
      <c r="BE108" s="131"/>
      <c r="BF108" s="131"/>
      <c r="BG108" s="131"/>
      <c r="BH108" s="131"/>
      <c r="BI108" s="131"/>
      <c r="BJ108" s="131"/>
      <c r="BK108" s="131"/>
      <c r="BL108" s="131"/>
      <c r="BM108" s="131"/>
      <c r="BN108" s="131"/>
      <c r="BO108" s="131"/>
      <c r="BP108" s="131"/>
      <c r="BQ108" s="131"/>
      <c r="BR108" s="131"/>
      <c r="BS108" s="131"/>
      <c r="BT108" s="131"/>
      <c r="BU108" s="131"/>
      <c r="BV108" s="131"/>
      <c r="BW108" s="131"/>
      <c r="BX108" s="131"/>
      <c r="BY108" s="131"/>
      <c r="BZ108" s="131"/>
      <c r="CA108" s="131"/>
      <c r="CB108" s="131"/>
      <c r="CC108" s="131"/>
      <c r="CD108" s="131"/>
      <c r="CE108" s="131"/>
      <c r="CF108" s="131"/>
      <c r="CG108" s="131"/>
      <c r="CH108" s="131"/>
      <c r="CI108" s="131"/>
      <c r="CJ108" s="131"/>
      <c r="CK108" s="131"/>
      <c r="CL108" s="131"/>
      <c r="CM108" s="131"/>
      <c r="CN108" s="131"/>
      <c r="CO108" s="131"/>
      <c r="CP108" s="131"/>
      <c r="CQ108" s="131"/>
      <c r="CR108" s="131"/>
      <c r="CS108" s="131"/>
      <c r="CT108" s="131"/>
      <c r="CU108" s="131"/>
      <c r="CV108" s="131"/>
      <c r="CW108" s="131"/>
      <c r="CX108" s="131"/>
      <c r="CY108" s="131"/>
      <c r="CZ108" s="131"/>
      <c r="DA108" s="131"/>
      <c r="DB108" s="131"/>
      <c r="DC108" s="131"/>
      <c r="DD108" s="131"/>
      <c r="DE108" s="131"/>
      <c r="DF108" s="131"/>
      <c r="DG108" s="131"/>
      <c r="DH108" s="131"/>
      <c r="DI108" s="131"/>
      <c r="DJ108" s="131"/>
      <c r="DK108" s="131"/>
      <c r="DL108" s="131"/>
      <c r="DM108" s="131"/>
      <c r="DN108" s="131"/>
      <c r="DO108" s="131"/>
      <c r="DP108" s="131"/>
      <c r="DQ108" s="131"/>
      <c r="DR108" s="131"/>
      <c r="DS108" s="131"/>
      <c r="DT108" s="131"/>
      <c r="DU108" s="131"/>
      <c r="DV108" s="131"/>
      <c r="DW108" s="131"/>
      <c r="DX108" s="131"/>
      <c r="DY108" s="131"/>
      <c r="DZ108" s="131"/>
      <c r="EA108" s="131"/>
      <c r="EB108" s="131"/>
      <c r="EC108" s="131"/>
      <c r="ED108" s="131"/>
      <c r="EE108" s="131"/>
      <c r="EF108" s="131"/>
      <c r="EG108" s="131"/>
      <c r="EH108" s="131"/>
      <c r="EI108" s="131"/>
      <c r="EJ108" s="131"/>
      <c r="EK108" s="131"/>
      <c r="EL108" s="131"/>
      <c r="EM108" s="131"/>
      <c r="EN108" s="131"/>
      <c r="EO108" s="131"/>
      <c r="EP108" s="131"/>
      <c r="EQ108" s="131"/>
      <c r="ER108" s="131"/>
      <c r="ES108" s="131"/>
      <c r="ET108" s="131"/>
      <c r="EU108" s="131"/>
      <c r="EV108" s="131"/>
      <c r="EW108" s="131"/>
      <c r="EX108" s="131"/>
      <c r="EY108" s="131"/>
      <c r="EZ108" s="131"/>
      <c r="FA108" s="131"/>
      <c r="FB108" s="131"/>
      <c r="FC108" s="131"/>
      <c r="FD108" s="131"/>
      <c r="FE108" s="131"/>
      <c r="FF108" s="131"/>
      <c r="FG108" s="131"/>
      <c r="FH108" s="131"/>
      <c r="FI108" s="131"/>
      <c r="FJ108" s="131"/>
      <c r="FK108" s="131"/>
      <c r="FL108" s="131"/>
      <c r="FM108" s="131"/>
      <c r="FN108" s="131"/>
      <c r="FO108" s="131"/>
      <c r="FP108" s="131"/>
      <c r="FQ108" s="131"/>
      <c r="FR108" s="131"/>
      <c r="FS108" s="131"/>
      <c r="FT108" s="131"/>
      <c r="FU108" s="131"/>
      <c r="FV108" s="131"/>
      <c r="FW108" s="131"/>
      <c r="FX108" s="131"/>
      <c r="FY108" s="131"/>
      <c r="FZ108" s="131"/>
      <c r="GA108" s="131"/>
      <c r="GB108" s="131"/>
      <c r="GC108" s="131"/>
      <c r="GD108" s="131"/>
      <c r="GE108" s="131"/>
      <c r="GF108" s="131"/>
      <c r="GG108" s="131"/>
      <c r="GH108" s="131"/>
      <c r="GI108" s="131"/>
      <c r="GJ108" s="131"/>
      <c r="GK108" s="131"/>
      <c r="GL108" s="131"/>
      <c r="GM108" s="131"/>
      <c r="GN108" s="131"/>
      <c r="GO108" s="131"/>
      <c r="GP108" s="131"/>
      <c r="GQ108" s="131"/>
      <c r="GR108" s="131"/>
      <c r="GS108" s="131"/>
      <c r="GT108" s="131"/>
      <c r="GU108" s="131"/>
      <c r="GV108" s="131"/>
      <c r="GW108" s="131"/>
      <c r="GX108" s="131"/>
      <c r="GY108" s="131"/>
      <c r="GZ108" s="131"/>
      <c r="HA108" s="131"/>
      <c r="HB108" s="131"/>
      <c r="HC108" s="131"/>
      <c r="HD108" s="131"/>
      <c r="HE108" s="131"/>
      <c r="HF108" s="131"/>
      <c r="HG108" s="131"/>
      <c r="HH108" s="131"/>
      <c r="HI108" s="131"/>
      <c r="HJ108" s="131"/>
      <c r="HK108" s="131"/>
      <c r="HL108" s="131"/>
      <c r="HM108" s="131"/>
      <c r="HN108" s="131"/>
      <c r="HO108" s="131"/>
      <c r="HP108" s="131"/>
      <c r="HQ108" s="131"/>
      <c r="HR108" s="131"/>
      <c r="HS108" s="131"/>
      <c r="HT108" s="131"/>
      <c r="HU108" s="131"/>
      <c r="HV108" s="131"/>
      <c r="HW108" s="131"/>
      <c r="HX108" s="131"/>
      <c r="HY108" s="131"/>
      <c r="HZ108" s="131"/>
      <c r="IA108" s="131"/>
      <c r="IB108" s="131"/>
      <c r="IC108" s="131"/>
      <c r="ID108" s="131"/>
      <c r="IE108" s="131"/>
      <c r="IF108" s="131"/>
      <c r="IG108" s="131"/>
      <c r="IH108" s="131"/>
      <c r="II108" s="131"/>
      <c r="IJ108" s="131"/>
      <c r="IK108" s="131"/>
      <c r="IL108" s="131"/>
      <c r="IM108" s="131"/>
      <c r="IN108" s="131"/>
      <c r="IO108" s="131"/>
      <c r="IP108" s="131"/>
      <c r="IQ108" s="131"/>
      <c r="IR108" s="131"/>
      <c r="IS108" s="131"/>
      <c r="IT108" s="131"/>
      <c r="IU108" s="131"/>
      <c r="IV108" s="131"/>
      <c r="IW108" s="131"/>
      <c r="IX108" s="131"/>
      <c r="IY108" s="131"/>
      <c r="IZ108" s="131"/>
      <c r="JA108" s="131"/>
      <c r="JB108" s="131"/>
      <c r="JC108" s="131"/>
      <c r="JD108" s="131"/>
      <c r="JE108" s="131"/>
      <c r="JF108" s="131"/>
      <c r="JG108" s="131"/>
      <c r="JH108" s="131"/>
      <c r="JI108" s="131"/>
      <c r="JJ108" s="131"/>
      <c r="JK108" s="131"/>
      <c r="JL108" s="131"/>
      <c r="JM108" s="131"/>
      <c r="JN108" s="131"/>
      <c r="JO108" s="131"/>
      <c r="JP108" s="131"/>
      <c r="JQ108" s="131"/>
      <c r="JR108" s="131"/>
      <c r="JS108" s="131"/>
      <c r="JT108" s="131"/>
      <c r="JU108" s="131"/>
      <c r="JV108" s="131"/>
      <c r="JW108" s="131"/>
      <c r="JX108" s="131"/>
      <c r="JY108" s="131"/>
      <c r="JZ108" s="131"/>
      <c r="KA108" s="131"/>
      <c r="KB108" s="131"/>
      <c r="KC108" s="131"/>
      <c r="KD108" s="131"/>
      <c r="KE108" s="131"/>
      <c r="KF108" s="131"/>
      <c r="KG108" s="131"/>
      <c r="KH108" s="131"/>
      <c r="KI108" s="131"/>
      <c r="KJ108" s="131"/>
      <c r="KK108" s="131"/>
      <c r="KL108" s="131"/>
      <c r="KM108" s="131"/>
      <c r="KN108" s="131"/>
      <c r="KO108" s="131"/>
      <c r="KP108" s="131"/>
      <c r="KQ108" s="131"/>
      <c r="KR108" s="131"/>
      <c r="KS108" s="131"/>
      <c r="KT108" s="131"/>
      <c r="KU108" s="131"/>
      <c r="KV108" s="131"/>
      <c r="KW108" s="131"/>
      <c r="KX108" s="131"/>
      <c r="KY108" s="131"/>
      <c r="KZ108" s="131"/>
      <c r="LA108" s="131"/>
      <c r="LB108" s="131"/>
      <c r="LC108" s="131"/>
      <c r="LD108" s="131"/>
      <c r="LE108" s="131"/>
      <c r="LF108" s="131"/>
      <c r="LG108" s="131"/>
      <c r="LH108" s="131"/>
      <c r="LI108" s="131"/>
      <c r="LJ108" s="131"/>
      <c r="LK108" s="131"/>
      <c r="LL108" s="131"/>
      <c r="LM108" s="131"/>
      <c r="LN108" s="131"/>
      <c r="LO108" s="131"/>
      <c r="LP108" s="131"/>
      <c r="LQ108" s="131"/>
      <c r="LR108" s="131"/>
      <c r="LS108" s="131"/>
      <c r="LT108" s="131"/>
      <c r="LU108" s="131"/>
      <c r="LV108" s="131"/>
      <c r="LW108" s="131"/>
      <c r="LX108" s="131"/>
      <c r="LY108" s="131"/>
      <c r="LZ108" s="131"/>
      <c r="MA108" s="131"/>
      <c r="MB108" s="131"/>
      <c r="MC108" s="131"/>
      <c r="MD108" s="131"/>
      <c r="ME108" s="131"/>
      <c r="MF108" s="131"/>
      <c r="MG108" s="131"/>
      <c r="MH108" s="131"/>
      <c r="MI108" s="131"/>
      <c r="MJ108" s="131"/>
      <c r="MK108" s="131"/>
      <c r="ML108" s="131"/>
      <c r="MM108" s="131"/>
      <c r="MN108" s="131"/>
      <c r="MO108" s="131"/>
      <c r="MP108" s="131"/>
      <c r="MQ108" s="131"/>
      <c r="MR108" s="131"/>
      <c r="MS108" s="131"/>
      <c r="MT108" s="131"/>
      <c r="MU108" s="131"/>
      <c r="MV108" s="131"/>
      <c r="MW108" s="131"/>
      <c r="MX108" s="131"/>
      <c r="MY108" s="131"/>
      <c r="MZ108" s="131"/>
      <c r="NA108" s="131"/>
      <c r="NB108" s="131"/>
      <c r="NC108" s="131"/>
      <c r="ND108" s="131"/>
      <c r="NE108" s="131"/>
      <c r="NF108" s="131"/>
      <c r="NG108" s="131"/>
      <c r="NH108" s="131"/>
      <c r="NI108" s="131"/>
      <c r="NJ108" s="131"/>
      <c r="NK108" s="131"/>
      <c r="NL108" s="131"/>
      <c r="NM108" s="131"/>
      <c r="NN108" s="131"/>
      <c r="NO108" s="131"/>
      <c r="NP108" s="131"/>
      <c r="NQ108" s="131"/>
      <c r="NR108" s="131"/>
      <c r="NS108" s="131"/>
      <c r="NT108" s="131"/>
      <c r="NU108" s="131"/>
      <c r="NV108" s="131"/>
      <c r="NW108" s="24">
        <f t="shared" si="11"/>
        <v>0</v>
      </c>
      <c r="NX108" s="56" t="s">
        <v>36</v>
      </c>
      <c r="NY108" s="127">
        <v>6312.24</v>
      </c>
      <c r="NZ108" s="78">
        <f t="shared" si="14"/>
        <v>0</v>
      </c>
      <c r="OA108" s="78">
        <v>3922.5999999999995</v>
      </c>
      <c r="OB108" s="127">
        <f t="shared" si="12"/>
        <v>6312.24</v>
      </c>
      <c r="OC108" s="153"/>
      <c r="OD108" s="108">
        <f t="shared" si="15"/>
        <v>1.6091979809310153</v>
      </c>
      <c r="OE108" s="160" t="s">
        <v>557</v>
      </c>
    </row>
    <row r="109" spans="1:395" s="5" customFormat="1" ht="12.75" customHeight="1" x14ac:dyDescent="0.25">
      <c r="A109" s="62">
        <v>44558</v>
      </c>
      <c r="B109" s="116" t="s">
        <v>57</v>
      </c>
      <c r="C109" s="129"/>
      <c r="D109" s="129"/>
      <c r="E109" s="130"/>
      <c r="F109" s="130"/>
      <c r="G109" s="130"/>
      <c r="H109" s="130"/>
      <c r="I109" s="130"/>
      <c r="J109" s="130"/>
      <c r="K109" s="130"/>
      <c r="L109" s="130"/>
      <c r="M109" s="131"/>
      <c r="N109" s="131"/>
      <c r="O109" s="131"/>
      <c r="P109" s="131"/>
      <c r="Q109" s="131"/>
      <c r="R109" s="131"/>
      <c r="S109" s="131"/>
      <c r="T109" s="131"/>
      <c r="U109" s="131"/>
      <c r="V109" s="131"/>
      <c r="W109" s="131"/>
      <c r="X109" s="131"/>
      <c r="Y109" s="131"/>
      <c r="Z109" s="131"/>
      <c r="AA109" s="131"/>
      <c r="AB109" s="131"/>
      <c r="AC109" s="131"/>
      <c r="AD109" s="131"/>
      <c r="AE109" s="131"/>
      <c r="AF109" s="131"/>
      <c r="AG109" s="131"/>
      <c r="AH109" s="131"/>
      <c r="AI109" s="131"/>
      <c r="AJ109" s="131"/>
      <c r="AK109" s="131"/>
      <c r="AL109" s="131"/>
      <c r="AM109" s="131"/>
      <c r="AN109" s="131"/>
      <c r="AO109" s="131"/>
      <c r="AP109" s="131"/>
      <c r="AQ109" s="131"/>
      <c r="AR109" s="131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1"/>
      <c r="BC109" s="131"/>
      <c r="BD109" s="131"/>
      <c r="BE109" s="131"/>
      <c r="BF109" s="131"/>
      <c r="BG109" s="131"/>
      <c r="BH109" s="131"/>
      <c r="BI109" s="131"/>
      <c r="BJ109" s="131"/>
      <c r="BK109" s="131"/>
      <c r="BL109" s="131"/>
      <c r="BM109" s="131"/>
      <c r="BN109" s="131"/>
      <c r="BO109" s="131"/>
      <c r="BP109" s="131"/>
      <c r="BQ109" s="131"/>
      <c r="BR109" s="131"/>
      <c r="BS109" s="131"/>
      <c r="BT109" s="131"/>
      <c r="BU109" s="131"/>
      <c r="BV109" s="131"/>
      <c r="BW109" s="131"/>
      <c r="BX109" s="131"/>
      <c r="BY109" s="131"/>
      <c r="BZ109" s="131"/>
      <c r="CA109" s="131"/>
      <c r="CB109" s="131"/>
      <c r="CC109" s="131"/>
      <c r="CD109" s="131"/>
      <c r="CE109" s="131"/>
      <c r="CF109" s="131"/>
      <c r="CG109" s="131"/>
      <c r="CH109" s="131"/>
      <c r="CI109" s="131"/>
      <c r="CJ109" s="131"/>
      <c r="CK109" s="131"/>
      <c r="CL109" s="131"/>
      <c r="CM109" s="131"/>
      <c r="CN109" s="131"/>
      <c r="CO109" s="131"/>
      <c r="CP109" s="131"/>
      <c r="CQ109" s="131"/>
      <c r="CR109" s="131"/>
      <c r="CS109" s="131"/>
      <c r="CT109" s="131"/>
      <c r="CU109" s="131"/>
      <c r="CV109" s="131"/>
      <c r="CW109" s="131"/>
      <c r="CX109" s="131"/>
      <c r="CY109" s="131"/>
      <c r="CZ109" s="131"/>
      <c r="DA109" s="131"/>
      <c r="DB109" s="131"/>
      <c r="DC109" s="131"/>
      <c r="DD109" s="131"/>
      <c r="DE109" s="131"/>
      <c r="DF109" s="131"/>
      <c r="DG109" s="131"/>
      <c r="DH109" s="131"/>
      <c r="DI109" s="131"/>
      <c r="DJ109" s="131"/>
      <c r="DK109" s="131"/>
      <c r="DL109" s="131"/>
      <c r="DM109" s="131"/>
      <c r="DN109" s="131"/>
      <c r="DO109" s="131"/>
      <c r="DP109" s="131"/>
      <c r="DQ109" s="131"/>
      <c r="DR109" s="131"/>
      <c r="DS109" s="131"/>
      <c r="DT109" s="131"/>
      <c r="DU109" s="131"/>
      <c r="DV109" s="131"/>
      <c r="DW109" s="131"/>
      <c r="DX109" s="131"/>
      <c r="DY109" s="131"/>
      <c r="DZ109" s="131"/>
      <c r="EA109" s="131"/>
      <c r="EB109" s="131"/>
      <c r="EC109" s="131"/>
      <c r="ED109" s="131"/>
      <c r="EE109" s="131"/>
      <c r="EF109" s="131"/>
      <c r="EG109" s="131"/>
      <c r="EH109" s="131"/>
      <c r="EI109" s="131"/>
      <c r="EJ109" s="131"/>
      <c r="EK109" s="131"/>
      <c r="EL109" s="131"/>
      <c r="EM109" s="131"/>
      <c r="EN109" s="131"/>
      <c r="EO109" s="131"/>
      <c r="EP109" s="131"/>
      <c r="EQ109" s="131"/>
      <c r="ER109" s="131"/>
      <c r="ES109" s="131"/>
      <c r="ET109" s="131"/>
      <c r="EU109" s="131"/>
      <c r="EV109" s="131"/>
      <c r="EW109" s="131"/>
      <c r="EX109" s="131"/>
      <c r="EY109" s="131"/>
      <c r="EZ109" s="131"/>
      <c r="FA109" s="131"/>
      <c r="FB109" s="131"/>
      <c r="FC109" s="131"/>
      <c r="FD109" s="131"/>
      <c r="FE109" s="131"/>
      <c r="FF109" s="131"/>
      <c r="FG109" s="131"/>
      <c r="FH109" s="131"/>
      <c r="FI109" s="131"/>
      <c r="FJ109" s="131"/>
      <c r="FK109" s="131"/>
      <c r="FL109" s="131"/>
      <c r="FM109" s="131"/>
      <c r="FN109" s="131"/>
      <c r="FO109" s="131"/>
      <c r="FP109" s="131"/>
      <c r="FQ109" s="131"/>
      <c r="FR109" s="131"/>
      <c r="FS109" s="131"/>
      <c r="FT109" s="131"/>
      <c r="FU109" s="131"/>
      <c r="FV109" s="131"/>
      <c r="FW109" s="131"/>
      <c r="FX109" s="131"/>
      <c r="FY109" s="131"/>
      <c r="FZ109" s="131"/>
      <c r="GA109" s="131"/>
      <c r="GB109" s="131"/>
      <c r="GC109" s="131"/>
      <c r="GD109" s="131"/>
      <c r="GE109" s="131"/>
      <c r="GF109" s="131"/>
      <c r="GG109" s="131"/>
      <c r="GH109" s="131"/>
      <c r="GI109" s="131"/>
      <c r="GJ109" s="131"/>
      <c r="GK109" s="131"/>
      <c r="GL109" s="131"/>
      <c r="GM109" s="131"/>
      <c r="GN109" s="131"/>
      <c r="GO109" s="131"/>
      <c r="GP109" s="131"/>
      <c r="GQ109" s="131"/>
      <c r="GR109" s="131"/>
      <c r="GS109" s="131"/>
      <c r="GT109" s="131"/>
      <c r="GU109" s="131"/>
      <c r="GV109" s="131"/>
      <c r="GW109" s="131"/>
      <c r="GX109" s="131"/>
      <c r="GY109" s="131"/>
      <c r="GZ109" s="131"/>
      <c r="HA109" s="131"/>
      <c r="HB109" s="131"/>
      <c r="HC109" s="131"/>
      <c r="HD109" s="131"/>
      <c r="HE109" s="131"/>
      <c r="HF109" s="131"/>
      <c r="HG109" s="131"/>
      <c r="HH109" s="131"/>
      <c r="HI109" s="131"/>
      <c r="HJ109" s="131"/>
      <c r="HK109" s="131"/>
      <c r="HL109" s="131"/>
      <c r="HM109" s="131"/>
      <c r="HN109" s="131"/>
      <c r="HO109" s="131"/>
      <c r="HP109" s="131"/>
      <c r="HQ109" s="131"/>
      <c r="HR109" s="131"/>
      <c r="HS109" s="131"/>
      <c r="HT109" s="131"/>
      <c r="HU109" s="131"/>
      <c r="HV109" s="131"/>
      <c r="HW109" s="131"/>
      <c r="HX109" s="131"/>
      <c r="HY109" s="131"/>
      <c r="HZ109" s="131"/>
      <c r="IA109" s="131"/>
      <c r="IB109" s="131"/>
      <c r="IC109" s="131"/>
      <c r="ID109" s="131"/>
      <c r="IE109" s="131"/>
      <c r="IF109" s="131"/>
      <c r="IG109" s="131"/>
      <c r="IH109" s="131"/>
      <c r="II109" s="131"/>
      <c r="IJ109" s="131"/>
      <c r="IK109" s="131"/>
      <c r="IL109" s="131"/>
      <c r="IM109" s="131"/>
      <c r="IN109" s="131"/>
      <c r="IO109" s="131"/>
      <c r="IP109" s="131"/>
      <c r="IQ109" s="131"/>
      <c r="IR109" s="131"/>
      <c r="IS109" s="131"/>
      <c r="IT109" s="131"/>
      <c r="IU109" s="131"/>
      <c r="IV109" s="131"/>
      <c r="IW109" s="131"/>
      <c r="IX109" s="131"/>
      <c r="IY109" s="131"/>
      <c r="IZ109" s="131"/>
      <c r="JA109" s="131"/>
      <c r="JB109" s="131"/>
      <c r="JC109" s="131"/>
      <c r="JD109" s="131"/>
      <c r="JE109" s="131"/>
      <c r="JF109" s="131"/>
      <c r="JG109" s="131"/>
      <c r="JH109" s="131"/>
      <c r="JI109" s="131"/>
      <c r="JJ109" s="131"/>
      <c r="JK109" s="131"/>
      <c r="JL109" s="131"/>
      <c r="JM109" s="131"/>
      <c r="JN109" s="131"/>
      <c r="JO109" s="131"/>
      <c r="JP109" s="131"/>
      <c r="JQ109" s="131"/>
      <c r="JR109" s="131"/>
      <c r="JS109" s="131"/>
      <c r="JT109" s="131"/>
      <c r="JU109" s="131"/>
      <c r="JV109" s="131"/>
      <c r="JW109" s="131"/>
      <c r="JX109" s="131"/>
      <c r="JY109" s="131"/>
      <c r="JZ109" s="131"/>
      <c r="KA109" s="131"/>
      <c r="KB109" s="131"/>
      <c r="KC109" s="131"/>
      <c r="KD109" s="131"/>
      <c r="KE109" s="131"/>
      <c r="KF109" s="131"/>
      <c r="KG109" s="131"/>
      <c r="KH109" s="131"/>
      <c r="KI109" s="131"/>
      <c r="KJ109" s="131"/>
      <c r="KK109" s="131"/>
      <c r="KL109" s="131"/>
      <c r="KM109" s="131"/>
      <c r="KN109" s="131"/>
      <c r="KO109" s="131"/>
      <c r="KP109" s="131"/>
      <c r="KQ109" s="131"/>
      <c r="KR109" s="131"/>
      <c r="KS109" s="131"/>
      <c r="KT109" s="131"/>
      <c r="KU109" s="131"/>
      <c r="KV109" s="131"/>
      <c r="KW109" s="131"/>
      <c r="KX109" s="131"/>
      <c r="KY109" s="131"/>
      <c r="KZ109" s="131"/>
      <c r="LA109" s="131"/>
      <c r="LB109" s="131"/>
      <c r="LC109" s="131"/>
      <c r="LD109" s="131"/>
      <c r="LE109" s="131"/>
      <c r="LF109" s="131"/>
      <c r="LG109" s="131"/>
      <c r="LH109" s="131"/>
      <c r="LI109" s="131"/>
      <c r="LJ109" s="131"/>
      <c r="LK109" s="131"/>
      <c r="LL109" s="131"/>
      <c r="LM109" s="131"/>
      <c r="LN109" s="131"/>
      <c r="LO109" s="131"/>
      <c r="LP109" s="131"/>
      <c r="LQ109" s="131"/>
      <c r="LR109" s="131"/>
      <c r="LS109" s="131"/>
      <c r="LT109" s="131"/>
      <c r="LU109" s="131"/>
      <c r="LV109" s="131"/>
      <c r="LW109" s="131"/>
      <c r="LX109" s="131"/>
      <c r="LY109" s="131"/>
      <c r="LZ109" s="131"/>
      <c r="MA109" s="131"/>
      <c r="MB109" s="131"/>
      <c r="MC109" s="131"/>
      <c r="MD109" s="131"/>
      <c r="ME109" s="131"/>
      <c r="MF109" s="131"/>
      <c r="MG109" s="131"/>
      <c r="MH109" s="131"/>
      <c r="MI109" s="131"/>
      <c r="MJ109" s="131"/>
      <c r="MK109" s="131"/>
      <c r="ML109" s="131"/>
      <c r="MM109" s="131"/>
      <c r="MN109" s="131"/>
      <c r="MO109" s="131"/>
      <c r="MP109" s="131"/>
      <c r="MQ109" s="131"/>
      <c r="MR109" s="131"/>
      <c r="MS109" s="131"/>
      <c r="MT109" s="131"/>
      <c r="MU109" s="131"/>
      <c r="MV109" s="131"/>
      <c r="MW109" s="131"/>
      <c r="MX109" s="131"/>
      <c r="MY109" s="131"/>
      <c r="MZ109" s="131"/>
      <c r="NA109" s="131"/>
      <c r="NB109" s="131"/>
      <c r="NC109" s="131"/>
      <c r="ND109" s="131"/>
      <c r="NE109" s="131"/>
      <c r="NF109" s="131"/>
      <c r="NG109" s="131"/>
      <c r="NH109" s="131"/>
      <c r="NI109" s="131"/>
      <c r="NJ109" s="131"/>
      <c r="NK109" s="131"/>
      <c r="NL109" s="131"/>
      <c r="NM109" s="131"/>
      <c r="NN109" s="131"/>
      <c r="NO109" s="131"/>
      <c r="NP109" s="131"/>
      <c r="NQ109" s="131"/>
      <c r="NR109" s="131"/>
      <c r="NS109" s="131"/>
      <c r="NT109" s="131"/>
      <c r="NU109" s="131"/>
      <c r="NV109" s="131"/>
      <c r="NW109" s="24">
        <f t="shared" si="11"/>
        <v>0</v>
      </c>
      <c r="NX109" s="56" t="s">
        <v>36</v>
      </c>
      <c r="NY109" s="127">
        <v>1859.04</v>
      </c>
      <c r="NZ109" s="78">
        <f t="shared" si="14"/>
        <v>0</v>
      </c>
      <c r="OA109" s="78">
        <v>1261.5999999999999</v>
      </c>
      <c r="OB109" s="127">
        <f t="shared" si="12"/>
        <v>1859.04</v>
      </c>
      <c r="OC109" s="153"/>
      <c r="OD109" s="108">
        <f t="shared" si="15"/>
        <v>1.4735573874445149</v>
      </c>
      <c r="OE109" s="160" t="s">
        <v>558</v>
      </c>
    </row>
    <row r="110" spans="1:395" s="5" customFormat="1" ht="12.75" hidden="1" customHeight="1" x14ac:dyDescent="0.25">
      <c r="A110" s="62">
        <v>44558</v>
      </c>
      <c r="B110" s="116" t="s">
        <v>460</v>
      </c>
      <c r="C110" s="129"/>
      <c r="D110" s="129"/>
      <c r="E110" s="130"/>
      <c r="F110" s="130"/>
      <c r="G110" s="130"/>
      <c r="H110" s="130"/>
      <c r="I110" s="130"/>
      <c r="J110" s="130"/>
      <c r="K110" s="130"/>
      <c r="L110" s="130"/>
      <c r="M110" s="131"/>
      <c r="N110" s="131"/>
      <c r="O110" s="131"/>
      <c r="P110" s="131"/>
      <c r="Q110" s="131"/>
      <c r="R110" s="131"/>
      <c r="S110" s="131"/>
      <c r="T110" s="131"/>
      <c r="U110" s="131"/>
      <c r="V110" s="131"/>
      <c r="W110" s="131"/>
      <c r="X110" s="131"/>
      <c r="Y110" s="131"/>
      <c r="Z110" s="131"/>
      <c r="AA110" s="131"/>
      <c r="AB110" s="131"/>
      <c r="AC110" s="131"/>
      <c r="AD110" s="131"/>
      <c r="AE110" s="131"/>
      <c r="AF110" s="131"/>
      <c r="AG110" s="131"/>
      <c r="AH110" s="131"/>
      <c r="AI110" s="131"/>
      <c r="AJ110" s="131"/>
      <c r="AK110" s="131"/>
      <c r="AL110" s="131"/>
      <c r="AM110" s="131"/>
      <c r="AN110" s="131"/>
      <c r="AO110" s="131"/>
      <c r="AP110" s="131"/>
      <c r="AQ110" s="131"/>
      <c r="AR110" s="131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1"/>
      <c r="BD110" s="131"/>
      <c r="BE110" s="131"/>
      <c r="BF110" s="131"/>
      <c r="BG110" s="131"/>
      <c r="BH110" s="131"/>
      <c r="BI110" s="131"/>
      <c r="BJ110" s="131"/>
      <c r="BK110" s="131"/>
      <c r="BL110" s="131"/>
      <c r="BM110" s="131"/>
      <c r="BN110" s="131"/>
      <c r="BO110" s="131"/>
      <c r="BP110" s="131"/>
      <c r="BQ110" s="131"/>
      <c r="BR110" s="131"/>
      <c r="BS110" s="131"/>
      <c r="BT110" s="131"/>
      <c r="BU110" s="131"/>
      <c r="BV110" s="131"/>
      <c r="BW110" s="131"/>
      <c r="BX110" s="131"/>
      <c r="BY110" s="131"/>
      <c r="BZ110" s="131"/>
      <c r="CA110" s="131"/>
      <c r="CB110" s="131"/>
      <c r="CC110" s="131"/>
      <c r="CD110" s="131"/>
      <c r="CE110" s="131"/>
      <c r="CF110" s="131"/>
      <c r="CG110" s="131"/>
      <c r="CH110" s="131"/>
      <c r="CI110" s="131"/>
      <c r="CJ110" s="131"/>
      <c r="CK110" s="131"/>
      <c r="CL110" s="131"/>
      <c r="CM110" s="131"/>
      <c r="CN110" s="131"/>
      <c r="CO110" s="131"/>
      <c r="CP110" s="131"/>
      <c r="CQ110" s="131"/>
      <c r="CR110" s="131"/>
      <c r="CS110" s="131"/>
      <c r="CT110" s="131"/>
      <c r="CU110" s="131"/>
      <c r="CV110" s="131"/>
      <c r="CW110" s="131"/>
      <c r="CX110" s="131"/>
      <c r="CY110" s="131"/>
      <c r="CZ110" s="131"/>
      <c r="DA110" s="131"/>
      <c r="DB110" s="131"/>
      <c r="DC110" s="131"/>
      <c r="DD110" s="131"/>
      <c r="DE110" s="131"/>
      <c r="DF110" s="131"/>
      <c r="DG110" s="131"/>
      <c r="DH110" s="131"/>
      <c r="DI110" s="131"/>
      <c r="DJ110" s="131"/>
      <c r="DK110" s="131"/>
      <c r="DL110" s="131"/>
      <c r="DM110" s="131"/>
      <c r="DN110" s="131"/>
      <c r="DO110" s="131"/>
      <c r="DP110" s="131"/>
      <c r="DQ110" s="131"/>
      <c r="DR110" s="131"/>
      <c r="DS110" s="131"/>
      <c r="DT110" s="131"/>
      <c r="DU110" s="131"/>
      <c r="DV110" s="131"/>
      <c r="DW110" s="131"/>
      <c r="DX110" s="131"/>
      <c r="DY110" s="131"/>
      <c r="DZ110" s="131"/>
      <c r="EA110" s="131"/>
      <c r="EB110" s="131"/>
      <c r="EC110" s="131"/>
      <c r="ED110" s="131"/>
      <c r="EE110" s="131"/>
      <c r="EF110" s="131"/>
      <c r="EG110" s="131"/>
      <c r="EH110" s="131"/>
      <c r="EI110" s="131"/>
      <c r="EJ110" s="131"/>
      <c r="EK110" s="131"/>
      <c r="EL110" s="131"/>
      <c r="EM110" s="131"/>
      <c r="EN110" s="131"/>
      <c r="EO110" s="131"/>
      <c r="EP110" s="131"/>
      <c r="EQ110" s="131"/>
      <c r="ER110" s="131"/>
      <c r="ES110" s="131"/>
      <c r="ET110" s="131"/>
      <c r="EU110" s="131"/>
      <c r="EV110" s="131"/>
      <c r="EW110" s="131"/>
      <c r="EX110" s="131"/>
      <c r="EY110" s="131"/>
      <c r="EZ110" s="131"/>
      <c r="FA110" s="131"/>
      <c r="FB110" s="131"/>
      <c r="FC110" s="131"/>
      <c r="FD110" s="131"/>
      <c r="FE110" s="131"/>
      <c r="FF110" s="131"/>
      <c r="FG110" s="131"/>
      <c r="FH110" s="131"/>
      <c r="FI110" s="131"/>
      <c r="FJ110" s="131"/>
      <c r="FK110" s="131"/>
      <c r="FL110" s="131"/>
      <c r="FM110" s="131"/>
      <c r="FN110" s="131"/>
      <c r="FO110" s="131"/>
      <c r="FP110" s="131"/>
      <c r="FQ110" s="131"/>
      <c r="FR110" s="131"/>
      <c r="FS110" s="131"/>
      <c r="FT110" s="131"/>
      <c r="FU110" s="131"/>
      <c r="FV110" s="131"/>
      <c r="FW110" s="131"/>
      <c r="FX110" s="131"/>
      <c r="FY110" s="131"/>
      <c r="FZ110" s="131"/>
      <c r="GA110" s="131"/>
      <c r="GB110" s="131"/>
      <c r="GC110" s="131"/>
      <c r="GD110" s="131"/>
      <c r="GE110" s="131"/>
      <c r="GF110" s="131"/>
      <c r="GG110" s="131"/>
      <c r="GH110" s="131"/>
      <c r="GI110" s="131"/>
      <c r="GJ110" s="131"/>
      <c r="GK110" s="131"/>
      <c r="GL110" s="131"/>
      <c r="GM110" s="131"/>
      <c r="GN110" s="131"/>
      <c r="GO110" s="131"/>
      <c r="GP110" s="131"/>
      <c r="GQ110" s="131"/>
      <c r="GR110" s="131"/>
      <c r="GS110" s="131"/>
      <c r="GT110" s="131"/>
      <c r="GU110" s="131"/>
      <c r="GV110" s="131"/>
      <c r="GW110" s="131"/>
      <c r="GX110" s="131"/>
      <c r="GY110" s="131"/>
      <c r="GZ110" s="131"/>
      <c r="HA110" s="131"/>
      <c r="HB110" s="131"/>
      <c r="HC110" s="131"/>
      <c r="HD110" s="131"/>
      <c r="HE110" s="131"/>
      <c r="HF110" s="131"/>
      <c r="HG110" s="131"/>
      <c r="HH110" s="131"/>
      <c r="HI110" s="131"/>
      <c r="HJ110" s="131"/>
      <c r="HK110" s="131"/>
      <c r="HL110" s="131"/>
      <c r="HM110" s="131"/>
      <c r="HN110" s="131"/>
      <c r="HO110" s="131"/>
      <c r="HP110" s="131"/>
      <c r="HQ110" s="131"/>
      <c r="HR110" s="131"/>
      <c r="HS110" s="131"/>
      <c r="HT110" s="131"/>
      <c r="HU110" s="131"/>
      <c r="HV110" s="131"/>
      <c r="HW110" s="131"/>
      <c r="HX110" s="131"/>
      <c r="HY110" s="131"/>
      <c r="HZ110" s="131"/>
      <c r="IA110" s="131"/>
      <c r="IB110" s="131"/>
      <c r="IC110" s="131"/>
      <c r="ID110" s="131"/>
      <c r="IE110" s="131"/>
      <c r="IF110" s="131"/>
      <c r="IG110" s="131"/>
      <c r="IH110" s="131"/>
      <c r="II110" s="131"/>
      <c r="IJ110" s="131"/>
      <c r="IK110" s="131"/>
      <c r="IL110" s="131"/>
      <c r="IM110" s="131"/>
      <c r="IN110" s="131"/>
      <c r="IO110" s="131"/>
      <c r="IP110" s="131"/>
      <c r="IQ110" s="131"/>
      <c r="IR110" s="131"/>
      <c r="IS110" s="131"/>
      <c r="IT110" s="131"/>
      <c r="IU110" s="131"/>
      <c r="IV110" s="131"/>
      <c r="IW110" s="131"/>
      <c r="IX110" s="131"/>
      <c r="IY110" s="131"/>
      <c r="IZ110" s="131"/>
      <c r="JA110" s="131"/>
      <c r="JB110" s="131"/>
      <c r="JC110" s="131"/>
      <c r="JD110" s="131"/>
      <c r="JE110" s="131"/>
      <c r="JF110" s="131"/>
      <c r="JG110" s="131"/>
      <c r="JH110" s="131"/>
      <c r="JI110" s="131"/>
      <c r="JJ110" s="131"/>
      <c r="JK110" s="131"/>
      <c r="JL110" s="131"/>
      <c r="JM110" s="131"/>
      <c r="JN110" s="131"/>
      <c r="JO110" s="131"/>
      <c r="JP110" s="131"/>
      <c r="JQ110" s="131"/>
      <c r="JR110" s="131"/>
      <c r="JS110" s="131"/>
      <c r="JT110" s="131"/>
      <c r="JU110" s="131"/>
      <c r="JV110" s="131"/>
      <c r="JW110" s="131"/>
      <c r="JX110" s="131"/>
      <c r="JY110" s="131"/>
      <c r="JZ110" s="131"/>
      <c r="KA110" s="131"/>
      <c r="KB110" s="131"/>
      <c r="KC110" s="131"/>
      <c r="KD110" s="131"/>
      <c r="KE110" s="131"/>
      <c r="KF110" s="131"/>
      <c r="KG110" s="131"/>
      <c r="KH110" s="131"/>
      <c r="KI110" s="131"/>
      <c r="KJ110" s="131"/>
      <c r="KK110" s="131"/>
      <c r="KL110" s="131"/>
      <c r="KM110" s="131"/>
      <c r="KN110" s="131"/>
      <c r="KO110" s="131"/>
      <c r="KP110" s="131"/>
      <c r="KQ110" s="131"/>
      <c r="KR110" s="131"/>
      <c r="KS110" s="131"/>
      <c r="KT110" s="131"/>
      <c r="KU110" s="131"/>
      <c r="KV110" s="131"/>
      <c r="KW110" s="131"/>
      <c r="KX110" s="131"/>
      <c r="KY110" s="131"/>
      <c r="KZ110" s="131"/>
      <c r="LA110" s="131"/>
      <c r="LB110" s="131"/>
      <c r="LC110" s="131"/>
      <c r="LD110" s="131"/>
      <c r="LE110" s="131"/>
      <c r="LF110" s="131"/>
      <c r="LG110" s="131"/>
      <c r="LH110" s="131"/>
      <c r="LI110" s="131"/>
      <c r="LJ110" s="131"/>
      <c r="LK110" s="131"/>
      <c r="LL110" s="131"/>
      <c r="LM110" s="131"/>
      <c r="LN110" s="131"/>
      <c r="LO110" s="131"/>
      <c r="LP110" s="131"/>
      <c r="LQ110" s="131"/>
      <c r="LR110" s="131"/>
      <c r="LS110" s="131"/>
      <c r="LT110" s="131"/>
      <c r="LU110" s="131"/>
      <c r="LV110" s="131"/>
      <c r="LW110" s="131"/>
      <c r="LX110" s="131"/>
      <c r="LY110" s="131"/>
      <c r="LZ110" s="131"/>
      <c r="MA110" s="131"/>
      <c r="MB110" s="131"/>
      <c r="MC110" s="131"/>
      <c r="MD110" s="131"/>
      <c r="ME110" s="131"/>
      <c r="MF110" s="131"/>
      <c r="MG110" s="131"/>
      <c r="MH110" s="131"/>
      <c r="MI110" s="131"/>
      <c r="MJ110" s="131"/>
      <c r="MK110" s="131"/>
      <c r="ML110" s="131"/>
      <c r="MM110" s="131"/>
      <c r="MN110" s="131"/>
      <c r="MO110" s="131"/>
      <c r="MP110" s="131"/>
      <c r="MQ110" s="131"/>
      <c r="MR110" s="131"/>
      <c r="MS110" s="131"/>
      <c r="MT110" s="131"/>
      <c r="MU110" s="131"/>
      <c r="MV110" s="131"/>
      <c r="MW110" s="131"/>
      <c r="MX110" s="131"/>
      <c r="MY110" s="131"/>
      <c r="MZ110" s="131"/>
      <c r="NA110" s="131"/>
      <c r="NB110" s="131"/>
      <c r="NC110" s="131"/>
      <c r="ND110" s="131"/>
      <c r="NE110" s="131"/>
      <c r="NF110" s="131"/>
      <c r="NG110" s="131"/>
      <c r="NH110" s="131"/>
      <c r="NI110" s="131"/>
      <c r="NJ110" s="131"/>
      <c r="NK110" s="131"/>
      <c r="NL110" s="131"/>
      <c r="NM110" s="131"/>
      <c r="NN110" s="131"/>
      <c r="NO110" s="131"/>
      <c r="NP110" s="131"/>
      <c r="NQ110" s="131"/>
      <c r="NR110" s="131"/>
      <c r="NS110" s="131"/>
      <c r="NT110" s="131"/>
      <c r="NU110" s="131"/>
      <c r="NV110" s="131"/>
      <c r="NW110" s="24">
        <f t="shared" ref="NW110" si="16">SUBTOTAL(9,C110:NV110)</f>
        <v>0</v>
      </c>
      <c r="NX110" s="56" t="s">
        <v>72</v>
      </c>
      <c r="NY110" s="127">
        <v>4075.2</v>
      </c>
      <c r="NZ110" s="78">
        <f t="shared" si="14"/>
        <v>4075.2</v>
      </c>
      <c r="OA110" s="78">
        <v>2933.3999999999996</v>
      </c>
      <c r="OB110" s="127">
        <f t="shared" si="12"/>
        <v>0</v>
      </c>
      <c r="OC110" s="153">
        <v>4075.2</v>
      </c>
      <c r="OD110" s="108">
        <f t="shared" si="15"/>
        <v>1.3892411536101454</v>
      </c>
      <c r="OE110" s="160" t="s">
        <v>511</v>
      </c>
    </row>
    <row r="111" spans="1:395" s="5" customFormat="1" ht="12.75" customHeight="1" x14ac:dyDescent="0.25">
      <c r="A111" s="62">
        <v>44558</v>
      </c>
      <c r="B111" s="116" t="s">
        <v>182</v>
      </c>
      <c r="C111" s="129"/>
      <c r="D111" s="129"/>
      <c r="E111" s="130"/>
      <c r="F111" s="130"/>
      <c r="G111" s="130"/>
      <c r="H111" s="130"/>
      <c r="I111" s="130"/>
      <c r="J111" s="130"/>
      <c r="K111" s="130"/>
      <c r="L111" s="130"/>
      <c r="M111" s="131"/>
      <c r="N111" s="131"/>
      <c r="O111" s="131"/>
      <c r="P111" s="131"/>
      <c r="Q111" s="131"/>
      <c r="R111" s="131"/>
      <c r="S111" s="131"/>
      <c r="T111" s="131"/>
      <c r="U111" s="131"/>
      <c r="V111" s="131"/>
      <c r="W111" s="131"/>
      <c r="X111" s="131"/>
      <c r="Y111" s="131"/>
      <c r="Z111" s="131"/>
      <c r="AA111" s="131"/>
      <c r="AB111" s="131"/>
      <c r="AC111" s="131"/>
      <c r="AD111" s="131"/>
      <c r="AE111" s="131"/>
      <c r="AF111" s="131"/>
      <c r="AG111" s="131"/>
      <c r="AH111" s="131"/>
      <c r="AI111" s="131"/>
      <c r="AJ111" s="131"/>
      <c r="AK111" s="131"/>
      <c r="AL111" s="131"/>
      <c r="AM111" s="131"/>
      <c r="AN111" s="131"/>
      <c r="AO111" s="131"/>
      <c r="AP111" s="131"/>
      <c r="AQ111" s="131"/>
      <c r="AR111" s="131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1"/>
      <c r="BD111" s="131"/>
      <c r="BE111" s="131"/>
      <c r="BF111" s="131"/>
      <c r="BG111" s="131"/>
      <c r="BH111" s="131"/>
      <c r="BI111" s="131"/>
      <c r="BJ111" s="131"/>
      <c r="BK111" s="131"/>
      <c r="BL111" s="131"/>
      <c r="BM111" s="131"/>
      <c r="BN111" s="131"/>
      <c r="BO111" s="131"/>
      <c r="BP111" s="131"/>
      <c r="BQ111" s="131"/>
      <c r="BR111" s="131"/>
      <c r="BS111" s="131"/>
      <c r="BT111" s="131"/>
      <c r="BU111" s="131"/>
      <c r="BV111" s="131"/>
      <c r="BW111" s="131"/>
      <c r="BX111" s="131"/>
      <c r="BY111" s="131"/>
      <c r="BZ111" s="131"/>
      <c r="CA111" s="131"/>
      <c r="CB111" s="131"/>
      <c r="CC111" s="131"/>
      <c r="CD111" s="131"/>
      <c r="CE111" s="131"/>
      <c r="CF111" s="131"/>
      <c r="CG111" s="131"/>
      <c r="CH111" s="131"/>
      <c r="CI111" s="131"/>
      <c r="CJ111" s="131"/>
      <c r="CK111" s="131"/>
      <c r="CL111" s="131"/>
      <c r="CM111" s="131"/>
      <c r="CN111" s="131"/>
      <c r="CO111" s="131"/>
      <c r="CP111" s="131"/>
      <c r="CQ111" s="131"/>
      <c r="CR111" s="131"/>
      <c r="CS111" s="131"/>
      <c r="CT111" s="131"/>
      <c r="CU111" s="131"/>
      <c r="CV111" s="131"/>
      <c r="CW111" s="131"/>
      <c r="CX111" s="131"/>
      <c r="CY111" s="131"/>
      <c r="CZ111" s="131"/>
      <c r="DA111" s="131"/>
      <c r="DB111" s="131"/>
      <c r="DC111" s="131"/>
      <c r="DD111" s="131"/>
      <c r="DE111" s="131"/>
      <c r="DF111" s="131"/>
      <c r="DG111" s="131"/>
      <c r="DH111" s="131"/>
      <c r="DI111" s="131"/>
      <c r="DJ111" s="131"/>
      <c r="DK111" s="131"/>
      <c r="DL111" s="131"/>
      <c r="DM111" s="131"/>
      <c r="DN111" s="131"/>
      <c r="DO111" s="131"/>
      <c r="DP111" s="131"/>
      <c r="DQ111" s="131"/>
      <c r="DR111" s="131"/>
      <c r="DS111" s="131"/>
      <c r="DT111" s="131"/>
      <c r="DU111" s="131"/>
      <c r="DV111" s="131"/>
      <c r="DW111" s="131"/>
      <c r="DX111" s="131"/>
      <c r="DY111" s="131"/>
      <c r="DZ111" s="131"/>
      <c r="EA111" s="131"/>
      <c r="EB111" s="131"/>
      <c r="EC111" s="131"/>
      <c r="ED111" s="131"/>
      <c r="EE111" s="131"/>
      <c r="EF111" s="131"/>
      <c r="EG111" s="131"/>
      <c r="EH111" s="131"/>
      <c r="EI111" s="131"/>
      <c r="EJ111" s="131"/>
      <c r="EK111" s="131"/>
      <c r="EL111" s="131"/>
      <c r="EM111" s="131"/>
      <c r="EN111" s="131"/>
      <c r="EO111" s="131"/>
      <c r="EP111" s="131"/>
      <c r="EQ111" s="131"/>
      <c r="ER111" s="131"/>
      <c r="ES111" s="131"/>
      <c r="ET111" s="131"/>
      <c r="EU111" s="131"/>
      <c r="EV111" s="131"/>
      <c r="EW111" s="131"/>
      <c r="EX111" s="131"/>
      <c r="EY111" s="131"/>
      <c r="EZ111" s="131"/>
      <c r="FA111" s="131"/>
      <c r="FB111" s="131"/>
      <c r="FC111" s="131"/>
      <c r="FD111" s="131"/>
      <c r="FE111" s="131"/>
      <c r="FF111" s="131"/>
      <c r="FG111" s="131"/>
      <c r="FH111" s="131"/>
      <c r="FI111" s="131"/>
      <c r="FJ111" s="131"/>
      <c r="FK111" s="131"/>
      <c r="FL111" s="131"/>
      <c r="FM111" s="131"/>
      <c r="FN111" s="131"/>
      <c r="FO111" s="131"/>
      <c r="FP111" s="131"/>
      <c r="FQ111" s="131"/>
      <c r="FR111" s="131"/>
      <c r="FS111" s="131"/>
      <c r="FT111" s="131"/>
      <c r="FU111" s="131"/>
      <c r="FV111" s="131"/>
      <c r="FW111" s="131"/>
      <c r="FX111" s="131"/>
      <c r="FY111" s="131"/>
      <c r="FZ111" s="131"/>
      <c r="GA111" s="131"/>
      <c r="GB111" s="131"/>
      <c r="GC111" s="131"/>
      <c r="GD111" s="131"/>
      <c r="GE111" s="131"/>
      <c r="GF111" s="131"/>
      <c r="GG111" s="131"/>
      <c r="GH111" s="131"/>
      <c r="GI111" s="131"/>
      <c r="GJ111" s="131"/>
      <c r="GK111" s="131"/>
      <c r="GL111" s="131"/>
      <c r="GM111" s="131"/>
      <c r="GN111" s="131"/>
      <c r="GO111" s="131"/>
      <c r="GP111" s="131"/>
      <c r="GQ111" s="131"/>
      <c r="GR111" s="131"/>
      <c r="GS111" s="131"/>
      <c r="GT111" s="131"/>
      <c r="GU111" s="131"/>
      <c r="GV111" s="131"/>
      <c r="GW111" s="131"/>
      <c r="GX111" s="131"/>
      <c r="GY111" s="131"/>
      <c r="GZ111" s="131"/>
      <c r="HA111" s="131"/>
      <c r="HB111" s="131"/>
      <c r="HC111" s="131"/>
      <c r="HD111" s="131"/>
      <c r="HE111" s="131"/>
      <c r="HF111" s="131"/>
      <c r="HG111" s="131"/>
      <c r="HH111" s="131"/>
      <c r="HI111" s="131"/>
      <c r="HJ111" s="131"/>
      <c r="HK111" s="131"/>
      <c r="HL111" s="131"/>
      <c r="HM111" s="131"/>
      <c r="HN111" s="131"/>
      <c r="HO111" s="131"/>
      <c r="HP111" s="131"/>
      <c r="HQ111" s="131"/>
      <c r="HR111" s="131"/>
      <c r="HS111" s="131"/>
      <c r="HT111" s="131"/>
      <c r="HU111" s="131"/>
      <c r="HV111" s="131"/>
      <c r="HW111" s="131"/>
      <c r="HX111" s="131"/>
      <c r="HY111" s="131"/>
      <c r="HZ111" s="131"/>
      <c r="IA111" s="131"/>
      <c r="IB111" s="131"/>
      <c r="IC111" s="131"/>
      <c r="ID111" s="131"/>
      <c r="IE111" s="131"/>
      <c r="IF111" s="131"/>
      <c r="IG111" s="131"/>
      <c r="IH111" s="131"/>
      <c r="II111" s="131"/>
      <c r="IJ111" s="131"/>
      <c r="IK111" s="131"/>
      <c r="IL111" s="131"/>
      <c r="IM111" s="131"/>
      <c r="IN111" s="131"/>
      <c r="IO111" s="131"/>
      <c r="IP111" s="131"/>
      <c r="IQ111" s="131"/>
      <c r="IR111" s="131"/>
      <c r="IS111" s="131"/>
      <c r="IT111" s="131"/>
      <c r="IU111" s="131"/>
      <c r="IV111" s="131"/>
      <c r="IW111" s="131"/>
      <c r="IX111" s="131"/>
      <c r="IY111" s="131"/>
      <c r="IZ111" s="131"/>
      <c r="JA111" s="131"/>
      <c r="JB111" s="131"/>
      <c r="JC111" s="131"/>
      <c r="JD111" s="131"/>
      <c r="JE111" s="131"/>
      <c r="JF111" s="131"/>
      <c r="JG111" s="131"/>
      <c r="JH111" s="131"/>
      <c r="JI111" s="131"/>
      <c r="JJ111" s="131"/>
      <c r="JK111" s="131"/>
      <c r="JL111" s="131"/>
      <c r="JM111" s="131"/>
      <c r="JN111" s="131"/>
      <c r="JO111" s="131"/>
      <c r="JP111" s="131"/>
      <c r="JQ111" s="131"/>
      <c r="JR111" s="131"/>
      <c r="JS111" s="131"/>
      <c r="JT111" s="131"/>
      <c r="JU111" s="131"/>
      <c r="JV111" s="131"/>
      <c r="JW111" s="131"/>
      <c r="JX111" s="131"/>
      <c r="JY111" s="131"/>
      <c r="JZ111" s="131"/>
      <c r="KA111" s="131"/>
      <c r="KB111" s="131"/>
      <c r="KC111" s="131"/>
      <c r="KD111" s="131"/>
      <c r="KE111" s="131"/>
      <c r="KF111" s="131"/>
      <c r="KG111" s="131"/>
      <c r="KH111" s="131"/>
      <c r="KI111" s="131"/>
      <c r="KJ111" s="131"/>
      <c r="KK111" s="131"/>
      <c r="KL111" s="131"/>
      <c r="KM111" s="131"/>
      <c r="KN111" s="131"/>
      <c r="KO111" s="131"/>
      <c r="KP111" s="131"/>
      <c r="KQ111" s="131"/>
      <c r="KR111" s="131"/>
      <c r="KS111" s="131"/>
      <c r="KT111" s="131"/>
      <c r="KU111" s="131"/>
      <c r="KV111" s="131"/>
      <c r="KW111" s="131"/>
      <c r="KX111" s="131"/>
      <c r="KY111" s="131"/>
      <c r="KZ111" s="131"/>
      <c r="LA111" s="131"/>
      <c r="LB111" s="131"/>
      <c r="LC111" s="131"/>
      <c r="LD111" s="131"/>
      <c r="LE111" s="131"/>
      <c r="LF111" s="131"/>
      <c r="LG111" s="131"/>
      <c r="LH111" s="131"/>
      <c r="LI111" s="131"/>
      <c r="LJ111" s="131"/>
      <c r="LK111" s="131"/>
      <c r="LL111" s="131"/>
      <c r="LM111" s="131"/>
      <c r="LN111" s="131"/>
      <c r="LO111" s="131"/>
      <c r="LP111" s="131"/>
      <c r="LQ111" s="131"/>
      <c r="LR111" s="131"/>
      <c r="LS111" s="131"/>
      <c r="LT111" s="131"/>
      <c r="LU111" s="131"/>
      <c r="LV111" s="131"/>
      <c r="LW111" s="131"/>
      <c r="LX111" s="131"/>
      <c r="LY111" s="131"/>
      <c r="LZ111" s="131"/>
      <c r="MA111" s="131"/>
      <c r="MB111" s="131"/>
      <c r="MC111" s="131"/>
      <c r="MD111" s="131"/>
      <c r="ME111" s="131"/>
      <c r="MF111" s="131"/>
      <c r="MG111" s="131"/>
      <c r="MH111" s="131"/>
      <c r="MI111" s="131"/>
      <c r="MJ111" s="131"/>
      <c r="MK111" s="131"/>
      <c r="ML111" s="131"/>
      <c r="MM111" s="131"/>
      <c r="MN111" s="131"/>
      <c r="MO111" s="131"/>
      <c r="MP111" s="131"/>
      <c r="MQ111" s="131"/>
      <c r="MR111" s="131"/>
      <c r="MS111" s="131"/>
      <c r="MT111" s="131"/>
      <c r="MU111" s="131"/>
      <c r="MV111" s="131"/>
      <c r="MW111" s="131"/>
      <c r="MX111" s="131"/>
      <c r="MY111" s="131"/>
      <c r="MZ111" s="131"/>
      <c r="NA111" s="131"/>
      <c r="NB111" s="131"/>
      <c r="NC111" s="131"/>
      <c r="ND111" s="131"/>
      <c r="NE111" s="131"/>
      <c r="NF111" s="131"/>
      <c r="NG111" s="131"/>
      <c r="NH111" s="131"/>
      <c r="NI111" s="131"/>
      <c r="NJ111" s="131"/>
      <c r="NK111" s="131"/>
      <c r="NL111" s="131"/>
      <c r="NM111" s="131"/>
      <c r="NN111" s="131"/>
      <c r="NO111" s="131"/>
      <c r="NP111" s="131"/>
      <c r="NQ111" s="131"/>
      <c r="NR111" s="131"/>
      <c r="NS111" s="131"/>
      <c r="NT111" s="131"/>
      <c r="NU111" s="131"/>
      <c r="NV111" s="131"/>
      <c r="NW111" s="24">
        <f t="shared" ref="NW111:NW177" si="17">SUBTOTAL(9,C111:NV111)</f>
        <v>0</v>
      </c>
      <c r="NX111" s="56" t="s">
        <v>36</v>
      </c>
      <c r="NY111" s="127">
        <v>3480</v>
      </c>
      <c r="NZ111" s="78">
        <f t="shared" si="14"/>
        <v>393.06</v>
      </c>
      <c r="OA111" s="78">
        <v>2075</v>
      </c>
      <c r="OB111" s="127">
        <f t="shared" si="12"/>
        <v>3086.94</v>
      </c>
      <c r="OC111" s="153">
        <f>93.06+300</f>
        <v>393.06</v>
      </c>
      <c r="OD111" s="108">
        <f t="shared" si="15"/>
        <v>1.6771084337349398</v>
      </c>
      <c r="OE111" s="160" t="s">
        <v>555</v>
      </c>
    </row>
    <row r="112" spans="1:395" s="5" customFormat="1" ht="12.75" customHeight="1" x14ac:dyDescent="0.25">
      <c r="A112" s="62">
        <v>44558</v>
      </c>
      <c r="B112" s="106" t="s">
        <v>388</v>
      </c>
      <c r="C112" s="129"/>
      <c r="D112" s="129"/>
      <c r="E112" s="130"/>
      <c r="F112" s="130"/>
      <c r="G112" s="130"/>
      <c r="H112" s="130"/>
      <c r="I112" s="130"/>
      <c r="J112" s="130"/>
      <c r="K112" s="130"/>
      <c r="L112" s="130"/>
      <c r="M112" s="131"/>
      <c r="N112" s="131"/>
      <c r="O112" s="131"/>
      <c r="P112" s="131"/>
      <c r="Q112" s="131"/>
      <c r="R112" s="131"/>
      <c r="S112" s="131"/>
      <c r="T112" s="131"/>
      <c r="U112" s="131"/>
      <c r="V112" s="131"/>
      <c r="W112" s="131"/>
      <c r="X112" s="131"/>
      <c r="Y112" s="131"/>
      <c r="Z112" s="131"/>
      <c r="AA112" s="131"/>
      <c r="AB112" s="131"/>
      <c r="AC112" s="131"/>
      <c r="AD112" s="131"/>
      <c r="AE112" s="131"/>
      <c r="AF112" s="131"/>
      <c r="AG112" s="131"/>
      <c r="AH112" s="131"/>
      <c r="AI112" s="131"/>
      <c r="AJ112" s="131"/>
      <c r="AK112" s="131"/>
      <c r="AL112" s="131"/>
      <c r="AM112" s="131"/>
      <c r="AN112" s="131"/>
      <c r="AO112" s="131"/>
      <c r="AP112" s="131"/>
      <c r="AQ112" s="131"/>
      <c r="AR112" s="131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1"/>
      <c r="BD112" s="131"/>
      <c r="BE112" s="131"/>
      <c r="BF112" s="131"/>
      <c r="BG112" s="131"/>
      <c r="BH112" s="131"/>
      <c r="BI112" s="131"/>
      <c r="BJ112" s="131"/>
      <c r="BK112" s="131"/>
      <c r="BL112" s="131"/>
      <c r="BM112" s="131"/>
      <c r="BN112" s="131"/>
      <c r="BO112" s="131"/>
      <c r="BP112" s="131"/>
      <c r="BQ112" s="131"/>
      <c r="BR112" s="131"/>
      <c r="BS112" s="131"/>
      <c r="BT112" s="131"/>
      <c r="BU112" s="131"/>
      <c r="BV112" s="131"/>
      <c r="BW112" s="131"/>
      <c r="BX112" s="131"/>
      <c r="BY112" s="131"/>
      <c r="BZ112" s="131"/>
      <c r="CA112" s="131"/>
      <c r="CB112" s="131"/>
      <c r="CC112" s="131"/>
      <c r="CD112" s="131"/>
      <c r="CE112" s="131"/>
      <c r="CF112" s="131"/>
      <c r="CG112" s="131"/>
      <c r="CH112" s="131"/>
      <c r="CI112" s="131"/>
      <c r="CJ112" s="131"/>
      <c r="CK112" s="131"/>
      <c r="CL112" s="131"/>
      <c r="CM112" s="131"/>
      <c r="CN112" s="131"/>
      <c r="CO112" s="131"/>
      <c r="CP112" s="131"/>
      <c r="CQ112" s="131"/>
      <c r="CR112" s="131"/>
      <c r="CS112" s="131"/>
      <c r="CT112" s="131"/>
      <c r="CU112" s="131"/>
      <c r="CV112" s="131"/>
      <c r="CW112" s="131"/>
      <c r="CX112" s="131"/>
      <c r="CY112" s="131"/>
      <c r="CZ112" s="131"/>
      <c r="DA112" s="131"/>
      <c r="DB112" s="131"/>
      <c r="DC112" s="131"/>
      <c r="DD112" s="131"/>
      <c r="DE112" s="131"/>
      <c r="DF112" s="131"/>
      <c r="DG112" s="131"/>
      <c r="DH112" s="131"/>
      <c r="DI112" s="131"/>
      <c r="DJ112" s="131"/>
      <c r="DK112" s="131"/>
      <c r="DL112" s="131"/>
      <c r="DM112" s="131"/>
      <c r="DN112" s="131"/>
      <c r="DO112" s="131"/>
      <c r="DP112" s="131"/>
      <c r="DQ112" s="131"/>
      <c r="DR112" s="131"/>
      <c r="DS112" s="131"/>
      <c r="DT112" s="131"/>
      <c r="DU112" s="131"/>
      <c r="DV112" s="131"/>
      <c r="DW112" s="131"/>
      <c r="DX112" s="131"/>
      <c r="DY112" s="131"/>
      <c r="DZ112" s="131"/>
      <c r="EA112" s="131"/>
      <c r="EB112" s="131"/>
      <c r="EC112" s="131"/>
      <c r="ED112" s="131"/>
      <c r="EE112" s="131"/>
      <c r="EF112" s="131"/>
      <c r="EG112" s="131"/>
      <c r="EH112" s="131"/>
      <c r="EI112" s="131"/>
      <c r="EJ112" s="131"/>
      <c r="EK112" s="131"/>
      <c r="EL112" s="131"/>
      <c r="EM112" s="131"/>
      <c r="EN112" s="131"/>
      <c r="EO112" s="131"/>
      <c r="EP112" s="131"/>
      <c r="EQ112" s="131"/>
      <c r="ER112" s="131"/>
      <c r="ES112" s="131"/>
      <c r="ET112" s="131"/>
      <c r="EU112" s="131"/>
      <c r="EV112" s="131"/>
      <c r="EW112" s="131"/>
      <c r="EX112" s="131"/>
      <c r="EY112" s="131"/>
      <c r="EZ112" s="131"/>
      <c r="FA112" s="131"/>
      <c r="FB112" s="131"/>
      <c r="FC112" s="131"/>
      <c r="FD112" s="131"/>
      <c r="FE112" s="131"/>
      <c r="FF112" s="131"/>
      <c r="FG112" s="131"/>
      <c r="FH112" s="131"/>
      <c r="FI112" s="131"/>
      <c r="FJ112" s="131"/>
      <c r="FK112" s="131"/>
      <c r="FL112" s="131"/>
      <c r="FM112" s="131"/>
      <c r="FN112" s="131"/>
      <c r="FO112" s="131"/>
      <c r="FP112" s="131"/>
      <c r="FQ112" s="131"/>
      <c r="FR112" s="131"/>
      <c r="FS112" s="131"/>
      <c r="FT112" s="131"/>
      <c r="FU112" s="131"/>
      <c r="FV112" s="131"/>
      <c r="FW112" s="131"/>
      <c r="FX112" s="131"/>
      <c r="FY112" s="131"/>
      <c r="FZ112" s="131"/>
      <c r="GA112" s="131"/>
      <c r="GB112" s="131"/>
      <c r="GC112" s="131"/>
      <c r="GD112" s="131"/>
      <c r="GE112" s="131"/>
      <c r="GF112" s="131"/>
      <c r="GG112" s="131"/>
      <c r="GH112" s="131"/>
      <c r="GI112" s="131"/>
      <c r="GJ112" s="131"/>
      <c r="GK112" s="131"/>
      <c r="GL112" s="131"/>
      <c r="GM112" s="131"/>
      <c r="GN112" s="131"/>
      <c r="GO112" s="131"/>
      <c r="GP112" s="131"/>
      <c r="GQ112" s="131"/>
      <c r="GR112" s="131"/>
      <c r="GS112" s="131"/>
      <c r="GT112" s="131"/>
      <c r="GU112" s="131"/>
      <c r="GV112" s="131"/>
      <c r="GW112" s="131"/>
      <c r="GX112" s="131"/>
      <c r="GY112" s="131"/>
      <c r="GZ112" s="131"/>
      <c r="HA112" s="131"/>
      <c r="HB112" s="131"/>
      <c r="HC112" s="131"/>
      <c r="HD112" s="131"/>
      <c r="HE112" s="131"/>
      <c r="HF112" s="131"/>
      <c r="HG112" s="131"/>
      <c r="HH112" s="131"/>
      <c r="HI112" s="131"/>
      <c r="HJ112" s="131"/>
      <c r="HK112" s="131"/>
      <c r="HL112" s="131"/>
      <c r="HM112" s="131"/>
      <c r="HN112" s="131"/>
      <c r="HO112" s="131"/>
      <c r="HP112" s="131"/>
      <c r="HQ112" s="131"/>
      <c r="HR112" s="131"/>
      <c r="HS112" s="131"/>
      <c r="HT112" s="131"/>
      <c r="HU112" s="131"/>
      <c r="HV112" s="131"/>
      <c r="HW112" s="131"/>
      <c r="HX112" s="131"/>
      <c r="HY112" s="131"/>
      <c r="HZ112" s="131"/>
      <c r="IA112" s="131"/>
      <c r="IB112" s="131"/>
      <c r="IC112" s="131"/>
      <c r="ID112" s="131"/>
      <c r="IE112" s="131"/>
      <c r="IF112" s="131"/>
      <c r="IG112" s="131"/>
      <c r="IH112" s="131"/>
      <c r="II112" s="131"/>
      <c r="IJ112" s="131"/>
      <c r="IK112" s="131"/>
      <c r="IL112" s="131"/>
      <c r="IM112" s="131"/>
      <c r="IN112" s="131"/>
      <c r="IO112" s="131"/>
      <c r="IP112" s="131"/>
      <c r="IQ112" s="131"/>
      <c r="IR112" s="131"/>
      <c r="IS112" s="131"/>
      <c r="IT112" s="131"/>
      <c r="IU112" s="131"/>
      <c r="IV112" s="131"/>
      <c r="IW112" s="131"/>
      <c r="IX112" s="131"/>
      <c r="IY112" s="131"/>
      <c r="IZ112" s="131"/>
      <c r="JA112" s="131"/>
      <c r="JB112" s="131"/>
      <c r="JC112" s="131"/>
      <c r="JD112" s="131"/>
      <c r="JE112" s="131"/>
      <c r="JF112" s="131"/>
      <c r="JG112" s="131"/>
      <c r="JH112" s="131"/>
      <c r="JI112" s="131"/>
      <c r="JJ112" s="131"/>
      <c r="JK112" s="131"/>
      <c r="JL112" s="131"/>
      <c r="JM112" s="131"/>
      <c r="JN112" s="131"/>
      <c r="JO112" s="131"/>
      <c r="JP112" s="131"/>
      <c r="JQ112" s="131"/>
      <c r="JR112" s="131"/>
      <c r="JS112" s="131"/>
      <c r="JT112" s="131"/>
      <c r="JU112" s="131"/>
      <c r="JV112" s="131"/>
      <c r="JW112" s="131"/>
      <c r="JX112" s="131"/>
      <c r="JY112" s="131"/>
      <c r="JZ112" s="131"/>
      <c r="KA112" s="131"/>
      <c r="KB112" s="131"/>
      <c r="KC112" s="131"/>
      <c r="KD112" s="131"/>
      <c r="KE112" s="131"/>
      <c r="KF112" s="131"/>
      <c r="KG112" s="131"/>
      <c r="KH112" s="131"/>
      <c r="KI112" s="131"/>
      <c r="KJ112" s="131"/>
      <c r="KK112" s="131"/>
      <c r="KL112" s="131"/>
      <c r="KM112" s="131"/>
      <c r="KN112" s="131"/>
      <c r="KO112" s="131"/>
      <c r="KP112" s="131"/>
      <c r="KQ112" s="131"/>
      <c r="KR112" s="131"/>
      <c r="KS112" s="131"/>
      <c r="KT112" s="131"/>
      <c r="KU112" s="131"/>
      <c r="KV112" s="131"/>
      <c r="KW112" s="131"/>
      <c r="KX112" s="131"/>
      <c r="KY112" s="131"/>
      <c r="KZ112" s="131"/>
      <c r="LA112" s="131"/>
      <c r="LB112" s="131"/>
      <c r="LC112" s="131"/>
      <c r="LD112" s="131"/>
      <c r="LE112" s="131"/>
      <c r="LF112" s="131"/>
      <c r="LG112" s="131"/>
      <c r="LH112" s="131"/>
      <c r="LI112" s="131"/>
      <c r="LJ112" s="131"/>
      <c r="LK112" s="131"/>
      <c r="LL112" s="131"/>
      <c r="LM112" s="131"/>
      <c r="LN112" s="131"/>
      <c r="LO112" s="131"/>
      <c r="LP112" s="131"/>
      <c r="LQ112" s="131"/>
      <c r="LR112" s="131"/>
      <c r="LS112" s="131"/>
      <c r="LT112" s="131"/>
      <c r="LU112" s="131"/>
      <c r="LV112" s="131"/>
      <c r="LW112" s="131"/>
      <c r="LX112" s="131"/>
      <c r="LY112" s="131"/>
      <c r="LZ112" s="131"/>
      <c r="MA112" s="131"/>
      <c r="MB112" s="131"/>
      <c r="MC112" s="131"/>
      <c r="MD112" s="131"/>
      <c r="ME112" s="131"/>
      <c r="MF112" s="131"/>
      <c r="MG112" s="131"/>
      <c r="MH112" s="131"/>
      <c r="MI112" s="131"/>
      <c r="MJ112" s="131"/>
      <c r="MK112" s="131"/>
      <c r="ML112" s="131"/>
      <c r="MM112" s="131"/>
      <c r="MN112" s="131"/>
      <c r="MO112" s="131"/>
      <c r="MP112" s="131"/>
      <c r="MQ112" s="131"/>
      <c r="MR112" s="131"/>
      <c r="MS112" s="131"/>
      <c r="MT112" s="131"/>
      <c r="MU112" s="131"/>
      <c r="MV112" s="131"/>
      <c r="MW112" s="131"/>
      <c r="MX112" s="131"/>
      <c r="MY112" s="131"/>
      <c r="MZ112" s="131"/>
      <c r="NA112" s="131"/>
      <c r="NB112" s="131"/>
      <c r="NC112" s="131"/>
      <c r="ND112" s="131"/>
      <c r="NE112" s="131"/>
      <c r="NF112" s="131"/>
      <c r="NG112" s="131"/>
      <c r="NH112" s="131"/>
      <c r="NI112" s="131"/>
      <c r="NJ112" s="131"/>
      <c r="NK112" s="131"/>
      <c r="NL112" s="131"/>
      <c r="NM112" s="131"/>
      <c r="NN112" s="131"/>
      <c r="NO112" s="131"/>
      <c r="NP112" s="131"/>
      <c r="NQ112" s="131"/>
      <c r="NR112" s="131"/>
      <c r="NS112" s="131"/>
      <c r="NT112" s="131"/>
      <c r="NU112" s="131"/>
      <c r="NV112" s="131"/>
      <c r="NW112" s="24">
        <f t="shared" si="17"/>
        <v>0</v>
      </c>
      <c r="NX112" s="56" t="s">
        <v>36</v>
      </c>
      <c r="NY112" s="127">
        <v>1980.96</v>
      </c>
      <c r="NZ112" s="78">
        <f t="shared" si="14"/>
        <v>0</v>
      </c>
      <c r="OA112" s="78">
        <v>1175.4000000000001</v>
      </c>
      <c r="OB112" s="127">
        <f t="shared" si="12"/>
        <v>1980.96</v>
      </c>
      <c r="OC112" s="153"/>
      <c r="OD112" s="108">
        <f t="shared" si="15"/>
        <v>1.6853496681980602</v>
      </c>
      <c r="OE112" s="160" t="s">
        <v>560</v>
      </c>
    </row>
    <row r="113" spans="1:395" s="5" customFormat="1" ht="12.75" customHeight="1" x14ac:dyDescent="0.25">
      <c r="A113" s="62">
        <v>44558</v>
      </c>
      <c r="B113" s="106" t="s">
        <v>348</v>
      </c>
      <c r="C113" s="129"/>
      <c r="D113" s="129"/>
      <c r="E113" s="130"/>
      <c r="F113" s="130"/>
      <c r="G113" s="130"/>
      <c r="H113" s="130"/>
      <c r="I113" s="130"/>
      <c r="J113" s="130"/>
      <c r="K113" s="130"/>
      <c r="L113" s="130"/>
      <c r="M113" s="131"/>
      <c r="N113" s="131"/>
      <c r="O113" s="131"/>
      <c r="P113" s="131"/>
      <c r="Q113" s="131"/>
      <c r="R113" s="131"/>
      <c r="S113" s="131"/>
      <c r="T113" s="131"/>
      <c r="U113" s="131"/>
      <c r="V113" s="131"/>
      <c r="W113" s="131"/>
      <c r="X113" s="131"/>
      <c r="Y113" s="131"/>
      <c r="Z113" s="131"/>
      <c r="AA113" s="131"/>
      <c r="AB113" s="131"/>
      <c r="AC113" s="131"/>
      <c r="AD113" s="131"/>
      <c r="AE113" s="131"/>
      <c r="AF113" s="131"/>
      <c r="AG113" s="131"/>
      <c r="AH113" s="131"/>
      <c r="AI113" s="131"/>
      <c r="AJ113" s="131"/>
      <c r="AK113" s="131"/>
      <c r="AL113" s="131"/>
      <c r="AM113" s="131"/>
      <c r="AN113" s="131"/>
      <c r="AO113" s="131"/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1"/>
      <c r="BD113" s="131"/>
      <c r="BE113" s="131"/>
      <c r="BF113" s="131"/>
      <c r="BG113" s="131"/>
      <c r="BH113" s="131"/>
      <c r="BI113" s="131"/>
      <c r="BJ113" s="131"/>
      <c r="BK113" s="131"/>
      <c r="BL113" s="131"/>
      <c r="BM113" s="131"/>
      <c r="BN113" s="131"/>
      <c r="BO113" s="131"/>
      <c r="BP113" s="131"/>
      <c r="BQ113" s="131"/>
      <c r="BR113" s="131"/>
      <c r="BS113" s="131"/>
      <c r="BT113" s="131"/>
      <c r="BU113" s="131"/>
      <c r="BV113" s="131"/>
      <c r="BW113" s="131"/>
      <c r="BX113" s="131"/>
      <c r="BY113" s="131"/>
      <c r="BZ113" s="131"/>
      <c r="CA113" s="131"/>
      <c r="CB113" s="131"/>
      <c r="CC113" s="131"/>
      <c r="CD113" s="131"/>
      <c r="CE113" s="131"/>
      <c r="CF113" s="131"/>
      <c r="CG113" s="131"/>
      <c r="CH113" s="131"/>
      <c r="CI113" s="131"/>
      <c r="CJ113" s="131"/>
      <c r="CK113" s="131"/>
      <c r="CL113" s="131"/>
      <c r="CM113" s="131"/>
      <c r="CN113" s="131"/>
      <c r="CO113" s="131"/>
      <c r="CP113" s="131"/>
      <c r="CQ113" s="131"/>
      <c r="CR113" s="131"/>
      <c r="CS113" s="131"/>
      <c r="CT113" s="131"/>
      <c r="CU113" s="131"/>
      <c r="CV113" s="131"/>
      <c r="CW113" s="131"/>
      <c r="CX113" s="131"/>
      <c r="CY113" s="131"/>
      <c r="CZ113" s="131"/>
      <c r="DA113" s="131"/>
      <c r="DB113" s="131"/>
      <c r="DC113" s="131"/>
      <c r="DD113" s="131"/>
      <c r="DE113" s="131"/>
      <c r="DF113" s="131"/>
      <c r="DG113" s="131"/>
      <c r="DH113" s="131"/>
      <c r="DI113" s="131"/>
      <c r="DJ113" s="131"/>
      <c r="DK113" s="131"/>
      <c r="DL113" s="131"/>
      <c r="DM113" s="131"/>
      <c r="DN113" s="131"/>
      <c r="DO113" s="131"/>
      <c r="DP113" s="131"/>
      <c r="DQ113" s="131"/>
      <c r="DR113" s="131"/>
      <c r="DS113" s="131"/>
      <c r="DT113" s="131"/>
      <c r="DU113" s="131"/>
      <c r="DV113" s="131"/>
      <c r="DW113" s="131"/>
      <c r="DX113" s="131"/>
      <c r="DY113" s="131"/>
      <c r="DZ113" s="131"/>
      <c r="EA113" s="131"/>
      <c r="EB113" s="131"/>
      <c r="EC113" s="131"/>
      <c r="ED113" s="131"/>
      <c r="EE113" s="131"/>
      <c r="EF113" s="131"/>
      <c r="EG113" s="131"/>
      <c r="EH113" s="131"/>
      <c r="EI113" s="131"/>
      <c r="EJ113" s="131"/>
      <c r="EK113" s="131"/>
      <c r="EL113" s="131"/>
      <c r="EM113" s="131"/>
      <c r="EN113" s="131"/>
      <c r="EO113" s="131"/>
      <c r="EP113" s="131"/>
      <c r="EQ113" s="131"/>
      <c r="ER113" s="131"/>
      <c r="ES113" s="131"/>
      <c r="ET113" s="131"/>
      <c r="EU113" s="131"/>
      <c r="EV113" s="131"/>
      <c r="EW113" s="131"/>
      <c r="EX113" s="131"/>
      <c r="EY113" s="131"/>
      <c r="EZ113" s="131"/>
      <c r="FA113" s="131"/>
      <c r="FB113" s="131"/>
      <c r="FC113" s="131"/>
      <c r="FD113" s="131"/>
      <c r="FE113" s="131"/>
      <c r="FF113" s="131"/>
      <c r="FG113" s="131"/>
      <c r="FH113" s="131"/>
      <c r="FI113" s="131"/>
      <c r="FJ113" s="131"/>
      <c r="FK113" s="131"/>
      <c r="FL113" s="131"/>
      <c r="FM113" s="131"/>
      <c r="FN113" s="131"/>
      <c r="FO113" s="131"/>
      <c r="FP113" s="131"/>
      <c r="FQ113" s="131"/>
      <c r="FR113" s="131"/>
      <c r="FS113" s="131"/>
      <c r="FT113" s="131"/>
      <c r="FU113" s="131"/>
      <c r="FV113" s="131"/>
      <c r="FW113" s="131"/>
      <c r="FX113" s="131"/>
      <c r="FY113" s="131"/>
      <c r="FZ113" s="131"/>
      <c r="GA113" s="131"/>
      <c r="GB113" s="131"/>
      <c r="GC113" s="131"/>
      <c r="GD113" s="131"/>
      <c r="GE113" s="131"/>
      <c r="GF113" s="131"/>
      <c r="GG113" s="131"/>
      <c r="GH113" s="131"/>
      <c r="GI113" s="131"/>
      <c r="GJ113" s="131"/>
      <c r="GK113" s="131"/>
      <c r="GL113" s="131"/>
      <c r="GM113" s="131"/>
      <c r="GN113" s="131"/>
      <c r="GO113" s="131"/>
      <c r="GP113" s="131"/>
      <c r="GQ113" s="131"/>
      <c r="GR113" s="131"/>
      <c r="GS113" s="131"/>
      <c r="GT113" s="131"/>
      <c r="GU113" s="131"/>
      <c r="GV113" s="131"/>
      <c r="GW113" s="131"/>
      <c r="GX113" s="131"/>
      <c r="GY113" s="131"/>
      <c r="GZ113" s="131"/>
      <c r="HA113" s="131"/>
      <c r="HB113" s="131"/>
      <c r="HC113" s="131"/>
      <c r="HD113" s="131"/>
      <c r="HE113" s="131"/>
      <c r="HF113" s="131"/>
      <c r="HG113" s="131"/>
      <c r="HH113" s="131"/>
      <c r="HI113" s="131"/>
      <c r="HJ113" s="131"/>
      <c r="HK113" s="131"/>
      <c r="HL113" s="131"/>
      <c r="HM113" s="131"/>
      <c r="HN113" s="131"/>
      <c r="HO113" s="131"/>
      <c r="HP113" s="131"/>
      <c r="HQ113" s="131"/>
      <c r="HR113" s="131"/>
      <c r="HS113" s="131"/>
      <c r="HT113" s="131"/>
      <c r="HU113" s="131"/>
      <c r="HV113" s="131"/>
      <c r="HW113" s="131"/>
      <c r="HX113" s="131"/>
      <c r="HY113" s="131"/>
      <c r="HZ113" s="131"/>
      <c r="IA113" s="131"/>
      <c r="IB113" s="131"/>
      <c r="IC113" s="131"/>
      <c r="ID113" s="131"/>
      <c r="IE113" s="131"/>
      <c r="IF113" s="131"/>
      <c r="IG113" s="131"/>
      <c r="IH113" s="131"/>
      <c r="II113" s="131"/>
      <c r="IJ113" s="131"/>
      <c r="IK113" s="131"/>
      <c r="IL113" s="131"/>
      <c r="IM113" s="131"/>
      <c r="IN113" s="131"/>
      <c r="IO113" s="131"/>
      <c r="IP113" s="131"/>
      <c r="IQ113" s="131"/>
      <c r="IR113" s="131"/>
      <c r="IS113" s="131"/>
      <c r="IT113" s="131"/>
      <c r="IU113" s="131"/>
      <c r="IV113" s="131"/>
      <c r="IW113" s="131"/>
      <c r="IX113" s="131"/>
      <c r="IY113" s="131"/>
      <c r="IZ113" s="131"/>
      <c r="JA113" s="131"/>
      <c r="JB113" s="131"/>
      <c r="JC113" s="131"/>
      <c r="JD113" s="131"/>
      <c r="JE113" s="131"/>
      <c r="JF113" s="131"/>
      <c r="JG113" s="131"/>
      <c r="JH113" s="131"/>
      <c r="JI113" s="131"/>
      <c r="JJ113" s="131"/>
      <c r="JK113" s="131"/>
      <c r="JL113" s="131"/>
      <c r="JM113" s="131"/>
      <c r="JN113" s="131"/>
      <c r="JO113" s="131"/>
      <c r="JP113" s="131"/>
      <c r="JQ113" s="131"/>
      <c r="JR113" s="131"/>
      <c r="JS113" s="131"/>
      <c r="JT113" s="131"/>
      <c r="JU113" s="131"/>
      <c r="JV113" s="131"/>
      <c r="JW113" s="131"/>
      <c r="JX113" s="131"/>
      <c r="JY113" s="131"/>
      <c r="JZ113" s="131"/>
      <c r="KA113" s="131"/>
      <c r="KB113" s="131"/>
      <c r="KC113" s="131"/>
      <c r="KD113" s="131"/>
      <c r="KE113" s="131"/>
      <c r="KF113" s="131"/>
      <c r="KG113" s="131"/>
      <c r="KH113" s="131"/>
      <c r="KI113" s="131"/>
      <c r="KJ113" s="131"/>
      <c r="KK113" s="131"/>
      <c r="KL113" s="131"/>
      <c r="KM113" s="131"/>
      <c r="KN113" s="131"/>
      <c r="KO113" s="131"/>
      <c r="KP113" s="131"/>
      <c r="KQ113" s="131"/>
      <c r="KR113" s="131"/>
      <c r="KS113" s="131"/>
      <c r="KT113" s="131"/>
      <c r="KU113" s="131"/>
      <c r="KV113" s="131"/>
      <c r="KW113" s="131"/>
      <c r="KX113" s="131"/>
      <c r="KY113" s="131"/>
      <c r="KZ113" s="131"/>
      <c r="LA113" s="131"/>
      <c r="LB113" s="131"/>
      <c r="LC113" s="131"/>
      <c r="LD113" s="131"/>
      <c r="LE113" s="131"/>
      <c r="LF113" s="131"/>
      <c r="LG113" s="131"/>
      <c r="LH113" s="131"/>
      <c r="LI113" s="131"/>
      <c r="LJ113" s="131"/>
      <c r="LK113" s="131"/>
      <c r="LL113" s="131"/>
      <c r="LM113" s="131"/>
      <c r="LN113" s="131"/>
      <c r="LO113" s="131"/>
      <c r="LP113" s="131"/>
      <c r="LQ113" s="131"/>
      <c r="LR113" s="131"/>
      <c r="LS113" s="131"/>
      <c r="LT113" s="131"/>
      <c r="LU113" s="131"/>
      <c r="LV113" s="131"/>
      <c r="LW113" s="131"/>
      <c r="LX113" s="131"/>
      <c r="LY113" s="131"/>
      <c r="LZ113" s="131"/>
      <c r="MA113" s="131"/>
      <c r="MB113" s="131"/>
      <c r="MC113" s="131"/>
      <c r="MD113" s="131"/>
      <c r="ME113" s="131"/>
      <c r="MF113" s="131"/>
      <c r="MG113" s="131"/>
      <c r="MH113" s="131"/>
      <c r="MI113" s="131"/>
      <c r="MJ113" s="131"/>
      <c r="MK113" s="131"/>
      <c r="ML113" s="131"/>
      <c r="MM113" s="131"/>
      <c r="MN113" s="131"/>
      <c r="MO113" s="131"/>
      <c r="MP113" s="131"/>
      <c r="MQ113" s="131"/>
      <c r="MR113" s="131"/>
      <c r="MS113" s="131"/>
      <c r="MT113" s="131"/>
      <c r="MU113" s="131"/>
      <c r="MV113" s="131"/>
      <c r="MW113" s="131"/>
      <c r="MX113" s="131"/>
      <c r="MY113" s="131"/>
      <c r="MZ113" s="131"/>
      <c r="NA113" s="131"/>
      <c r="NB113" s="131"/>
      <c r="NC113" s="131"/>
      <c r="ND113" s="131"/>
      <c r="NE113" s="131"/>
      <c r="NF113" s="131"/>
      <c r="NG113" s="131"/>
      <c r="NH113" s="131"/>
      <c r="NI113" s="131"/>
      <c r="NJ113" s="131"/>
      <c r="NK113" s="131"/>
      <c r="NL113" s="131"/>
      <c r="NM113" s="131"/>
      <c r="NN113" s="131"/>
      <c r="NO113" s="131"/>
      <c r="NP113" s="131"/>
      <c r="NQ113" s="131"/>
      <c r="NR113" s="131"/>
      <c r="NS113" s="131"/>
      <c r="NT113" s="131"/>
      <c r="NU113" s="131"/>
      <c r="NV113" s="131"/>
      <c r="NW113" s="24">
        <f t="shared" si="17"/>
        <v>0</v>
      </c>
      <c r="NX113" s="56" t="s">
        <v>36</v>
      </c>
      <c r="NY113" s="127">
        <v>39</v>
      </c>
      <c r="NZ113" s="78">
        <f t="shared" si="14"/>
        <v>0</v>
      </c>
      <c r="OA113" s="78">
        <v>25.07</v>
      </c>
      <c r="OB113" s="127">
        <f t="shared" si="12"/>
        <v>39</v>
      </c>
      <c r="OC113" s="153"/>
      <c r="OD113" s="108">
        <f t="shared" si="15"/>
        <v>1.5556441962504985</v>
      </c>
      <c r="OE113" s="160" t="s">
        <v>555</v>
      </c>
    </row>
    <row r="114" spans="1:395" s="5" customFormat="1" ht="12.75" customHeight="1" x14ac:dyDescent="0.25">
      <c r="A114" s="62">
        <v>44558</v>
      </c>
      <c r="B114" s="106" t="s">
        <v>377</v>
      </c>
      <c r="C114" s="129"/>
      <c r="D114" s="129"/>
      <c r="E114" s="130"/>
      <c r="F114" s="130"/>
      <c r="G114" s="130"/>
      <c r="H114" s="130"/>
      <c r="I114" s="130"/>
      <c r="J114" s="130"/>
      <c r="K114" s="130"/>
      <c r="L114" s="130"/>
      <c r="M114" s="131"/>
      <c r="N114" s="131"/>
      <c r="O114" s="131"/>
      <c r="P114" s="131"/>
      <c r="Q114" s="131"/>
      <c r="R114" s="131"/>
      <c r="S114" s="131"/>
      <c r="T114" s="131"/>
      <c r="U114" s="131"/>
      <c r="V114" s="131"/>
      <c r="W114" s="131"/>
      <c r="X114" s="131"/>
      <c r="Y114" s="131"/>
      <c r="Z114" s="131"/>
      <c r="AA114" s="131"/>
      <c r="AB114" s="131"/>
      <c r="AC114" s="131"/>
      <c r="AD114" s="131"/>
      <c r="AE114" s="131"/>
      <c r="AF114" s="131"/>
      <c r="AG114" s="131"/>
      <c r="AH114" s="131"/>
      <c r="AI114" s="131"/>
      <c r="AJ114" s="131"/>
      <c r="AK114" s="131"/>
      <c r="AL114" s="131"/>
      <c r="AM114" s="131"/>
      <c r="AN114" s="131"/>
      <c r="AO114" s="131"/>
      <c r="AP114" s="131"/>
      <c r="AQ114" s="131"/>
      <c r="AR114" s="131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1"/>
      <c r="BC114" s="131"/>
      <c r="BD114" s="131"/>
      <c r="BE114" s="131"/>
      <c r="BF114" s="131"/>
      <c r="BG114" s="131"/>
      <c r="BH114" s="131"/>
      <c r="BI114" s="131"/>
      <c r="BJ114" s="131"/>
      <c r="BK114" s="131"/>
      <c r="BL114" s="131"/>
      <c r="BM114" s="131"/>
      <c r="BN114" s="131"/>
      <c r="BO114" s="131"/>
      <c r="BP114" s="131"/>
      <c r="BQ114" s="131"/>
      <c r="BR114" s="131"/>
      <c r="BS114" s="131"/>
      <c r="BT114" s="131"/>
      <c r="BU114" s="131"/>
      <c r="BV114" s="131"/>
      <c r="BW114" s="131"/>
      <c r="BX114" s="131"/>
      <c r="BY114" s="131"/>
      <c r="BZ114" s="131"/>
      <c r="CA114" s="131"/>
      <c r="CB114" s="131"/>
      <c r="CC114" s="131"/>
      <c r="CD114" s="131"/>
      <c r="CE114" s="131"/>
      <c r="CF114" s="131"/>
      <c r="CG114" s="131"/>
      <c r="CH114" s="131"/>
      <c r="CI114" s="131"/>
      <c r="CJ114" s="131"/>
      <c r="CK114" s="131"/>
      <c r="CL114" s="131"/>
      <c r="CM114" s="131"/>
      <c r="CN114" s="131"/>
      <c r="CO114" s="131"/>
      <c r="CP114" s="131"/>
      <c r="CQ114" s="131"/>
      <c r="CR114" s="131"/>
      <c r="CS114" s="131"/>
      <c r="CT114" s="131"/>
      <c r="CU114" s="131"/>
      <c r="CV114" s="131"/>
      <c r="CW114" s="131"/>
      <c r="CX114" s="131"/>
      <c r="CY114" s="131"/>
      <c r="CZ114" s="131"/>
      <c r="DA114" s="131"/>
      <c r="DB114" s="131"/>
      <c r="DC114" s="131"/>
      <c r="DD114" s="131"/>
      <c r="DE114" s="131"/>
      <c r="DF114" s="131"/>
      <c r="DG114" s="131"/>
      <c r="DH114" s="131"/>
      <c r="DI114" s="131"/>
      <c r="DJ114" s="131"/>
      <c r="DK114" s="131"/>
      <c r="DL114" s="131"/>
      <c r="DM114" s="131"/>
      <c r="DN114" s="131"/>
      <c r="DO114" s="131"/>
      <c r="DP114" s="131"/>
      <c r="DQ114" s="131"/>
      <c r="DR114" s="131"/>
      <c r="DS114" s="131"/>
      <c r="DT114" s="131"/>
      <c r="DU114" s="131"/>
      <c r="DV114" s="131"/>
      <c r="DW114" s="131"/>
      <c r="DX114" s="131"/>
      <c r="DY114" s="131"/>
      <c r="DZ114" s="131"/>
      <c r="EA114" s="131"/>
      <c r="EB114" s="131"/>
      <c r="EC114" s="131"/>
      <c r="ED114" s="131"/>
      <c r="EE114" s="131"/>
      <c r="EF114" s="131"/>
      <c r="EG114" s="131"/>
      <c r="EH114" s="131"/>
      <c r="EI114" s="131"/>
      <c r="EJ114" s="131"/>
      <c r="EK114" s="131"/>
      <c r="EL114" s="131"/>
      <c r="EM114" s="131"/>
      <c r="EN114" s="131"/>
      <c r="EO114" s="131"/>
      <c r="EP114" s="131"/>
      <c r="EQ114" s="131"/>
      <c r="ER114" s="131"/>
      <c r="ES114" s="131"/>
      <c r="ET114" s="131"/>
      <c r="EU114" s="131"/>
      <c r="EV114" s="131"/>
      <c r="EW114" s="131"/>
      <c r="EX114" s="131"/>
      <c r="EY114" s="131"/>
      <c r="EZ114" s="131"/>
      <c r="FA114" s="131"/>
      <c r="FB114" s="131"/>
      <c r="FC114" s="131"/>
      <c r="FD114" s="131"/>
      <c r="FE114" s="131"/>
      <c r="FF114" s="131"/>
      <c r="FG114" s="131"/>
      <c r="FH114" s="131"/>
      <c r="FI114" s="131"/>
      <c r="FJ114" s="131"/>
      <c r="FK114" s="131"/>
      <c r="FL114" s="131"/>
      <c r="FM114" s="131"/>
      <c r="FN114" s="131"/>
      <c r="FO114" s="131"/>
      <c r="FP114" s="131"/>
      <c r="FQ114" s="131"/>
      <c r="FR114" s="131"/>
      <c r="FS114" s="131"/>
      <c r="FT114" s="131"/>
      <c r="FU114" s="131"/>
      <c r="FV114" s="131"/>
      <c r="FW114" s="131"/>
      <c r="FX114" s="131"/>
      <c r="FY114" s="131"/>
      <c r="FZ114" s="131"/>
      <c r="GA114" s="131"/>
      <c r="GB114" s="131"/>
      <c r="GC114" s="131"/>
      <c r="GD114" s="131"/>
      <c r="GE114" s="131"/>
      <c r="GF114" s="131"/>
      <c r="GG114" s="131"/>
      <c r="GH114" s="131"/>
      <c r="GI114" s="131"/>
      <c r="GJ114" s="131"/>
      <c r="GK114" s="131"/>
      <c r="GL114" s="131"/>
      <c r="GM114" s="131"/>
      <c r="GN114" s="131"/>
      <c r="GO114" s="131"/>
      <c r="GP114" s="131"/>
      <c r="GQ114" s="131"/>
      <c r="GR114" s="131"/>
      <c r="GS114" s="131"/>
      <c r="GT114" s="131"/>
      <c r="GU114" s="131"/>
      <c r="GV114" s="131"/>
      <c r="GW114" s="131"/>
      <c r="GX114" s="131"/>
      <c r="GY114" s="131"/>
      <c r="GZ114" s="131"/>
      <c r="HA114" s="131"/>
      <c r="HB114" s="131"/>
      <c r="HC114" s="131"/>
      <c r="HD114" s="131"/>
      <c r="HE114" s="131"/>
      <c r="HF114" s="131"/>
      <c r="HG114" s="131"/>
      <c r="HH114" s="131"/>
      <c r="HI114" s="131"/>
      <c r="HJ114" s="131"/>
      <c r="HK114" s="131"/>
      <c r="HL114" s="131"/>
      <c r="HM114" s="131"/>
      <c r="HN114" s="131"/>
      <c r="HO114" s="131"/>
      <c r="HP114" s="131"/>
      <c r="HQ114" s="131"/>
      <c r="HR114" s="131"/>
      <c r="HS114" s="131"/>
      <c r="HT114" s="131"/>
      <c r="HU114" s="131"/>
      <c r="HV114" s="131"/>
      <c r="HW114" s="131"/>
      <c r="HX114" s="131"/>
      <c r="HY114" s="131"/>
      <c r="HZ114" s="131"/>
      <c r="IA114" s="131"/>
      <c r="IB114" s="131"/>
      <c r="IC114" s="131"/>
      <c r="ID114" s="131"/>
      <c r="IE114" s="131"/>
      <c r="IF114" s="131"/>
      <c r="IG114" s="131"/>
      <c r="IH114" s="131"/>
      <c r="II114" s="131"/>
      <c r="IJ114" s="131"/>
      <c r="IK114" s="131"/>
      <c r="IL114" s="131"/>
      <c r="IM114" s="131"/>
      <c r="IN114" s="131"/>
      <c r="IO114" s="131"/>
      <c r="IP114" s="131"/>
      <c r="IQ114" s="131"/>
      <c r="IR114" s="131"/>
      <c r="IS114" s="131"/>
      <c r="IT114" s="131"/>
      <c r="IU114" s="131"/>
      <c r="IV114" s="131"/>
      <c r="IW114" s="131"/>
      <c r="IX114" s="131"/>
      <c r="IY114" s="131"/>
      <c r="IZ114" s="131"/>
      <c r="JA114" s="131"/>
      <c r="JB114" s="131"/>
      <c r="JC114" s="131"/>
      <c r="JD114" s="131"/>
      <c r="JE114" s="131"/>
      <c r="JF114" s="131"/>
      <c r="JG114" s="131"/>
      <c r="JH114" s="131"/>
      <c r="JI114" s="131"/>
      <c r="JJ114" s="131"/>
      <c r="JK114" s="131"/>
      <c r="JL114" s="131"/>
      <c r="JM114" s="131"/>
      <c r="JN114" s="131"/>
      <c r="JO114" s="131"/>
      <c r="JP114" s="131"/>
      <c r="JQ114" s="131"/>
      <c r="JR114" s="131"/>
      <c r="JS114" s="131"/>
      <c r="JT114" s="131"/>
      <c r="JU114" s="131"/>
      <c r="JV114" s="131"/>
      <c r="JW114" s="131"/>
      <c r="JX114" s="131"/>
      <c r="JY114" s="131"/>
      <c r="JZ114" s="131"/>
      <c r="KA114" s="131"/>
      <c r="KB114" s="131"/>
      <c r="KC114" s="131"/>
      <c r="KD114" s="131"/>
      <c r="KE114" s="131"/>
      <c r="KF114" s="131"/>
      <c r="KG114" s="131"/>
      <c r="KH114" s="131"/>
      <c r="KI114" s="131"/>
      <c r="KJ114" s="131"/>
      <c r="KK114" s="131"/>
      <c r="KL114" s="131"/>
      <c r="KM114" s="131"/>
      <c r="KN114" s="131"/>
      <c r="KO114" s="131"/>
      <c r="KP114" s="131"/>
      <c r="KQ114" s="131"/>
      <c r="KR114" s="131"/>
      <c r="KS114" s="131"/>
      <c r="KT114" s="131"/>
      <c r="KU114" s="131"/>
      <c r="KV114" s="131"/>
      <c r="KW114" s="131"/>
      <c r="KX114" s="131"/>
      <c r="KY114" s="131"/>
      <c r="KZ114" s="131"/>
      <c r="LA114" s="131"/>
      <c r="LB114" s="131"/>
      <c r="LC114" s="131"/>
      <c r="LD114" s="131"/>
      <c r="LE114" s="131"/>
      <c r="LF114" s="131"/>
      <c r="LG114" s="131"/>
      <c r="LH114" s="131"/>
      <c r="LI114" s="131"/>
      <c r="LJ114" s="131"/>
      <c r="LK114" s="131"/>
      <c r="LL114" s="131"/>
      <c r="LM114" s="131"/>
      <c r="LN114" s="131"/>
      <c r="LO114" s="131"/>
      <c r="LP114" s="131"/>
      <c r="LQ114" s="131"/>
      <c r="LR114" s="131"/>
      <c r="LS114" s="131"/>
      <c r="LT114" s="131"/>
      <c r="LU114" s="131"/>
      <c r="LV114" s="131"/>
      <c r="LW114" s="131"/>
      <c r="LX114" s="131"/>
      <c r="LY114" s="131"/>
      <c r="LZ114" s="131"/>
      <c r="MA114" s="131"/>
      <c r="MB114" s="131"/>
      <c r="MC114" s="131"/>
      <c r="MD114" s="131"/>
      <c r="ME114" s="131"/>
      <c r="MF114" s="131"/>
      <c r="MG114" s="131"/>
      <c r="MH114" s="131"/>
      <c r="MI114" s="131"/>
      <c r="MJ114" s="131"/>
      <c r="MK114" s="131"/>
      <c r="ML114" s="131"/>
      <c r="MM114" s="131"/>
      <c r="MN114" s="131"/>
      <c r="MO114" s="131"/>
      <c r="MP114" s="131"/>
      <c r="MQ114" s="131"/>
      <c r="MR114" s="131"/>
      <c r="MS114" s="131"/>
      <c r="MT114" s="131"/>
      <c r="MU114" s="131"/>
      <c r="MV114" s="131"/>
      <c r="MW114" s="131"/>
      <c r="MX114" s="131"/>
      <c r="MY114" s="131"/>
      <c r="MZ114" s="131"/>
      <c r="NA114" s="131"/>
      <c r="NB114" s="131"/>
      <c r="NC114" s="131"/>
      <c r="ND114" s="131"/>
      <c r="NE114" s="131"/>
      <c r="NF114" s="131"/>
      <c r="NG114" s="131"/>
      <c r="NH114" s="131"/>
      <c r="NI114" s="131"/>
      <c r="NJ114" s="131"/>
      <c r="NK114" s="131"/>
      <c r="NL114" s="131"/>
      <c r="NM114" s="131"/>
      <c r="NN114" s="131"/>
      <c r="NO114" s="131"/>
      <c r="NP114" s="131"/>
      <c r="NQ114" s="131"/>
      <c r="NR114" s="131"/>
      <c r="NS114" s="131"/>
      <c r="NT114" s="131"/>
      <c r="NU114" s="131"/>
      <c r="NV114" s="131"/>
      <c r="NW114" s="24">
        <f t="shared" si="17"/>
        <v>0</v>
      </c>
      <c r="NX114" s="56" t="s">
        <v>36</v>
      </c>
      <c r="NY114" s="127">
        <v>660</v>
      </c>
      <c r="NZ114" s="78">
        <f t="shared" si="14"/>
        <v>0</v>
      </c>
      <c r="OA114" s="78">
        <v>386</v>
      </c>
      <c r="OB114" s="127">
        <f t="shared" si="12"/>
        <v>660</v>
      </c>
      <c r="OC114" s="153"/>
      <c r="OD114" s="108">
        <f t="shared" si="15"/>
        <v>1.7098445595854923</v>
      </c>
      <c r="OE114" s="160" t="s">
        <v>555</v>
      </c>
    </row>
    <row r="115" spans="1:395" s="5" customFormat="1" ht="12.75" hidden="1" customHeight="1" x14ac:dyDescent="0.25">
      <c r="A115" s="62">
        <v>44559</v>
      </c>
      <c r="B115" s="116" t="s">
        <v>358</v>
      </c>
      <c r="C115" s="129"/>
      <c r="D115" s="129"/>
      <c r="E115" s="130"/>
      <c r="F115" s="130"/>
      <c r="G115" s="130"/>
      <c r="H115" s="130"/>
      <c r="I115" s="130"/>
      <c r="J115" s="130"/>
      <c r="K115" s="130"/>
      <c r="L115" s="130"/>
      <c r="M115" s="131"/>
      <c r="N115" s="131"/>
      <c r="O115" s="131"/>
      <c r="P115" s="131"/>
      <c r="Q115" s="131"/>
      <c r="R115" s="131"/>
      <c r="S115" s="131"/>
      <c r="T115" s="131"/>
      <c r="U115" s="131"/>
      <c r="V115" s="131"/>
      <c r="W115" s="131"/>
      <c r="X115" s="131"/>
      <c r="Y115" s="131"/>
      <c r="Z115" s="131"/>
      <c r="AA115" s="131"/>
      <c r="AB115" s="131"/>
      <c r="AC115" s="131"/>
      <c r="AD115" s="131"/>
      <c r="AE115" s="131"/>
      <c r="AF115" s="131"/>
      <c r="AG115" s="131"/>
      <c r="AH115" s="131"/>
      <c r="AI115" s="131"/>
      <c r="AJ115" s="131"/>
      <c r="AK115" s="131"/>
      <c r="AL115" s="131"/>
      <c r="AM115" s="131"/>
      <c r="AN115" s="131"/>
      <c r="AO115" s="131"/>
      <c r="AP115" s="131"/>
      <c r="AQ115" s="131"/>
      <c r="AR115" s="131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1"/>
      <c r="BD115" s="131"/>
      <c r="BE115" s="131"/>
      <c r="BF115" s="131"/>
      <c r="BG115" s="131"/>
      <c r="BH115" s="131"/>
      <c r="BI115" s="131"/>
      <c r="BJ115" s="131"/>
      <c r="BK115" s="131"/>
      <c r="BL115" s="131"/>
      <c r="BM115" s="131"/>
      <c r="BN115" s="131"/>
      <c r="BO115" s="131"/>
      <c r="BP115" s="131"/>
      <c r="BQ115" s="131"/>
      <c r="BR115" s="131"/>
      <c r="BS115" s="131"/>
      <c r="BT115" s="131"/>
      <c r="BU115" s="131"/>
      <c r="BV115" s="131"/>
      <c r="BW115" s="131"/>
      <c r="BX115" s="131"/>
      <c r="BY115" s="131"/>
      <c r="BZ115" s="131"/>
      <c r="CA115" s="131"/>
      <c r="CB115" s="131"/>
      <c r="CC115" s="131"/>
      <c r="CD115" s="131"/>
      <c r="CE115" s="131"/>
      <c r="CF115" s="131"/>
      <c r="CG115" s="131"/>
      <c r="CH115" s="131"/>
      <c r="CI115" s="131"/>
      <c r="CJ115" s="131"/>
      <c r="CK115" s="131"/>
      <c r="CL115" s="131"/>
      <c r="CM115" s="131"/>
      <c r="CN115" s="131"/>
      <c r="CO115" s="131"/>
      <c r="CP115" s="131"/>
      <c r="CQ115" s="131"/>
      <c r="CR115" s="131"/>
      <c r="CS115" s="131"/>
      <c r="CT115" s="131"/>
      <c r="CU115" s="131"/>
      <c r="CV115" s="131"/>
      <c r="CW115" s="131"/>
      <c r="CX115" s="131"/>
      <c r="CY115" s="131"/>
      <c r="CZ115" s="131"/>
      <c r="DA115" s="131"/>
      <c r="DB115" s="131"/>
      <c r="DC115" s="131"/>
      <c r="DD115" s="131"/>
      <c r="DE115" s="131"/>
      <c r="DF115" s="131"/>
      <c r="DG115" s="131"/>
      <c r="DH115" s="131"/>
      <c r="DI115" s="131"/>
      <c r="DJ115" s="131"/>
      <c r="DK115" s="131"/>
      <c r="DL115" s="131"/>
      <c r="DM115" s="131"/>
      <c r="DN115" s="131"/>
      <c r="DO115" s="131"/>
      <c r="DP115" s="131"/>
      <c r="DQ115" s="131"/>
      <c r="DR115" s="131"/>
      <c r="DS115" s="131"/>
      <c r="DT115" s="131"/>
      <c r="DU115" s="131"/>
      <c r="DV115" s="131"/>
      <c r="DW115" s="131"/>
      <c r="DX115" s="131"/>
      <c r="DY115" s="131"/>
      <c r="DZ115" s="131"/>
      <c r="EA115" s="131"/>
      <c r="EB115" s="131"/>
      <c r="EC115" s="131"/>
      <c r="ED115" s="131"/>
      <c r="EE115" s="131"/>
      <c r="EF115" s="131"/>
      <c r="EG115" s="131"/>
      <c r="EH115" s="131"/>
      <c r="EI115" s="131"/>
      <c r="EJ115" s="131"/>
      <c r="EK115" s="131"/>
      <c r="EL115" s="131"/>
      <c r="EM115" s="131"/>
      <c r="EN115" s="131"/>
      <c r="EO115" s="131"/>
      <c r="EP115" s="131"/>
      <c r="EQ115" s="131"/>
      <c r="ER115" s="131"/>
      <c r="ES115" s="131"/>
      <c r="ET115" s="131"/>
      <c r="EU115" s="131"/>
      <c r="EV115" s="131"/>
      <c r="EW115" s="131"/>
      <c r="EX115" s="131"/>
      <c r="EY115" s="131"/>
      <c r="EZ115" s="131"/>
      <c r="FA115" s="131"/>
      <c r="FB115" s="131"/>
      <c r="FC115" s="131"/>
      <c r="FD115" s="131"/>
      <c r="FE115" s="131"/>
      <c r="FF115" s="131"/>
      <c r="FG115" s="131"/>
      <c r="FH115" s="131"/>
      <c r="FI115" s="131"/>
      <c r="FJ115" s="131"/>
      <c r="FK115" s="131"/>
      <c r="FL115" s="131"/>
      <c r="FM115" s="131"/>
      <c r="FN115" s="131"/>
      <c r="FO115" s="131"/>
      <c r="FP115" s="131"/>
      <c r="FQ115" s="131"/>
      <c r="FR115" s="131"/>
      <c r="FS115" s="131"/>
      <c r="FT115" s="131"/>
      <c r="FU115" s="131"/>
      <c r="FV115" s="131"/>
      <c r="FW115" s="131"/>
      <c r="FX115" s="131"/>
      <c r="FY115" s="131"/>
      <c r="FZ115" s="131"/>
      <c r="GA115" s="131"/>
      <c r="GB115" s="131"/>
      <c r="GC115" s="131"/>
      <c r="GD115" s="131"/>
      <c r="GE115" s="131"/>
      <c r="GF115" s="131"/>
      <c r="GG115" s="131"/>
      <c r="GH115" s="131"/>
      <c r="GI115" s="131"/>
      <c r="GJ115" s="131"/>
      <c r="GK115" s="131"/>
      <c r="GL115" s="131"/>
      <c r="GM115" s="131"/>
      <c r="GN115" s="131"/>
      <c r="GO115" s="131"/>
      <c r="GP115" s="131"/>
      <c r="GQ115" s="131"/>
      <c r="GR115" s="131"/>
      <c r="GS115" s="131"/>
      <c r="GT115" s="131"/>
      <c r="GU115" s="131"/>
      <c r="GV115" s="131"/>
      <c r="GW115" s="131"/>
      <c r="GX115" s="131"/>
      <c r="GY115" s="131"/>
      <c r="GZ115" s="131"/>
      <c r="HA115" s="131"/>
      <c r="HB115" s="131"/>
      <c r="HC115" s="131"/>
      <c r="HD115" s="131"/>
      <c r="HE115" s="131"/>
      <c r="HF115" s="131"/>
      <c r="HG115" s="131"/>
      <c r="HH115" s="131"/>
      <c r="HI115" s="131"/>
      <c r="HJ115" s="131"/>
      <c r="HK115" s="131"/>
      <c r="HL115" s="131"/>
      <c r="HM115" s="131"/>
      <c r="HN115" s="131"/>
      <c r="HO115" s="131"/>
      <c r="HP115" s="131"/>
      <c r="HQ115" s="131"/>
      <c r="HR115" s="131"/>
      <c r="HS115" s="131"/>
      <c r="HT115" s="131"/>
      <c r="HU115" s="131"/>
      <c r="HV115" s="131"/>
      <c r="HW115" s="131"/>
      <c r="HX115" s="131"/>
      <c r="HY115" s="131"/>
      <c r="HZ115" s="131"/>
      <c r="IA115" s="131"/>
      <c r="IB115" s="131"/>
      <c r="IC115" s="131"/>
      <c r="ID115" s="131"/>
      <c r="IE115" s="131"/>
      <c r="IF115" s="131"/>
      <c r="IG115" s="131"/>
      <c r="IH115" s="131"/>
      <c r="II115" s="131"/>
      <c r="IJ115" s="131"/>
      <c r="IK115" s="131"/>
      <c r="IL115" s="131"/>
      <c r="IM115" s="131"/>
      <c r="IN115" s="131"/>
      <c r="IO115" s="131"/>
      <c r="IP115" s="131"/>
      <c r="IQ115" s="131"/>
      <c r="IR115" s="131"/>
      <c r="IS115" s="131"/>
      <c r="IT115" s="131"/>
      <c r="IU115" s="131"/>
      <c r="IV115" s="131"/>
      <c r="IW115" s="131"/>
      <c r="IX115" s="131"/>
      <c r="IY115" s="131"/>
      <c r="IZ115" s="131"/>
      <c r="JA115" s="131"/>
      <c r="JB115" s="131"/>
      <c r="JC115" s="131"/>
      <c r="JD115" s="131"/>
      <c r="JE115" s="131"/>
      <c r="JF115" s="131"/>
      <c r="JG115" s="131"/>
      <c r="JH115" s="131"/>
      <c r="JI115" s="131"/>
      <c r="JJ115" s="131"/>
      <c r="JK115" s="131"/>
      <c r="JL115" s="131"/>
      <c r="JM115" s="131"/>
      <c r="JN115" s="131"/>
      <c r="JO115" s="131"/>
      <c r="JP115" s="131"/>
      <c r="JQ115" s="131"/>
      <c r="JR115" s="131"/>
      <c r="JS115" s="131"/>
      <c r="JT115" s="131"/>
      <c r="JU115" s="131"/>
      <c r="JV115" s="131"/>
      <c r="JW115" s="131"/>
      <c r="JX115" s="131"/>
      <c r="JY115" s="131"/>
      <c r="JZ115" s="131"/>
      <c r="KA115" s="131"/>
      <c r="KB115" s="131"/>
      <c r="KC115" s="131"/>
      <c r="KD115" s="131"/>
      <c r="KE115" s="131"/>
      <c r="KF115" s="131"/>
      <c r="KG115" s="131"/>
      <c r="KH115" s="131"/>
      <c r="KI115" s="131"/>
      <c r="KJ115" s="131"/>
      <c r="KK115" s="131"/>
      <c r="KL115" s="131"/>
      <c r="KM115" s="131"/>
      <c r="KN115" s="131"/>
      <c r="KO115" s="131"/>
      <c r="KP115" s="131"/>
      <c r="KQ115" s="131"/>
      <c r="KR115" s="131"/>
      <c r="KS115" s="131"/>
      <c r="KT115" s="131"/>
      <c r="KU115" s="131"/>
      <c r="KV115" s="131"/>
      <c r="KW115" s="131"/>
      <c r="KX115" s="131"/>
      <c r="KY115" s="131"/>
      <c r="KZ115" s="131"/>
      <c r="LA115" s="131"/>
      <c r="LB115" s="131"/>
      <c r="LC115" s="131"/>
      <c r="LD115" s="131"/>
      <c r="LE115" s="131"/>
      <c r="LF115" s="131"/>
      <c r="LG115" s="131"/>
      <c r="LH115" s="131"/>
      <c r="LI115" s="131"/>
      <c r="LJ115" s="131"/>
      <c r="LK115" s="131"/>
      <c r="LL115" s="131"/>
      <c r="LM115" s="131"/>
      <c r="LN115" s="131"/>
      <c r="LO115" s="131"/>
      <c r="LP115" s="131"/>
      <c r="LQ115" s="131"/>
      <c r="LR115" s="131"/>
      <c r="LS115" s="131"/>
      <c r="LT115" s="131"/>
      <c r="LU115" s="131"/>
      <c r="LV115" s="131"/>
      <c r="LW115" s="131"/>
      <c r="LX115" s="131"/>
      <c r="LY115" s="131"/>
      <c r="LZ115" s="131"/>
      <c r="MA115" s="131"/>
      <c r="MB115" s="131"/>
      <c r="MC115" s="131"/>
      <c r="MD115" s="131"/>
      <c r="ME115" s="131"/>
      <c r="MF115" s="131"/>
      <c r="MG115" s="131"/>
      <c r="MH115" s="131"/>
      <c r="MI115" s="131"/>
      <c r="MJ115" s="131"/>
      <c r="MK115" s="131"/>
      <c r="ML115" s="131"/>
      <c r="MM115" s="131"/>
      <c r="MN115" s="131"/>
      <c r="MO115" s="131"/>
      <c r="MP115" s="131"/>
      <c r="MQ115" s="131"/>
      <c r="MR115" s="131"/>
      <c r="MS115" s="131"/>
      <c r="MT115" s="131"/>
      <c r="MU115" s="131"/>
      <c r="MV115" s="131"/>
      <c r="MW115" s="131"/>
      <c r="MX115" s="131"/>
      <c r="MY115" s="131"/>
      <c r="MZ115" s="131"/>
      <c r="NA115" s="131"/>
      <c r="NB115" s="131"/>
      <c r="NC115" s="131"/>
      <c r="ND115" s="131"/>
      <c r="NE115" s="131"/>
      <c r="NF115" s="131"/>
      <c r="NG115" s="131"/>
      <c r="NH115" s="131"/>
      <c r="NI115" s="131"/>
      <c r="NJ115" s="131"/>
      <c r="NK115" s="131"/>
      <c r="NL115" s="131"/>
      <c r="NM115" s="131"/>
      <c r="NN115" s="131"/>
      <c r="NO115" s="131"/>
      <c r="NP115" s="131"/>
      <c r="NQ115" s="131"/>
      <c r="NR115" s="131"/>
      <c r="NS115" s="131"/>
      <c r="NT115" s="131"/>
      <c r="NU115" s="131"/>
      <c r="NV115" s="131"/>
      <c r="NW115" s="24">
        <f t="shared" si="17"/>
        <v>0</v>
      </c>
      <c r="NX115" s="56" t="s">
        <v>36</v>
      </c>
      <c r="NY115" s="127">
        <v>31.44</v>
      </c>
      <c r="NZ115" s="78">
        <f t="shared" si="14"/>
        <v>31.44</v>
      </c>
      <c r="OA115" s="78">
        <v>23.43</v>
      </c>
      <c r="OB115" s="127">
        <f t="shared" si="12"/>
        <v>0</v>
      </c>
      <c r="OC115" s="153">
        <v>31.44</v>
      </c>
      <c r="OD115" s="108">
        <f t="shared" si="15"/>
        <v>1.3418693982074263</v>
      </c>
      <c r="OE115" s="160" t="s">
        <v>559</v>
      </c>
    </row>
    <row r="116" spans="1:395" s="5" customFormat="1" ht="12.75" customHeight="1" x14ac:dyDescent="0.25">
      <c r="A116" s="62">
        <v>44559</v>
      </c>
      <c r="B116" s="116" t="s">
        <v>434</v>
      </c>
      <c r="C116" s="129"/>
      <c r="D116" s="129"/>
      <c r="E116" s="130"/>
      <c r="F116" s="130"/>
      <c r="G116" s="130"/>
      <c r="H116" s="130"/>
      <c r="I116" s="130"/>
      <c r="J116" s="130"/>
      <c r="K116" s="130"/>
      <c r="L116" s="130"/>
      <c r="M116" s="131"/>
      <c r="N116" s="131"/>
      <c r="O116" s="131"/>
      <c r="P116" s="131"/>
      <c r="Q116" s="131"/>
      <c r="R116" s="131"/>
      <c r="S116" s="131"/>
      <c r="T116" s="131"/>
      <c r="U116" s="131"/>
      <c r="V116" s="131"/>
      <c r="W116" s="131"/>
      <c r="X116" s="131"/>
      <c r="Y116" s="131"/>
      <c r="Z116" s="131"/>
      <c r="AA116" s="131"/>
      <c r="AB116" s="131"/>
      <c r="AC116" s="131"/>
      <c r="AD116" s="131"/>
      <c r="AE116" s="131"/>
      <c r="AF116" s="131"/>
      <c r="AG116" s="131"/>
      <c r="AH116" s="131"/>
      <c r="AI116" s="131"/>
      <c r="AJ116" s="131"/>
      <c r="AK116" s="131"/>
      <c r="AL116" s="131"/>
      <c r="AM116" s="131"/>
      <c r="AN116" s="131"/>
      <c r="AO116" s="131"/>
      <c r="AP116" s="131"/>
      <c r="AQ116" s="131"/>
      <c r="AR116" s="131"/>
      <c r="AS116" s="131"/>
      <c r="AT116" s="131"/>
      <c r="AU116" s="131"/>
      <c r="AV116" s="131"/>
      <c r="AW116" s="131"/>
      <c r="AX116" s="131"/>
      <c r="AY116" s="131"/>
      <c r="AZ116" s="131"/>
      <c r="BA116" s="131"/>
      <c r="BB116" s="131"/>
      <c r="BC116" s="131"/>
      <c r="BD116" s="131"/>
      <c r="BE116" s="131"/>
      <c r="BF116" s="131"/>
      <c r="BG116" s="131"/>
      <c r="BH116" s="131"/>
      <c r="BI116" s="131"/>
      <c r="BJ116" s="131"/>
      <c r="BK116" s="131"/>
      <c r="BL116" s="131"/>
      <c r="BM116" s="131"/>
      <c r="BN116" s="131"/>
      <c r="BO116" s="131"/>
      <c r="BP116" s="131"/>
      <c r="BQ116" s="131"/>
      <c r="BR116" s="131"/>
      <c r="BS116" s="131"/>
      <c r="BT116" s="131"/>
      <c r="BU116" s="131"/>
      <c r="BV116" s="131"/>
      <c r="BW116" s="131"/>
      <c r="BX116" s="131"/>
      <c r="BY116" s="131"/>
      <c r="BZ116" s="131"/>
      <c r="CA116" s="131"/>
      <c r="CB116" s="131"/>
      <c r="CC116" s="131"/>
      <c r="CD116" s="131"/>
      <c r="CE116" s="131"/>
      <c r="CF116" s="131"/>
      <c r="CG116" s="131"/>
      <c r="CH116" s="131"/>
      <c r="CI116" s="131"/>
      <c r="CJ116" s="131"/>
      <c r="CK116" s="131"/>
      <c r="CL116" s="131"/>
      <c r="CM116" s="131"/>
      <c r="CN116" s="131"/>
      <c r="CO116" s="131"/>
      <c r="CP116" s="131"/>
      <c r="CQ116" s="131"/>
      <c r="CR116" s="131"/>
      <c r="CS116" s="131"/>
      <c r="CT116" s="131"/>
      <c r="CU116" s="131"/>
      <c r="CV116" s="131"/>
      <c r="CW116" s="131"/>
      <c r="CX116" s="131"/>
      <c r="CY116" s="131"/>
      <c r="CZ116" s="131"/>
      <c r="DA116" s="131"/>
      <c r="DB116" s="131"/>
      <c r="DC116" s="131"/>
      <c r="DD116" s="131"/>
      <c r="DE116" s="131"/>
      <c r="DF116" s="131"/>
      <c r="DG116" s="131"/>
      <c r="DH116" s="131"/>
      <c r="DI116" s="131"/>
      <c r="DJ116" s="131"/>
      <c r="DK116" s="131"/>
      <c r="DL116" s="131"/>
      <c r="DM116" s="131"/>
      <c r="DN116" s="131"/>
      <c r="DO116" s="131"/>
      <c r="DP116" s="131"/>
      <c r="DQ116" s="131"/>
      <c r="DR116" s="131"/>
      <c r="DS116" s="131"/>
      <c r="DT116" s="131"/>
      <c r="DU116" s="131"/>
      <c r="DV116" s="131"/>
      <c r="DW116" s="131"/>
      <c r="DX116" s="131"/>
      <c r="DY116" s="131"/>
      <c r="DZ116" s="131"/>
      <c r="EA116" s="131"/>
      <c r="EB116" s="131"/>
      <c r="EC116" s="131"/>
      <c r="ED116" s="131"/>
      <c r="EE116" s="131"/>
      <c r="EF116" s="131"/>
      <c r="EG116" s="131"/>
      <c r="EH116" s="131"/>
      <c r="EI116" s="131"/>
      <c r="EJ116" s="131"/>
      <c r="EK116" s="131"/>
      <c r="EL116" s="131"/>
      <c r="EM116" s="131"/>
      <c r="EN116" s="131"/>
      <c r="EO116" s="131"/>
      <c r="EP116" s="131"/>
      <c r="EQ116" s="131"/>
      <c r="ER116" s="131"/>
      <c r="ES116" s="131"/>
      <c r="ET116" s="131"/>
      <c r="EU116" s="131"/>
      <c r="EV116" s="131"/>
      <c r="EW116" s="131"/>
      <c r="EX116" s="131"/>
      <c r="EY116" s="131"/>
      <c r="EZ116" s="131"/>
      <c r="FA116" s="131"/>
      <c r="FB116" s="131"/>
      <c r="FC116" s="131"/>
      <c r="FD116" s="131"/>
      <c r="FE116" s="131"/>
      <c r="FF116" s="131"/>
      <c r="FG116" s="131"/>
      <c r="FH116" s="131"/>
      <c r="FI116" s="131"/>
      <c r="FJ116" s="131"/>
      <c r="FK116" s="131"/>
      <c r="FL116" s="131"/>
      <c r="FM116" s="131"/>
      <c r="FN116" s="131"/>
      <c r="FO116" s="131"/>
      <c r="FP116" s="131"/>
      <c r="FQ116" s="131"/>
      <c r="FR116" s="131"/>
      <c r="FS116" s="131"/>
      <c r="FT116" s="131"/>
      <c r="FU116" s="131"/>
      <c r="FV116" s="131"/>
      <c r="FW116" s="131"/>
      <c r="FX116" s="131"/>
      <c r="FY116" s="131"/>
      <c r="FZ116" s="131"/>
      <c r="GA116" s="131"/>
      <c r="GB116" s="131"/>
      <c r="GC116" s="131"/>
      <c r="GD116" s="131"/>
      <c r="GE116" s="131"/>
      <c r="GF116" s="131"/>
      <c r="GG116" s="131"/>
      <c r="GH116" s="131"/>
      <c r="GI116" s="131"/>
      <c r="GJ116" s="131"/>
      <c r="GK116" s="131"/>
      <c r="GL116" s="131"/>
      <c r="GM116" s="131"/>
      <c r="GN116" s="131"/>
      <c r="GO116" s="131"/>
      <c r="GP116" s="131"/>
      <c r="GQ116" s="131"/>
      <c r="GR116" s="131"/>
      <c r="GS116" s="131"/>
      <c r="GT116" s="131"/>
      <c r="GU116" s="131"/>
      <c r="GV116" s="131"/>
      <c r="GW116" s="131"/>
      <c r="GX116" s="131"/>
      <c r="GY116" s="131"/>
      <c r="GZ116" s="131"/>
      <c r="HA116" s="131"/>
      <c r="HB116" s="131"/>
      <c r="HC116" s="131"/>
      <c r="HD116" s="131"/>
      <c r="HE116" s="131"/>
      <c r="HF116" s="131"/>
      <c r="HG116" s="131"/>
      <c r="HH116" s="131"/>
      <c r="HI116" s="131"/>
      <c r="HJ116" s="131"/>
      <c r="HK116" s="131"/>
      <c r="HL116" s="131"/>
      <c r="HM116" s="131"/>
      <c r="HN116" s="131"/>
      <c r="HO116" s="131"/>
      <c r="HP116" s="131"/>
      <c r="HQ116" s="131"/>
      <c r="HR116" s="131"/>
      <c r="HS116" s="131"/>
      <c r="HT116" s="131"/>
      <c r="HU116" s="131"/>
      <c r="HV116" s="131"/>
      <c r="HW116" s="131"/>
      <c r="HX116" s="131"/>
      <c r="HY116" s="131"/>
      <c r="HZ116" s="131"/>
      <c r="IA116" s="131"/>
      <c r="IB116" s="131"/>
      <c r="IC116" s="131"/>
      <c r="ID116" s="131"/>
      <c r="IE116" s="131"/>
      <c r="IF116" s="131"/>
      <c r="IG116" s="131"/>
      <c r="IH116" s="131"/>
      <c r="II116" s="131"/>
      <c r="IJ116" s="131"/>
      <c r="IK116" s="131"/>
      <c r="IL116" s="131"/>
      <c r="IM116" s="131"/>
      <c r="IN116" s="131"/>
      <c r="IO116" s="131"/>
      <c r="IP116" s="131"/>
      <c r="IQ116" s="131"/>
      <c r="IR116" s="131"/>
      <c r="IS116" s="131"/>
      <c r="IT116" s="131"/>
      <c r="IU116" s="131"/>
      <c r="IV116" s="131"/>
      <c r="IW116" s="131"/>
      <c r="IX116" s="131"/>
      <c r="IY116" s="131"/>
      <c r="IZ116" s="131"/>
      <c r="JA116" s="131"/>
      <c r="JB116" s="131"/>
      <c r="JC116" s="131"/>
      <c r="JD116" s="131"/>
      <c r="JE116" s="131"/>
      <c r="JF116" s="131"/>
      <c r="JG116" s="131"/>
      <c r="JH116" s="131"/>
      <c r="JI116" s="131"/>
      <c r="JJ116" s="131"/>
      <c r="JK116" s="131"/>
      <c r="JL116" s="131"/>
      <c r="JM116" s="131"/>
      <c r="JN116" s="131"/>
      <c r="JO116" s="131"/>
      <c r="JP116" s="131"/>
      <c r="JQ116" s="131"/>
      <c r="JR116" s="131"/>
      <c r="JS116" s="131"/>
      <c r="JT116" s="131"/>
      <c r="JU116" s="131"/>
      <c r="JV116" s="131"/>
      <c r="JW116" s="131"/>
      <c r="JX116" s="131"/>
      <c r="JY116" s="131"/>
      <c r="JZ116" s="131"/>
      <c r="KA116" s="131"/>
      <c r="KB116" s="131"/>
      <c r="KC116" s="131"/>
      <c r="KD116" s="131"/>
      <c r="KE116" s="131"/>
      <c r="KF116" s="131"/>
      <c r="KG116" s="131"/>
      <c r="KH116" s="131"/>
      <c r="KI116" s="131"/>
      <c r="KJ116" s="131"/>
      <c r="KK116" s="131"/>
      <c r="KL116" s="131"/>
      <c r="KM116" s="131"/>
      <c r="KN116" s="131"/>
      <c r="KO116" s="131"/>
      <c r="KP116" s="131"/>
      <c r="KQ116" s="131"/>
      <c r="KR116" s="131"/>
      <c r="KS116" s="131"/>
      <c r="KT116" s="131"/>
      <c r="KU116" s="131"/>
      <c r="KV116" s="131"/>
      <c r="KW116" s="131"/>
      <c r="KX116" s="131"/>
      <c r="KY116" s="131"/>
      <c r="KZ116" s="131"/>
      <c r="LA116" s="131"/>
      <c r="LB116" s="131"/>
      <c r="LC116" s="131"/>
      <c r="LD116" s="131"/>
      <c r="LE116" s="131"/>
      <c r="LF116" s="131"/>
      <c r="LG116" s="131"/>
      <c r="LH116" s="131"/>
      <c r="LI116" s="131"/>
      <c r="LJ116" s="131"/>
      <c r="LK116" s="131"/>
      <c r="LL116" s="131"/>
      <c r="LM116" s="131"/>
      <c r="LN116" s="131"/>
      <c r="LO116" s="131"/>
      <c r="LP116" s="131"/>
      <c r="LQ116" s="131"/>
      <c r="LR116" s="131"/>
      <c r="LS116" s="131"/>
      <c r="LT116" s="131"/>
      <c r="LU116" s="131"/>
      <c r="LV116" s="131"/>
      <c r="LW116" s="131"/>
      <c r="LX116" s="131"/>
      <c r="LY116" s="131"/>
      <c r="LZ116" s="131"/>
      <c r="MA116" s="131"/>
      <c r="MB116" s="131"/>
      <c r="MC116" s="131"/>
      <c r="MD116" s="131"/>
      <c r="ME116" s="131"/>
      <c r="MF116" s="131"/>
      <c r="MG116" s="131"/>
      <c r="MH116" s="131"/>
      <c r="MI116" s="131"/>
      <c r="MJ116" s="131"/>
      <c r="MK116" s="131"/>
      <c r="ML116" s="131"/>
      <c r="MM116" s="131"/>
      <c r="MN116" s="131"/>
      <c r="MO116" s="131"/>
      <c r="MP116" s="131"/>
      <c r="MQ116" s="131"/>
      <c r="MR116" s="131"/>
      <c r="MS116" s="131"/>
      <c r="MT116" s="131"/>
      <c r="MU116" s="131"/>
      <c r="MV116" s="131"/>
      <c r="MW116" s="131"/>
      <c r="MX116" s="131"/>
      <c r="MY116" s="131"/>
      <c r="MZ116" s="131"/>
      <c r="NA116" s="131"/>
      <c r="NB116" s="131"/>
      <c r="NC116" s="131"/>
      <c r="ND116" s="131"/>
      <c r="NE116" s="131"/>
      <c r="NF116" s="131"/>
      <c r="NG116" s="131"/>
      <c r="NH116" s="131"/>
      <c r="NI116" s="131"/>
      <c r="NJ116" s="131"/>
      <c r="NK116" s="131"/>
      <c r="NL116" s="131"/>
      <c r="NM116" s="131"/>
      <c r="NN116" s="131"/>
      <c r="NO116" s="131"/>
      <c r="NP116" s="131"/>
      <c r="NQ116" s="131"/>
      <c r="NR116" s="131"/>
      <c r="NS116" s="131"/>
      <c r="NT116" s="131"/>
      <c r="NU116" s="131"/>
      <c r="NV116" s="131"/>
      <c r="NW116" s="24">
        <f t="shared" si="17"/>
        <v>0</v>
      </c>
      <c r="NX116" s="56" t="s">
        <v>72</v>
      </c>
      <c r="NY116" s="127">
        <v>101.24</v>
      </c>
      <c r="NZ116" s="78">
        <f t="shared" si="14"/>
        <v>0</v>
      </c>
      <c r="OA116" s="78">
        <v>67.23</v>
      </c>
      <c r="OB116" s="127">
        <f t="shared" si="12"/>
        <v>101.24</v>
      </c>
      <c r="OC116" s="153"/>
      <c r="OD116" s="108">
        <f t="shared" si="15"/>
        <v>1.5058753532649114</v>
      </c>
      <c r="OE116" s="160" t="s">
        <v>559</v>
      </c>
    </row>
    <row r="117" spans="1:395" s="5" customFormat="1" ht="12.75" customHeight="1" x14ac:dyDescent="0.25">
      <c r="A117" s="62">
        <v>44559</v>
      </c>
      <c r="B117" s="121" t="s">
        <v>30</v>
      </c>
      <c r="C117" s="129"/>
      <c r="D117" s="129"/>
      <c r="E117" s="130"/>
      <c r="F117" s="130"/>
      <c r="G117" s="130"/>
      <c r="H117" s="130"/>
      <c r="I117" s="130"/>
      <c r="J117" s="130"/>
      <c r="K117" s="130"/>
      <c r="L117" s="130"/>
      <c r="M117" s="131"/>
      <c r="N117" s="131"/>
      <c r="O117" s="131"/>
      <c r="P117" s="131"/>
      <c r="Q117" s="131"/>
      <c r="R117" s="131"/>
      <c r="S117" s="131"/>
      <c r="T117" s="131"/>
      <c r="U117" s="131"/>
      <c r="V117" s="131"/>
      <c r="W117" s="131"/>
      <c r="X117" s="131"/>
      <c r="Y117" s="131"/>
      <c r="Z117" s="131"/>
      <c r="AA117" s="131"/>
      <c r="AB117" s="131"/>
      <c r="AC117" s="131"/>
      <c r="AD117" s="131"/>
      <c r="AE117" s="131"/>
      <c r="AF117" s="131"/>
      <c r="AG117" s="131"/>
      <c r="AH117" s="131"/>
      <c r="AI117" s="131"/>
      <c r="AJ117" s="131"/>
      <c r="AK117" s="131"/>
      <c r="AL117" s="131"/>
      <c r="AM117" s="131"/>
      <c r="AN117" s="131"/>
      <c r="AO117" s="131"/>
      <c r="AP117" s="131"/>
      <c r="AQ117" s="131"/>
      <c r="AR117" s="131"/>
      <c r="AS117" s="131"/>
      <c r="AT117" s="131"/>
      <c r="AU117" s="131"/>
      <c r="AV117" s="131"/>
      <c r="AW117" s="131"/>
      <c r="AX117" s="131"/>
      <c r="AY117" s="131"/>
      <c r="AZ117" s="131"/>
      <c r="BA117" s="131"/>
      <c r="BB117" s="131"/>
      <c r="BC117" s="131"/>
      <c r="BD117" s="131"/>
      <c r="BE117" s="131"/>
      <c r="BF117" s="131"/>
      <c r="BG117" s="131"/>
      <c r="BH117" s="131"/>
      <c r="BI117" s="131"/>
      <c r="BJ117" s="131"/>
      <c r="BK117" s="131"/>
      <c r="BL117" s="131"/>
      <c r="BM117" s="131"/>
      <c r="BN117" s="131"/>
      <c r="BO117" s="131"/>
      <c r="BP117" s="131"/>
      <c r="BQ117" s="131"/>
      <c r="BR117" s="131"/>
      <c r="BS117" s="131"/>
      <c r="BT117" s="131"/>
      <c r="BU117" s="131"/>
      <c r="BV117" s="131"/>
      <c r="BW117" s="131"/>
      <c r="BX117" s="131"/>
      <c r="BY117" s="131"/>
      <c r="BZ117" s="131"/>
      <c r="CA117" s="131"/>
      <c r="CB117" s="131"/>
      <c r="CC117" s="131"/>
      <c r="CD117" s="131"/>
      <c r="CE117" s="131"/>
      <c r="CF117" s="131"/>
      <c r="CG117" s="131"/>
      <c r="CH117" s="131"/>
      <c r="CI117" s="131"/>
      <c r="CJ117" s="131"/>
      <c r="CK117" s="131"/>
      <c r="CL117" s="131"/>
      <c r="CM117" s="131"/>
      <c r="CN117" s="131"/>
      <c r="CO117" s="131"/>
      <c r="CP117" s="131"/>
      <c r="CQ117" s="131"/>
      <c r="CR117" s="131"/>
      <c r="CS117" s="131"/>
      <c r="CT117" s="131"/>
      <c r="CU117" s="131"/>
      <c r="CV117" s="131"/>
      <c r="CW117" s="131"/>
      <c r="CX117" s="131"/>
      <c r="CY117" s="131"/>
      <c r="CZ117" s="131"/>
      <c r="DA117" s="131"/>
      <c r="DB117" s="131"/>
      <c r="DC117" s="131"/>
      <c r="DD117" s="131"/>
      <c r="DE117" s="131"/>
      <c r="DF117" s="131"/>
      <c r="DG117" s="131"/>
      <c r="DH117" s="131"/>
      <c r="DI117" s="131"/>
      <c r="DJ117" s="131"/>
      <c r="DK117" s="131"/>
      <c r="DL117" s="131"/>
      <c r="DM117" s="131"/>
      <c r="DN117" s="131"/>
      <c r="DO117" s="131"/>
      <c r="DP117" s="131"/>
      <c r="DQ117" s="131"/>
      <c r="DR117" s="131"/>
      <c r="DS117" s="131"/>
      <c r="DT117" s="131"/>
      <c r="DU117" s="131"/>
      <c r="DV117" s="131"/>
      <c r="DW117" s="131"/>
      <c r="DX117" s="131"/>
      <c r="DY117" s="131"/>
      <c r="DZ117" s="131"/>
      <c r="EA117" s="131"/>
      <c r="EB117" s="131"/>
      <c r="EC117" s="131"/>
      <c r="ED117" s="131"/>
      <c r="EE117" s="131"/>
      <c r="EF117" s="131"/>
      <c r="EG117" s="131"/>
      <c r="EH117" s="131"/>
      <c r="EI117" s="131"/>
      <c r="EJ117" s="131"/>
      <c r="EK117" s="131"/>
      <c r="EL117" s="131"/>
      <c r="EM117" s="131"/>
      <c r="EN117" s="131"/>
      <c r="EO117" s="131"/>
      <c r="EP117" s="131"/>
      <c r="EQ117" s="131"/>
      <c r="ER117" s="131"/>
      <c r="ES117" s="131"/>
      <c r="ET117" s="131"/>
      <c r="EU117" s="131"/>
      <c r="EV117" s="131"/>
      <c r="EW117" s="131"/>
      <c r="EX117" s="131"/>
      <c r="EY117" s="131"/>
      <c r="EZ117" s="131"/>
      <c r="FA117" s="131"/>
      <c r="FB117" s="131"/>
      <c r="FC117" s="131"/>
      <c r="FD117" s="131"/>
      <c r="FE117" s="131"/>
      <c r="FF117" s="131"/>
      <c r="FG117" s="131"/>
      <c r="FH117" s="131"/>
      <c r="FI117" s="131"/>
      <c r="FJ117" s="131"/>
      <c r="FK117" s="131"/>
      <c r="FL117" s="131"/>
      <c r="FM117" s="131"/>
      <c r="FN117" s="131"/>
      <c r="FO117" s="131"/>
      <c r="FP117" s="131"/>
      <c r="FQ117" s="131"/>
      <c r="FR117" s="131"/>
      <c r="FS117" s="131"/>
      <c r="FT117" s="131"/>
      <c r="FU117" s="131"/>
      <c r="FV117" s="131"/>
      <c r="FW117" s="131"/>
      <c r="FX117" s="131"/>
      <c r="FY117" s="131"/>
      <c r="FZ117" s="131"/>
      <c r="GA117" s="131"/>
      <c r="GB117" s="131"/>
      <c r="GC117" s="131"/>
      <c r="GD117" s="131"/>
      <c r="GE117" s="131"/>
      <c r="GF117" s="131"/>
      <c r="GG117" s="131"/>
      <c r="GH117" s="131"/>
      <c r="GI117" s="131"/>
      <c r="GJ117" s="131"/>
      <c r="GK117" s="131"/>
      <c r="GL117" s="131"/>
      <c r="GM117" s="131"/>
      <c r="GN117" s="131"/>
      <c r="GO117" s="131"/>
      <c r="GP117" s="131"/>
      <c r="GQ117" s="131"/>
      <c r="GR117" s="131"/>
      <c r="GS117" s="131"/>
      <c r="GT117" s="131"/>
      <c r="GU117" s="131"/>
      <c r="GV117" s="131"/>
      <c r="GW117" s="131"/>
      <c r="GX117" s="131"/>
      <c r="GY117" s="131"/>
      <c r="GZ117" s="131"/>
      <c r="HA117" s="131"/>
      <c r="HB117" s="131"/>
      <c r="HC117" s="131"/>
      <c r="HD117" s="131"/>
      <c r="HE117" s="131"/>
      <c r="HF117" s="131"/>
      <c r="HG117" s="131"/>
      <c r="HH117" s="131"/>
      <c r="HI117" s="131"/>
      <c r="HJ117" s="131"/>
      <c r="HK117" s="131"/>
      <c r="HL117" s="131"/>
      <c r="HM117" s="131"/>
      <c r="HN117" s="131"/>
      <c r="HO117" s="131"/>
      <c r="HP117" s="131"/>
      <c r="HQ117" s="131"/>
      <c r="HR117" s="131"/>
      <c r="HS117" s="131"/>
      <c r="HT117" s="131"/>
      <c r="HU117" s="131"/>
      <c r="HV117" s="131"/>
      <c r="HW117" s="131"/>
      <c r="HX117" s="131"/>
      <c r="HY117" s="131"/>
      <c r="HZ117" s="131"/>
      <c r="IA117" s="131"/>
      <c r="IB117" s="131"/>
      <c r="IC117" s="131"/>
      <c r="ID117" s="131"/>
      <c r="IE117" s="131"/>
      <c r="IF117" s="131"/>
      <c r="IG117" s="131"/>
      <c r="IH117" s="131"/>
      <c r="II117" s="131"/>
      <c r="IJ117" s="131"/>
      <c r="IK117" s="131"/>
      <c r="IL117" s="131"/>
      <c r="IM117" s="131"/>
      <c r="IN117" s="131"/>
      <c r="IO117" s="131"/>
      <c r="IP117" s="131"/>
      <c r="IQ117" s="131"/>
      <c r="IR117" s="131"/>
      <c r="IS117" s="131"/>
      <c r="IT117" s="131"/>
      <c r="IU117" s="131"/>
      <c r="IV117" s="131"/>
      <c r="IW117" s="131"/>
      <c r="IX117" s="131"/>
      <c r="IY117" s="131"/>
      <c r="IZ117" s="131"/>
      <c r="JA117" s="131"/>
      <c r="JB117" s="131"/>
      <c r="JC117" s="131"/>
      <c r="JD117" s="131"/>
      <c r="JE117" s="131"/>
      <c r="JF117" s="131"/>
      <c r="JG117" s="131"/>
      <c r="JH117" s="131"/>
      <c r="JI117" s="131"/>
      <c r="JJ117" s="131"/>
      <c r="JK117" s="131"/>
      <c r="JL117" s="131"/>
      <c r="JM117" s="131"/>
      <c r="JN117" s="131"/>
      <c r="JO117" s="131"/>
      <c r="JP117" s="131"/>
      <c r="JQ117" s="131"/>
      <c r="JR117" s="131"/>
      <c r="JS117" s="131"/>
      <c r="JT117" s="131"/>
      <c r="JU117" s="131"/>
      <c r="JV117" s="131"/>
      <c r="JW117" s="131"/>
      <c r="JX117" s="131"/>
      <c r="JY117" s="131"/>
      <c r="JZ117" s="131"/>
      <c r="KA117" s="131"/>
      <c r="KB117" s="131"/>
      <c r="KC117" s="131"/>
      <c r="KD117" s="131"/>
      <c r="KE117" s="131"/>
      <c r="KF117" s="131"/>
      <c r="KG117" s="131"/>
      <c r="KH117" s="131"/>
      <c r="KI117" s="131"/>
      <c r="KJ117" s="131"/>
      <c r="KK117" s="131"/>
      <c r="KL117" s="131"/>
      <c r="KM117" s="131"/>
      <c r="KN117" s="131"/>
      <c r="KO117" s="131"/>
      <c r="KP117" s="131"/>
      <c r="KQ117" s="131"/>
      <c r="KR117" s="131"/>
      <c r="KS117" s="131"/>
      <c r="KT117" s="131"/>
      <c r="KU117" s="131"/>
      <c r="KV117" s="131"/>
      <c r="KW117" s="131"/>
      <c r="KX117" s="131"/>
      <c r="KY117" s="131"/>
      <c r="KZ117" s="131"/>
      <c r="LA117" s="131"/>
      <c r="LB117" s="131"/>
      <c r="LC117" s="131"/>
      <c r="LD117" s="131"/>
      <c r="LE117" s="131"/>
      <c r="LF117" s="131"/>
      <c r="LG117" s="131"/>
      <c r="LH117" s="131"/>
      <c r="LI117" s="131"/>
      <c r="LJ117" s="131"/>
      <c r="LK117" s="131"/>
      <c r="LL117" s="131"/>
      <c r="LM117" s="131"/>
      <c r="LN117" s="131"/>
      <c r="LO117" s="131"/>
      <c r="LP117" s="131"/>
      <c r="LQ117" s="131"/>
      <c r="LR117" s="131"/>
      <c r="LS117" s="131"/>
      <c r="LT117" s="131"/>
      <c r="LU117" s="131"/>
      <c r="LV117" s="131"/>
      <c r="LW117" s="131"/>
      <c r="LX117" s="131"/>
      <c r="LY117" s="131"/>
      <c r="LZ117" s="131"/>
      <c r="MA117" s="131"/>
      <c r="MB117" s="131"/>
      <c r="MC117" s="131"/>
      <c r="MD117" s="131"/>
      <c r="ME117" s="131"/>
      <c r="MF117" s="131"/>
      <c r="MG117" s="131"/>
      <c r="MH117" s="131"/>
      <c r="MI117" s="131"/>
      <c r="MJ117" s="131"/>
      <c r="MK117" s="131"/>
      <c r="ML117" s="131"/>
      <c r="MM117" s="131"/>
      <c r="MN117" s="131"/>
      <c r="MO117" s="131"/>
      <c r="MP117" s="131"/>
      <c r="MQ117" s="131"/>
      <c r="MR117" s="131"/>
      <c r="MS117" s="131"/>
      <c r="MT117" s="131"/>
      <c r="MU117" s="131"/>
      <c r="MV117" s="131"/>
      <c r="MW117" s="131"/>
      <c r="MX117" s="131"/>
      <c r="MY117" s="131"/>
      <c r="MZ117" s="131"/>
      <c r="NA117" s="131"/>
      <c r="NB117" s="131"/>
      <c r="NC117" s="131"/>
      <c r="ND117" s="131"/>
      <c r="NE117" s="131"/>
      <c r="NF117" s="131"/>
      <c r="NG117" s="131"/>
      <c r="NH117" s="131"/>
      <c r="NI117" s="131"/>
      <c r="NJ117" s="131"/>
      <c r="NK117" s="131"/>
      <c r="NL117" s="131"/>
      <c r="NM117" s="131"/>
      <c r="NN117" s="131"/>
      <c r="NO117" s="131"/>
      <c r="NP117" s="131"/>
      <c r="NQ117" s="131"/>
      <c r="NR117" s="131"/>
      <c r="NS117" s="131"/>
      <c r="NT117" s="131"/>
      <c r="NU117" s="131"/>
      <c r="NV117" s="131"/>
      <c r="NW117" s="24">
        <f t="shared" si="17"/>
        <v>0</v>
      </c>
      <c r="NX117" s="56" t="s">
        <v>36</v>
      </c>
      <c r="NY117" s="127">
        <v>25245.42</v>
      </c>
      <c r="NZ117" s="78">
        <f t="shared" si="14"/>
        <v>0</v>
      </c>
      <c r="OA117" s="78">
        <v>16106.75</v>
      </c>
      <c r="OB117" s="127">
        <f t="shared" si="12"/>
        <v>25245.42</v>
      </c>
      <c r="OC117" s="153"/>
      <c r="OD117" s="108">
        <f t="shared" si="15"/>
        <v>1.5673813773728404</v>
      </c>
      <c r="OE117" s="160">
        <v>44621</v>
      </c>
    </row>
    <row r="118" spans="1:395" s="5" customFormat="1" ht="12.75" customHeight="1" x14ac:dyDescent="0.25">
      <c r="A118" s="62">
        <v>44559</v>
      </c>
      <c r="B118" s="106" t="s">
        <v>362</v>
      </c>
      <c r="C118" s="129"/>
      <c r="D118" s="129"/>
      <c r="E118" s="130"/>
      <c r="F118" s="130"/>
      <c r="G118" s="130"/>
      <c r="H118" s="130"/>
      <c r="I118" s="130"/>
      <c r="J118" s="130"/>
      <c r="K118" s="130"/>
      <c r="L118" s="130"/>
      <c r="M118" s="131"/>
      <c r="N118" s="131"/>
      <c r="O118" s="131"/>
      <c r="P118" s="131"/>
      <c r="Q118" s="131"/>
      <c r="R118" s="131"/>
      <c r="S118" s="131"/>
      <c r="T118" s="131"/>
      <c r="U118" s="131"/>
      <c r="V118" s="131"/>
      <c r="W118" s="131"/>
      <c r="X118" s="131"/>
      <c r="Y118" s="131"/>
      <c r="Z118" s="131"/>
      <c r="AA118" s="131"/>
      <c r="AB118" s="131"/>
      <c r="AC118" s="131"/>
      <c r="AD118" s="131"/>
      <c r="AE118" s="131"/>
      <c r="AF118" s="131"/>
      <c r="AG118" s="131"/>
      <c r="AH118" s="131"/>
      <c r="AI118" s="131"/>
      <c r="AJ118" s="131"/>
      <c r="AK118" s="131"/>
      <c r="AL118" s="131"/>
      <c r="AM118" s="131"/>
      <c r="AN118" s="131"/>
      <c r="AO118" s="131"/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1"/>
      <c r="BD118" s="131"/>
      <c r="BE118" s="131"/>
      <c r="BF118" s="131"/>
      <c r="BG118" s="131"/>
      <c r="BH118" s="131"/>
      <c r="BI118" s="131"/>
      <c r="BJ118" s="131"/>
      <c r="BK118" s="131"/>
      <c r="BL118" s="131"/>
      <c r="BM118" s="131"/>
      <c r="BN118" s="131"/>
      <c r="BO118" s="131"/>
      <c r="BP118" s="131"/>
      <c r="BQ118" s="131"/>
      <c r="BR118" s="131"/>
      <c r="BS118" s="131"/>
      <c r="BT118" s="131"/>
      <c r="BU118" s="131"/>
      <c r="BV118" s="131"/>
      <c r="BW118" s="131"/>
      <c r="BX118" s="131"/>
      <c r="BY118" s="131"/>
      <c r="BZ118" s="131"/>
      <c r="CA118" s="131"/>
      <c r="CB118" s="131"/>
      <c r="CC118" s="131"/>
      <c r="CD118" s="131"/>
      <c r="CE118" s="131"/>
      <c r="CF118" s="131"/>
      <c r="CG118" s="131"/>
      <c r="CH118" s="131"/>
      <c r="CI118" s="131"/>
      <c r="CJ118" s="131"/>
      <c r="CK118" s="131"/>
      <c r="CL118" s="131"/>
      <c r="CM118" s="131"/>
      <c r="CN118" s="131"/>
      <c r="CO118" s="131"/>
      <c r="CP118" s="131"/>
      <c r="CQ118" s="131"/>
      <c r="CR118" s="131"/>
      <c r="CS118" s="131"/>
      <c r="CT118" s="131"/>
      <c r="CU118" s="131"/>
      <c r="CV118" s="131"/>
      <c r="CW118" s="131"/>
      <c r="CX118" s="131"/>
      <c r="CY118" s="131"/>
      <c r="CZ118" s="131"/>
      <c r="DA118" s="131"/>
      <c r="DB118" s="131"/>
      <c r="DC118" s="131"/>
      <c r="DD118" s="131"/>
      <c r="DE118" s="131"/>
      <c r="DF118" s="131"/>
      <c r="DG118" s="131"/>
      <c r="DH118" s="131"/>
      <c r="DI118" s="131"/>
      <c r="DJ118" s="131"/>
      <c r="DK118" s="131"/>
      <c r="DL118" s="131"/>
      <c r="DM118" s="131"/>
      <c r="DN118" s="131"/>
      <c r="DO118" s="131"/>
      <c r="DP118" s="131"/>
      <c r="DQ118" s="131"/>
      <c r="DR118" s="131"/>
      <c r="DS118" s="131"/>
      <c r="DT118" s="131"/>
      <c r="DU118" s="131"/>
      <c r="DV118" s="131"/>
      <c r="DW118" s="131"/>
      <c r="DX118" s="131"/>
      <c r="DY118" s="131"/>
      <c r="DZ118" s="131"/>
      <c r="EA118" s="131"/>
      <c r="EB118" s="131"/>
      <c r="EC118" s="131"/>
      <c r="ED118" s="131"/>
      <c r="EE118" s="131"/>
      <c r="EF118" s="131"/>
      <c r="EG118" s="131"/>
      <c r="EH118" s="131"/>
      <c r="EI118" s="131"/>
      <c r="EJ118" s="131"/>
      <c r="EK118" s="131"/>
      <c r="EL118" s="131"/>
      <c r="EM118" s="131"/>
      <c r="EN118" s="131"/>
      <c r="EO118" s="131"/>
      <c r="EP118" s="131"/>
      <c r="EQ118" s="131"/>
      <c r="ER118" s="131"/>
      <c r="ES118" s="131"/>
      <c r="ET118" s="131"/>
      <c r="EU118" s="131"/>
      <c r="EV118" s="131"/>
      <c r="EW118" s="131"/>
      <c r="EX118" s="131"/>
      <c r="EY118" s="131"/>
      <c r="EZ118" s="131"/>
      <c r="FA118" s="131"/>
      <c r="FB118" s="131"/>
      <c r="FC118" s="131"/>
      <c r="FD118" s="131"/>
      <c r="FE118" s="131"/>
      <c r="FF118" s="131"/>
      <c r="FG118" s="131"/>
      <c r="FH118" s="131"/>
      <c r="FI118" s="131"/>
      <c r="FJ118" s="131"/>
      <c r="FK118" s="131"/>
      <c r="FL118" s="131"/>
      <c r="FM118" s="131"/>
      <c r="FN118" s="131"/>
      <c r="FO118" s="131"/>
      <c r="FP118" s="131"/>
      <c r="FQ118" s="131"/>
      <c r="FR118" s="131"/>
      <c r="FS118" s="131"/>
      <c r="FT118" s="131"/>
      <c r="FU118" s="131"/>
      <c r="FV118" s="131"/>
      <c r="FW118" s="131"/>
      <c r="FX118" s="131"/>
      <c r="FY118" s="131"/>
      <c r="FZ118" s="131"/>
      <c r="GA118" s="131"/>
      <c r="GB118" s="131"/>
      <c r="GC118" s="131"/>
      <c r="GD118" s="131"/>
      <c r="GE118" s="131"/>
      <c r="GF118" s="131"/>
      <c r="GG118" s="131"/>
      <c r="GH118" s="131"/>
      <c r="GI118" s="131"/>
      <c r="GJ118" s="131"/>
      <c r="GK118" s="131"/>
      <c r="GL118" s="131"/>
      <c r="GM118" s="131"/>
      <c r="GN118" s="131"/>
      <c r="GO118" s="131"/>
      <c r="GP118" s="131"/>
      <c r="GQ118" s="131"/>
      <c r="GR118" s="131"/>
      <c r="GS118" s="131"/>
      <c r="GT118" s="131"/>
      <c r="GU118" s="131"/>
      <c r="GV118" s="131"/>
      <c r="GW118" s="131"/>
      <c r="GX118" s="131"/>
      <c r="GY118" s="131"/>
      <c r="GZ118" s="131"/>
      <c r="HA118" s="131"/>
      <c r="HB118" s="131"/>
      <c r="HC118" s="131"/>
      <c r="HD118" s="131"/>
      <c r="HE118" s="131"/>
      <c r="HF118" s="131"/>
      <c r="HG118" s="131"/>
      <c r="HH118" s="131"/>
      <c r="HI118" s="131"/>
      <c r="HJ118" s="131"/>
      <c r="HK118" s="131"/>
      <c r="HL118" s="131"/>
      <c r="HM118" s="131"/>
      <c r="HN118" s="131"/>
      <c r="HO118" s="131"/>
      <c r="HP118" s="131"/>
      <c r="HQ118" s="131"/>
      <c r="HR118" s="131"/>
      <c r="HS118" s="131"/>
      <c r="HT118" s="131"/>
      <c r="HU118" s="131"/>
      <c r="HV118" s="131"/>
      <c r="HW118" s="131"/>
      <c r="HX118" s="131"/>
      <c r="HY118" s="131"/>
      <c r="HZ118" s="131"/>
      <c r="IA118" s="131"/>
      <c r="IB118" s="131"/>
      <c r="IC118" s="131"/>
      <c r="ID118" s="131"/>
      <c r="IE118" s="131"/>
      <c r="IF118" s="131"/>
      <c r="IG118" s="131"/>
      <c r="IH118" s="131"/>
      <c r="II118" s="131"/>
      <c r="IJ118" s="131"/>
      <c r="IK118" s="131"/>
      <c r="IL118" s="131"/>
      <c r="IM118" s="131"/>
      <c r="IN118" s="131"/>
      <c r="IO118" s="131"/>
      <c r="IP118" s="131"/>
      <c r="IQ118" s="131"/>
      <c r="IR118" s="131"/>
      <c r="IS118" s="131"/>
      <c r="IT118" s="131"/>
      <c r="IU118" s="131"/>
      <c r="IV118" s="131"/>
      <c r="IW118" s="131"/>
      <c r="IX118" s="131"/>
      <c r="IY118" s="131"/>
      <c r="IZ118" s="131"/>
      <c r="JA118" s="131"/>
      <c r="JB118" s="131"/>
      <c r="JC118" s="131"/>
      <c r="JD118" s="131"/>
      <c r="JE118" s="131"/>
      <c r="JF118" s="131"/>
      <c r="JG118" s="131"/>
      <c r="JH118" s="131"/>
      <c r="JI118" s="131"/>
      <c r="JJ118" s="131"/>
      <c r="JK118" s="131"/>
      <c r="JL118" s="131"/>
      <c r="JM118" s="131"/>
      <c r="JN118" s="131"/>
      <c r="JO118" s="131"/>
      <c r="JP118" s="131"/>
      <c r="JQ118" s="131"/>
      <c r="JR118" s="131"/>
      <c r="JS118" s="131"/>
      <c r="JT118" s="131"/>
      <c r="JU118" s="131"/>
      <c r="JV118" s="131"/>
      <c r="JW118" s="131"/>
      <c r="JX118" s="131"/>
      <c r="JY118" s="131"/>
      <c r="JZ118" s="131"/>
      <c r="KA118" s="131"/>
      <c r="KB118" s="131"/>
      <c r="KC118" s="131"/>
      <c r="KD118" s="131"/>
      <c r="KE118" s="131"/>
      <c r="KF118" s="131"/>
      <c r="KG118" s="131"/>
      <c r="KH118" s="131"/>
      <c r="KI118" s="131"/>
      <c r="KJ118" s="131"/>
      <c r="KK118" s="131"/>
      <c r="KL118" s="131"/>
      <c r="KM118" s="131"/>
      <c r="KN118" s="131"/>
      <c r="KO118" s="131"/>
      <c r="KP118" s="131"/>
      <c r="KQ118" s="131"/>
      <c r="KR118" s="131"/>
      <c r="KS118" s="131"/>
      <c r="KT118" s="131"/>
      <c r="KU118" s="131"/>
      <c r="KV118" s="131"/>
      <c r="KW118" s="131"/>
      <c r="KX118" s="131"/>
      <c r="KY118" s="131"/>
      <c r="KZ118" s="131"/>
      <c r="LA118" s="131"/>
      <c r="LB118" s="131"/>
      <c r="LC118" s="131"/>
      <c r="LD118" s="131"/>
      <c r="LE118" s="131"/>
      <c r="LF118" s="131"/>
      <c r="LG118" s="131"/>
      <c r="LH118" s="131"/>
      <c r="LI118" s="131"/>
      <c r="LJ118" s="131"/>
      <c r="LK118" s="131"/>
      <c r="LL118" s="131"/>
      <c r="LM118" s="131"/>
      <c r="LN118" s="131"/>
      <c r="LO118" s="131"/>
      <c r="LP118" s="131"/>
      <c r="LQ118" s="131"/>
      <c r="LR118" s="131"/>
      <c r="LS118" s="131"/>
      <c r="LT118" s="131"/>
      <c r="LU118" s="131"/>
      <c r="LV118" s="131"/>
      <c r="LW118" s="131"/>
      <c r="LX118" s="131"/>
      <c r="LY118" s="131"/>
      <c r="LZ118" s="131"/>
      <c r="MA118" s="131"/>
      <c r="MB118" s="131"/>
      <c r="MC118" s="131"/>
      <c r="MD118" s="131"/>
      <c r="ME118" s="131"/>
      <c r="MF118" s="131"/>
      <c r="MG118" s="131"/>
      <c r="MH118" s="131"/>
      <c r="MI118" s="131"/>
      <c r="MJ118" s="131"/>
      <c r="MK118" s="131"/>
      <c r="ML118" s="131"/>
      <c r="MM118" s="131"/>
      <c r="MN118" s="131"/>
      <c r="MO118" s="131"/>
      <c r="MP118" s="131"/>
      <c r="MQ118" s="131"/>
      <c r="MR118" s="131"/>
      <c r="MS118" s="131"/>
      <c r="MT118" s="131"/>
      <c r="MU118" s="131"/>
      <c r="MV118" s="131"/>
      <c r="MW118" s="131"/>
      <c r="MX118" s="131"/>
      <c r="MY118" s="131"/>
      <c r="MZ118" s="131"/>
      <c r="NA118" s="131"/>
      <c r="NB118" s="131"/>
      <c r="NC118" s="131"/>
      <c r="ND118" s="131"/>
      <c r="NE118" s="131"/>
      <c r="NF118" s="131"/>
      <c r="NG118" s="131"/>
      <c r="NH118" s="131"/>
      <c r="NI118" s="131"/>
      <c r="NJ118" s="131"/>
      <c r="NK118" s="131"/>
      <c r="NL118" s="131"/>
      <c r="NM118" s="131"/>
      <c r="NN118" s="131"/>
      <c r="NO118" s="131"/>
      <c r="NP118" s="131"/>
      <c r="NQ118" s="131"/>
      <c r="NR118" s="131"/>
      <c r="NS118" s="131"/>
      <c r="NT118" s="131"/>
      <c r="NU118" s="131"/>
      <c r="NV118" s="131"/>
      <c r="NW118" s="24">
        <f t="shared" si="17"/>
        <v>0</v>
      </c>
      <c r="NX118" s="56" t="s">
        <v>97</v>
      </c>
      <c r="NY118" s="127">
        <v>2274.52</v>
      </c>
      <c r="NZ118" s="78">
        <f t="shared" si="14"/>
        <v>1400</v>
      </c>
      <c r="OA118" s="78">
        <v>1622.2</v>
      </c>
      <c r="OB118" s="127">
        <f t="shared" si="12"/>
        <v>874.52</v>
      </c>
      <c r="OC118" s="153">
        <f>300+500+300+300</f>
        <v>1400</v>
      </c>
      <c r="OD118" s="108">
        <f t="shared" si="15"/>
        <v>1.4021205769942053</v>
      </c>
      <c r="OE118" s="160"/>
    </row>
    <row r="119" spans="1:395" s="5" customFormat="1" ht="12.75" customHeight="1" x14ac:dyDescent="0.25">
      <c r="A119" s="62">
        <v>44559</v>
      </c>
      <c r="B119" s="106" t="s">
        <v>143</v>
      </c>
      <c r="C119" s="129"/>
      <c r="D119" s="129"/>
      <c r="E119" s="130"/>
      <c r="F119" s="130"/>
      <c r="G119" s="130"/>
      <c r="H119" s="130"/>
      <c r="I119" s="130"/>
      <c r="J119" s="130"/>
      <c r="K119" s="130"/>
      <c r="L119" s="130"/>
      <c r="M119" s="131"/>
      <c r="N119" s="131"/>
      <c r="O119" s="131"/>
      <c r="P119" s="131"/>
      <c r="Q119" s="131"/>
      <c r="R119" s="131"/>
      <c r="S119" s="131"/>
      <c r="T119" s="131"/>
      <c r="U119" s="131"/>
      <c r="V119" s="131"/>
      <c r="W119" s="131"/>
      <c r="X119" s="131"/>
      <c r="Y119" s="131"/>
      <c r="Z119" s="131"/>
      <c r="AA119" s="131"/>
      <c r="AB119" s="131"/>
      <c r="AC119" s="131"/>
      <c r="AD119" s="131"/>
      <c r="AE119" s="131"/>
      <c r="AF119" s="131"/>
      <c r="AG119" s="131"/>
      <c r="AH119" s="131"/>
      <c r="AI119" s="131"/>
      <c r="AJ119" s="131"/>
      <c r="AK119" s="131"/>
      <c r="AL119" s="131"/>
      <c r="AM119" s="131"/>
      <c r="AN119" s="131"/>
      <c r="AO119" s="131"/>
      <c r="AP119" s="131"/>
      <c r="AQ119" s="131"/>
      <c r="AR119" s="131"/>
      <c r="AS119" s="131"/>
      <c r="AT119" s="131"/>
      <c r="AU119" s="131"/>
      <c r="AV119" s="131"/>
      <c r="AW119" s="131"/>
      <c r="AX119" s="131"/>
      <c r="AY119" s="131"/>
      <c r="AZ119" s="131"/>
      <c r="BA119" s="131"/>
      <c r="BB119" s="131"/>
      <c r="BC119" s="131"/>
      <c r="BD119" s="131"/>
      <c r="BE119" s="131"/>
      <c r="BF119" s="131"/>
      <c r="BG119" s="131"/>
      <c r="BH119" s="131"/>
      <c r="BI119" s="131"/>
      <c r="BJ119" s="131"/>
      <c r="BK119" s="131"/>
      <c r="BL119" s="131"/>
      <c r="BM119" s="131"/>
      <c r="BN119" s="131"/>
      <c r="BO119" s="131"/>
      <c r="BP119" s="131"/>
      <c r="BQ119" s="131"/>
      <c r="BR119" s="131"/>
      <c r="BS119" s="131"/>
      <c r="BT119" s="131"/>
      <c r="BU119" s="131"/>
      <c r="BV119" s="131"/>
      <c r="BW119" s="131"/>
      <c r="BX119" s="131"/>
      <c r="BY119" s="131"/>
      <c r="BZ119" s="131"/>
      <c r="CA119" s="131"/>
      <c r="CB119" s="131"/>
      <c r="CC119" s="131"/>
      <c r="CD119" s="131"/>
      <c r="CE119" s="131"/>
      <c r="CF119" s="131"/>
      <c r="CG119" s="131"/>
      <c r="CH119" s="131"/>
      <c r="CI119" s="131"/>
      <c r="CJ119" s="131"/>
      <c r="CK119" s="131"/>
      <c r="CL119" s="131"/>
      <c r="CM119" s="131"/>
      <c r="CN119" s="131"/>
      <c r="CO119" s="131"/>
      <c r="CP119" s="131"/>
      <c r="CQ119" s="131"/>
      <c r="CR119" s="131"/>
      <c r="CS119" s="131"/>
      <c r="CT119" s="131"/>
      <c r="CU119" s="131"/>
      <c r="CV119" s="131"/>
      <c r="CW119" s="131"/>
      <c r="CX119" s="131"/>
      <c r="CY119" s="131"/>
      <c r="CZ119" s="131"/>
      <c r="DA119" s="131"/>
      <c r="DB119" s="131"/>
      <c r="DC119" s="131"/>
      <c r="DD119" s="131"/>
      <c r="DE119" s="131"/>
      <c r="DF119" s="131"/>
      <c r="DG119" s="131"/>
      <c r="DH119" s="131"/>
      <c r="DI119" s="131"/>
      <c r="DJ119" s="131"/>
      <c r="DK119" s="131"/>
      <c r="DL119" s="131"/>
      <c r="DM119" s="131"/>
      <c r="DN119" s="131"/>
      <c r="DO119" s="131"/>
      <c r="DP119" s="131"/>
      <c r="DQ119" s="131"/>
      <c r="DR119" s="131"/>
      <c r="DS119" s="131"/>
      <c r="DT119" s="131"/>
      <c r="DU119" s="131"/>
      <c r="DV119" s="131"/>
      <c r="DW119" s="131"/>
      <c r="DX119" s="131"/>
      <c r="DY119" s="131"/>
      <c r="DZ119" s="131"/>
      <c r="EA119" s="131"/>
      <c r="EB119" s="131"/>
      <c r="EC119" s="131"/>
      <c r="ED119" s="131"/>
      <c r="EE119" s="131"/>
      <c r="EF119" s="131"/>
      <c r="EG119" s="131"/>
      <c r="EH119" s="131"/>
      <c r="EI119" s="131"/>
      <c r="EJ119" s="131"/>
      <c r="EK119" s="131"/>
      <c r="EL119" s="131"/>
      <c r="EM119" s="131"/>
      <c r="EN119" s="131"/>
      <c r="EO119" s="131"/>
      <c r="EP119" s="131"/>
      <c r="EQ119" s="131"/>
      <c r="ER119" s="131"/>
      <c r="ES119" s="131"/>
      <c r="ET119" s="131"/>
      <c r="EU119" s="131"/>
      <c r="EV119" s="131"/>
      <c r="EW119" s="131"/>
      <c r="EX119" s="131"/>
      <c r="EY119" s="131"/>
      <c r="EZ119" s="131"/>
      <c r="FA119" s="131"/>
      <c r="FB119" s="131"/>
      <c r="FC119" s="131"/>
      <c r="FD119" s="131"/>
      <c r="FE119" s="131"/>
      <c r="FF119" s="131"/>
      <c r="FG119" s="131"/>
      <c r="FH119" s="131"/>
      <c r="FI119" s="131"/>
      <c r="FJ119" s="131"/>
      <c r="FK119" s="131"/>
      <c r="FL119" s="131"/>
      <c r="FM119" s="131"/>
      <c r="FN119" s="131"/>
      <c r="FO119" s="131"/>
      <c r="FP119" s="131"/>
      <c r="FQ119" s="131"/>
      <c r="FR119" s="131"/>
      <c r="FS119" s="131"/>
      <c r="FT119" s="131"/>
      <c r="FU119" s="131"/>
      <c r="FV119" s="131"/>
      <c r="FW119" s="131"/>
      <c r="FX119" s="131"/>
      <c r="FY119" s="131"/>
      <c r="FZ119" s="131"/>
      <c r="GA119" s="131"/>
      <c r="GB119" s="131"/>
      <c r="GC119" s="131"/>
      <c r="GD119" s="131"/>
      <c r="GE119" s="131"/>
      <c r="GF119" s="131"/>
      <c r="GG119" s="131"/>
      <c r="GH119" s="131"/>
      <c r="GI119" s="131"/>
      <c r="GJ119" s="131"/>
      <c r="GK119" s="131"/>
      <c r="GL119" s="131"/>
      <c r="GM119" s="131"/>
      <c r="GN119" s="131"/>
      <c r="GO119" s="131"/>
      <c r="GP119" s="131"/>
      <c r="GQ119" s="131"/>
      <c r="GR119" s="131"/>
      <c r="GS119" s="131"/>
      <c r="GT119" s="131"/>
      <c r="GU119" s="131"/>
      <c r="GV119" s="131"/>
      <c r="GW119" s="131"/>
      <c r="GX119" s="131"/>
      <c r="GY119" s="131"/>
      <c r="GZ119" s="131"/>
      <c r="HA119" s="131"/>
      <c r="HB119" s="131"/>
      <c r="HC119" s="131"/>
      <c r="HD119" s="131"/>
      <c r="HE119" s="131"/>
      <c r="HF119" s="131"/>
      <c r="HG119" s="131"/>
      <c r="HH119" s="131"/>
      <c r="HI119" s="131"/>
      <c r="HJ119" s="131"/>
      <c r="HK119" s="131"/>
      <c r="HL119" s="131"/>
      <c r="HM119" s="131"/>
      <c r="HN119" s="131"/>
      <c r="HO119" s="131"/>
      <c r="HP119" s="131"/>
      <c r="HQ119" s="131"/>
      <c r="HR119" s="131"/>
      <c r="HS119" s="131"/>
      <c r="HT119" s="131"/>
      <c r="HU119" s="131"/>
      <c r="HV119" s="131"/>
      <c r="HW119" s="131"/>
      <c r="HX119" s="131"/>
      <c r="HY119" s="131"/>
      <c r="HZ119" s="131"/>
      <c r="IA119" s="131"/>
      <c r="IB119" s="131"/>
      <c r="IC119" s="131"/>
      <c r="ID119" s="131"/>
      <c r="IE119" s="131"/>
      <c r="IF119" s="131"/>
      <c r="IG119" s="131"/>
      <c r="IH119" s="131"/>
      <c r="II119" s="131"/>
      <c r="IJ119" s="131"/>
      <c r="IK119" s="131"/>
      <c r="IL119" s="131"/>
      <c r="IM119" s="131"/>
      <c r="IN119" s="131"/>
      <c r="IO119" s="131"/>
      <c r="IP119" s="131"/>
      <c r="IQ119" s="131"/>
      <c r="IR119" s="131"/>
      <c r="IS119" s="131"/>
      <c r="IT119" s="131"/>
      <c r="IU119" s="131"/>
      <c r="IV119" s="131"/>
      <c r="IW119" s="131"/>
      <c r="IX119" s="131"/>
      <c r="IY119" s="131"/>
      <c r="IZ119" s="131"/>
      <c r="JA119" s="131"/>
      <c r="JB119" s="131"/>
      <c r="JC119" s="131"/>
      <c r="JD119" s="131"/>
      <c r="JE119" s="131"/>
      <c r="JF119" s="131"/>
      <c r="JG119" s="131"/>
      <c r="JH119" s="131"/>
      <c r="JI119" s="131"/>
      <c r="JJ119" s="131"/>
      <c r="JK119" s="131"/>
      <c r="JL119" s="131"/>
      <c r="JM119" s="131"/>
      <c r="JN119" s="131"/>
      <c r="JO119" s="131"/>
      <c r="JP119" s="131"/>
      <c r="JQ119" s="131"/>
      <c r="JR119" s="131"/>
      <c r="JS119" s="131"/>
      <c r="JT119" s="131"/>
      <c r="JU119" s="131"/>
      <c r="JV119" s="131"/>
      <c r="JW119" s="131"/>
      <c r="JX119" s="131"/>
      <c r="JY119" s="131"/>
      <c r="JZ119" s="131"/>
      <c r="KA119" s="131"/>
      <c r="KB119" s="131"/>
      <c r="KC119" s="131"/>
      <c r="KD119" s="131"/>
      <c r="KE119" s="131"/>
      <c r="KF119" s="131"/>
      <c r="KG119" s="131"/>
      <c r="KH119" s="131"/>
      <c r="KI119" s="131"/>
      <c r="KJ119" s="131"/>
      <c r="KK119" s="131"/>
      <c r="KL119" s="131"/>
      <c r="KM119" s="131"/>
      <c r="KN119" s="131"/>
      <c r="KO119" s="131"/>
      <c r="KP119" s="131"/>
      <c r="KQ119" s="131"/>
      <c r="KR119" s="131"/>
      <c r="KS119" s="131"/>
      <c r="KT119" s="131"/>
      <c r="KU119" s="131"/>
      <c r="KV119" s="131"/>
      <c r="KW119" s="131"/>
      <c r="KX119" s="131"/>
      <c r="KY119" s="131"/>
      <c r="KZ119" s="131"/>
      <c r="LA119" s="131"/>
      <c r="LB119" s="131"/>
      <c r="LC119" s="131"/>
      <c r="LD119" s="131"/>
      <c r="LE119" s="131"/>
      <c r="LF119" s="131"/>
      <c r="LG119" s="131"/>
      <c r="LH119" s="131"/>
      <c r="LI119" s="131"/>
      <c r="LJ119" s="131"/>
      <c r="LK119" s="131"/>
      <c r="LL119" s="131"/>
      <c r="LM119" s="131"/>
      <c r="LN119" s="131"/>
      <c r="LO119" s="131"/>
      <c r="LP119" s="131"/>
      <c r="LQ119" s="131"/>
      <c r="LR119" s="131"/>
      <c r="LS119" s="131"/>
      <c r="LT119" s="131"/>
      <c r="LU119" s="131"/>
      <c r="LV119" s="131"/>
      <c r="LW119" s="131"/>
      <c r="LX119" s="131"/>
      <c r="LY119" s="131"/>
      <c r="LZ119" s="131"/>
      <c r="MA119" s="131"/>
      <c r="MB119" s="131"/>
      <c r="MC119" s="131"/>
      <c r="MD119" s="131"/>
      <c r="ME119" s="131"/>
      <c r="MF119" s="131"/>
      <c r="MG119" s="131"/>
      <c r="MH119" s="131"/>
      <c r="MI119" s="131"/>
      <c r="MJ119" s="131"/>
      <c r="MK119" s="131"/>
      <c r="ML119" s="131"/>
      <c r="MM119" s="131"/>
      <c r="MN119" s="131"/>
      <c r="MO119" s="131"/>
      <c r="MP119" s="131"/>
      <c r="MQ119" s="131"/>
      <c r="MR119" s="131"/>
      <c r="MS119" s="131"/>
      <c r="MT119" s="131"/>
      <c r="MU119" s="131"/>
      <c r="MV119" s="131"/>
      <c r="MW119" s="131"/>
      <c r="MX119" s="131"/>
      <c r="MY119" s="131"/>
      <c r="MZ119" s="131"/>
      <c r="NA119" s="131"/>
      <c r="NB119" s="131"/>
      <c r="NC119" s="131"/>
      <c r="ND119" s="131"/>
      <c r="NE119" s="131"/>
      <c r="NF119" s="131"/>
      <c r="NG119" s="131"/>
      <c r="NH119" s="131"/>
      <c r="NI119" s="131"/>
      <c r="NJ119" s="131"/>
      <c r="NK119" s="131"/>
      <c r="NL119" s="131"/>
      <c r="NM119" s="131"/>
      <c r="NN119" s="131"/>
      <c r="NO119" s="131"/>
      <c r="NP119" s="131"/>
      <c r="NQ119" s="131"/>
      <c r="NR119" s="131"/>
      <c r="NS119" s="131"/>
      <c r="NT119" s="131"/>
      <c r="NU119" s="131"/>
      <c r="NV119" s="131"/>
      <c r="NW119" s="24">
        <f t="shared" si="17"/>
        <v>0</v>
      </c>
      <c r="NX119" s="56" t="s">
        <v>36</v>
      </c>
      <c r="NY119" s="127">
        <v>1003.5</v>
      </c>
      <c r="NZ119" s="78">
        <f t="shared" si="14"/>
        <v>0</v>
      </c>
      <c r="OA119" s="78">
        <v>639.75</v>
      </c>
      <c r="OB119" s="127">
        <f t="shared" si="12"/>
        <v>1003.5</v>
      </c>
      <c r="OC119" s="153"/>
      <c r="OD119" s="108">
        <f t="shared" si="15"/>
        <v>1.5685814771395077</v>
      </c>
      <c r="OE119" s="160" t="s">
        <v>561</v>
      </c>
    </row>
    <row r="120" spans="1:395" s="5" customFormat="1" ht="12.75" customHeight="1" x14ac:dyDescent="0.25">
      <c r="A120" s="62">
        <v>44559</v>
      </c>
      <c r="B120" s="116" t="s">
        <v>179</v>
      </c>
      <c r="C120" s="129"/>
      <c r="D120" s="129"/>
      <c r="E120" s="130"/>
      <c r="F120" s="130"/>
      <c r="G120" s="130"/>
      <c r="H120" s="130"/>
      <c r="I120" s="130"/>
      <c r="J120" s="130"/>
      <c r="K120" s="130"/>
      <c r="L120" s="130"/>
      <c r="M120" s="131"/>
      <c r="N120" s="131"/>
      <c r="O120" s="131"/>
      <c r="P120" s="131"/>
      <c r="Q120" s="131"/>
      <c r="R120" s="131"/>
      <c r="S120" s="131"/>
      <c r="T120" s="131"/>
      <c r="U120" s="131"/>
      <c r="V120" s="131"/>
      <c r="W120" s="131"/>
      <c r="X120" s="131"/>
      <c r="Y120" s="131"/>
      <c r="Z120" s="131"/>
      <c r="AA120" s="131"/>
      <c r="AB120" s="131"/>
      <c r="AC120" s="131"/>
      <c r="AD120" s="131"/>
      <c r="AE120" s="131"/>
      <c r="AF120" s="131"/>
      <c r="AG120" s="131"/>
      <c r="AH120" s="131"/>
      <c r="AI120" s="131"/>
      <c r="AJ120" s="131"/>
      <c r="AK120" s="131"/>
      <c r="AL120" s="131"/>
      <c r="AM120" s="131"/>
      <c r="AN120" s="131"/>
      <c r="AO120" s="131"/>
      <c r="AP120" s="131"/>
      <c r="AQ120" s="131"/>
      <c r="AR120" s="131"/>
      <c r="AS120" s="131"/>
      <c r="AT120" s="131"/>
      <c r="AU120" s="131"/>
      <c r="AV120" s="131"/>
      <c r="AW120" s="131"/>
      <c r="AX120" s="131"/>
      <c r="AY120" s="131"/>
      <c r="AZ120" s="131"/>
      <c r="BA120" s="131"/>
      <c r="BB120" s="131"/>
      <c r="BC120" s="131"/>
      <c r="BD120" s="131"/>
      <c r="BE120" s="131"/>
      <c r="BF120" s="131"/>
      <c r="BG120" s="131"/>
      <c r="BH120" s="131"/>
      <c r="BI120" s="131"/>
      <c r="BJ120" s="131"/>
      <c r="BK120" s="131"/>
      <c r="BL120" s="131"/>
      <c r="BM120" s="131"/>
      <c r="BN120" s="131"/>
      <c r="BO120" s="131"/>
      <c r="BP120" s="131"/>
      <c r="BQ120" s="131"/>
      <c r="BR120" s="131"/>
      <c r="BS120" s="131"/>
      <c r="BT120" s="131"/>
      <c r="BU120" s="131"/>
      <c r="BV120" s="131"/>
      <c r="BW120" s="131"/>
      <c r="BX120" s="131"/>
      <c r="BY120" s="131"/>
      <c r="BZ120" s="131"/>
      <c r="CA120" s="131"/>
      <c r="CB120" s="131"/>
      <c r="CC120" s="131"/>
      <c r="CD120" s="131"/>
      <c r="CE120" s="131"/>
      <c r="CF120" s="131"/>
      <c r="CG120" s="131"/>
      <c r="CH120" s="131"/>
      <c r="CI120" s="131"/>
      <c r="CJ120" s="131"/>
      <c r="CK120" s="131"/>
      <c r="CL120" s="131"/>
      <c r="CM120" s="131"/>
      <c r="CN120" s="131"/>
      <c r="CO120" s="131"/>
      <c r="CP120" s="131"/>
      <c r="CQ120" s="131"/>
      <c r="CR120" s="131"/>
      <c r="CS120" s="131"/>
      <c r="CT120" s="131"/>
      <c r="CU120" s="131"/>
      <c r="CV120" s="131"/>
      <c r="CW120" s="131"/>
      <c r="CX120" s="131"/>
      <c r="CY120" s="131"/>
      <c r="CZ120" s="131"/>
      <c r="DA120" s="131"/>
      <c r="DB120" s="131"/>
      <c r="DC120" s="131"/>
      <c r="DD120" s="131"/>
      <c r="DE120" s="131"/>
      <c r="DF120" s="131"/>
      <c r="DG120" s="131"/>
      <c r="DH120" s="131"/>
      <c r="DI120" s="131"/>
      <c r="DJ120" s="131"/>
      <c r="DK120" s="131"/>
      <c r="DL120" s="131"/>
      <c r="DM120" s="131"/>
      <c r="DN120" s="131"/>
      <c r="DO120" s="131"/>
      <c r="DP120" s="131"/>
      <c r="DQ120" s="131"/>
      <c r="DR120" s="131"/>
      <c r="DS120" s="131"/>
      <c r="DT120" s="131"/>
      <c r="DU120" s="131"/>
      <c r="DV120" s="131"/>
      <c r="DW120" s="131"/>
      <c r="DX120" s="131"/>
      <c r="DY120" s="131"/>
      <c r="DZ120" s="131"/>
      <c r="EA120" s="131"/>
      <c r="EB120" s="131"/>
      <c r="EC120" s="131"/>
      <c r="ED120" s="131"/>
      <c r="EE120" s="131"/>
      <c r="EF120" s="131"/>
      <c r="EG120" s="131"/>
      <c r="EH120" s="131"/>
      <c r="EI120" s="131"/>
      <c r="EJ120" s="131"/>
      <c r="EK120" s="131"/>
      <c r="EL120" s="131"/>
      <c r="EM120" s="131"/>
      <c r="EN120" s="131"/>
      <c r="EO120" s="131"/>
      <c r="EP120" s="131"/>
      <c r="EQ120" s="131"/>
      <c r="ER120" s="131"/>
      <c r="ES120" s="131"/>
      <c r="ET120" s="131"/>
      <c r="EU120" s="131"/>
      <c r="EV120" s="131"/>
      <c r="EW120" s="131"/>
      <c r="EX120" s="131"/>
      <c r="EY120" s="131"/>
      <c r="EZ120" s="131"/>
      <c r="FA120" s="131"/>
      <c r="FB120" s="131"/>
      <c r="FC120" s="131"/>
      <c r="FD120" s="131"/>
      <c r="FE120" s="131"/>
      <c r="FF120" s="131"/>
      <c r="FG120" s="131"/>
      <c r="FH120" s="131"/>
      <c r="FI120" s="131"/>
      <c r="FJ120" s="131"/>
      <c r="FK120" s="131"/>
      <c r="FL120" s="131"/>
      <c r="FM120" s="131"/>
      <c r="FN120" s="131"/>
      <c r="FO120" s="131"/>
      <c r="FP120" s="131"/>
      <c r="FQ120" s="131"/>
      <c r="FR120" s="131"/>
      <c r="FS120" s="131"/>
      <c r="FT120" s="131"/>
      <c r="FU120" s="131"/>
      <c r="FV120" s="131"/>
      <c r="FW120" s="131"/>
      <c r="FX120" s="131"/>
      <c r="FY120" s="131"/>
      <c r="FZ120" s="131"/>
      <c r="GA120" s="131"/>
      <c r="GB120" s="131"/>
      <c r="GC120" s="131"/>
      <c r="GD120" s="131"/>
      <c r="GE120" s="131"/>
      <c r="GF120" s="131"/>
      <c r="GG120" s="131"/>
      <c r="GH120" s="131"/>
      <c r="GI120" s="131"/>
      <c r="GJ120" s="131"/>
      <c r="GK120" s="131"/>
      <c r="GL120" s="131"/>
      <c r="GM120" s="131"/>
      <c r="GN120" s="131"/>
      <c r="GO120" s="131"/>
      <c r="GP120" s="131"/>
      <c r="GQ120" s="131"/>
      <c r="GR120" s="131"/>
      <c r="GS120" s="131"/>
      <c r="GT120" s="131"/>
      <c r="GU120" s="131"/>
      <c r="GV120" s="131"/>
      <c r="GW120" s="131"/>
      <c r="GX120" s="131"/>
      <c r="GY120" s="131"/>
      <c r="GZ120" s="131"/>
      <c r="HA120" s="131"/>
      <c r="HB120" s="131"/>
      <c r="HC120" s="131"/>
      <c r="HD120" s="131"/>
      <c r="HE120" s="131"/>
      <c r="HF120" s="131"/>
      <c r="HG120" s="131"/>
      <c r="HH120" s="131"/>
      <c r="HI120" s="131"/>
      <c r="HJ120" s="131"/>
      <c r="HK120" s="131"/>
      <c r="HL120" s="131"/>
      <c r="HM120" s="131"/>
      <c r="HN120" s="131"/>
      <c r="HO120" s="131"/>
      <c r="HP120" s="131"/>
      <c r="HQ120" s="131"/>
      <c r="HR120" s="131"/>
      <c r="HS120" s="131"/>
      <c r="HT120" s="131"/>
      <c r="HU120" s="131"/>
      <c r="HV120" s="131"/>
      <c r="HW120" s="131"/>
      <c r="HX120" s="131"/>
      <c r="HY120" s="131"/>
      <c r="HZ120" s="131"/>
      <c r="IA120" s="131"/>
      <c r="IB120" s="131"/>
      <c r="IC120" s="131"/>
      <c r="ID120" s="131"/>
      <c r="IE120" s="131"/>
      <c r="IF120" s="131"/>
      <c r="IG120" s="131"/>
      <c r="IH120" s="131"/>
      <c r="II120" s="131"/>
      <c r="IJ120" s="131"/>
      <c r="IK120" s="131"/>
      <c r="IL120" s="131"/>
      <c r="IM120" s="131"/>
      <c r="IN120" s="131"/>
      <c r="IO120" s="131"/>
      <c r="IP120" s="131"/>
      <c r="IQ120" s="131"/>
      <c r="IR120" s="131"/>
      <c r="IS120" s="131"/>
      <c r="IT120" s="131"/>
      <c r="IU120" s="131"/>
      <c r="IV120" s="131"/>
      <c r="IW120" s="131"/>
      <c r="IX120" s="131"/>
      <c r="IY120" s="131"/>
      <c r="IZ120" s="131"/>
      <c r="JA120" s="131"/>
      <c r="JB120" s="131"/>
      <c r="JC120" s="131"/>
      <c r="JD120" s="131"/>
      <c r="JE120" s="131"/>
      <c r="JF120" s="131"/>
      <c r="JG120" s="131"/>
      <c r="JH120" s="131"/>
      <c r="JI120" s="131"/>
      <c r="JJ120" s="131"/>
      <c r="JK120" s="131"/>
      <c r="JL120" s="131"/>
      <c r="JM120" s="131"/>
      <c r="JN120" s="131"/>
      <c r="JO120" s="131"/>
      <c r="JP120" s="131"/>
      <c r="JQ120" s="131"/>
      <c r="JR120" s="131"/>
      <c r="JS120" s="131"/>
      <c r="JT120" s="131"/>
      <c r="JU120" s="131"/>
      <c r="JV120" s="131"/>
      <c r="JW120" s="131"/>
      <c r="JX120" s="131"/>
      <c r="JY120" s="131"/>
      <c r="JZ120" s="131"/>
      <c r="KA120" s="131"/>
      <c r="KB120" s="131"/>
      <c r="KC120" s="131"/>
      <c r="KD120" s="131"/>
      <c r="KE120" s="131"/>
      <c r="KF120" s="131"/>
      <c r="KG120" s="131"/>
      <c r="KH120" s="131"/>
      <c r="KI120" s="131"/>
      <c r="KJ120" s="131"/>
      <c r="KK120" s="131"/>
      <c r="KL120" s="131"/>
      <c r="KM120" s="131"/>
      <c r="KN120" s="131"/>
      <c r="KO120" s="131"/>
      <c r="KP120" s="131"/>
      <c r="KQ120" s="131"/>
      <c r="KR120" s="131"/>
      <c r="KS120" s="131"/>
      <c r="KT120" s="131"/>
      <c r="KU120" s="131"/>
      <c r="KV120" s="131"/>
      <c r="KW120" s="131"/>
      <c r="KX120" s="131"/>
      <c r="KY120" s="131"/>
      <c r="KZ120" s="131"/>
      <c r="LA120" s="131"/>
      <c r="LB120" s="131"/>
      <c r="LC120" s="131"/>
      <c r="LD120" s="131"/>
      <c r="LE120" s="131"/>
      <c r="LF120" s="131"/>
      <c r="LG120" s="131"/>
      <c r="LH120" s="131"/>
      <c r="LI120" s="131"/>
      <c r="LJ120" s="131"/>
      <c r="LK120" s="131"/>
      <c r="LL120" s="131"/>
      <c r="LM120" s="131"/>
      <c r="LN120" s="131"/>
      <c r="LO120" s="131"/>
      <c r="LP120" s="131"/>
      <c r="LQ120" s="131"/>
      <c r="LR120" s="131"/>
      <c r="LS120" s="131"/>
      <c r="LT120" s="131"/>
      <c r="LU120" s="131"/>
      <c r="LV120" s="131"/>
      <c r="LW120" s="131"/>
      <c r="LX120" s="131"/>
      <c r="LY120" s="131"/>
      <c r="LZ120" s="131"/>
      <c r="MA120" s="131"/>
      <c r="MB120" s="131"/>
      <c r="MC120" s="131"/>
      <c r="MD120" s="131"/>
      <c r="ME120" s="131"/>
      <c r="MF120" s="131"/>
      <c r="MG120" s="131"/>
      <c r="MH120" s="131"/>
      <c r="MI120" s="131"/>
      <c r="MJ120" s="131"/>
      <c r="MK120" s="131"/>
      <c r="ML120" s="131"/>
      <c r="MM120" s="131"/>
      <c r="MN120" s="131"/>
      <c r="MO120" s="131"/>
      <c r="MP120" s="131"/>
      <c r="MQ120" s="131"/>
      <c r="MR120" s="131"/>
      <c r="MS120" s="131"/>
      <c r="MT120" s="131"/>
      <c r="MU120" s="131"/>
      <c r="MV120" s="131"/>
      <c r="MW120" s="131"/>
      <c r="MX120" s="131"/>
      <c r="MY120" s="131"/>
      <c r="MZ120" s="131"/>
      <c r="NA120" s="131"/>
      <c r="NB120" s="131"/>
      <c r="NC120" s="131"/>
      <c r="ND120" s="131"/>
      <c r="NE120" s="131"/>
      <c r="NF120" s="131"/>
      <c r="NG120" s="131"/>
      <c r="NH120" s="131"/>
      <c r="NI120" s="131"/>
      <c r="NJ120" s="131"/>
      <c r="NK120" s="131"/>
      <c r="NL120" s="131"/>
      <c r="NM120" s="131"/>
      <c r="NN120" s="131"/>
      <c r="NO120" s="131"/>
      <c r="NP120" s="131"/>
      <c r="NQ120" s="131"/>
      <c r="NR120" s="131"/>
      <c r="NS120" s="131"/>
      <c r="NT120" s="131"/>
      <c r="NU120" s="131"/>
      <c r="NV120" s="131"/>
      <c r="NW120" s="24">
        <f t="shared" si="17"/>
        <v>0</v>
      </c>
      <c r="NX120" s="56" t="s">
        <v>36</v>
      </c>
      <c r="NY120" s="127">
        <v>3642.77</v>
      </c>
      <c r="NZ120" s="78">
        <f t="shared" si="14"/>
        <v>0</v>
      </c>
      <c r="OA120" s="78">
        <v>1993.8400000000001</v>
      </c>
      <c r="OB120" s="127">
        <f t="shared" si="12"/>
        <v>3642.77</v>
      </c>
      <c r="OC120" s="153"/>
      <c r="OD120" s="108">
        <f t="shared" si="15"/>
        <v>1.827012197568511</v>
      </c>
      <c r="OE120" s="160" t="s">
        <v>537</v>
      </c>
    </row>
    <row r="121" spans="1:395" s="5" customFormat="1" ht="12.75" hidden="1" customHeight="1" x14ac:dyDescent="0.25">
      <c r="A121" s="62">
        <v>44559</v>
      </c>
      <c r="B121" s="116" t="s">
        <v>370</v>
      </c>
      <c r="C121" s="129"/>
      <c r="D121" s="129"/>
      <c r="E121" s="130"/>
      <c r="F121" s="130"/>
      <c r="G121" s="130"/>
      <c r="H121" s="130"/>
      <c r="I121" s="130"/>
      <c r="J121" s="130"/>
      <c r="K121" s="130"/>
      <c r="L121" s="130"/>
      <c r="M121" s="131"/>
      <c r="N121" s="131"/>
      <c r="O121" s="131"/>
      <c r="P121" s="131"/>
      <c r="Q121" s="131"/>
      <c r="R121" s="131"/>
      <c r="S121" s="131"/>
      <c r="T121" s="131"/>
      <c r="U121" s="131"/>
      <c r="V121" s="131"/>
      <c r="W121" s="131"/>
      <c r="X121" s="131"/>
      <c r="Y121" s="131"/>
      <c r="Z121" s="131"/>
      <c r="AA121" s="131"/>
      <c r="AB121" s="131"/>
      <c r="AC121" s="131"/>
      <c r="AD121" s="131"/>
      <c r="AE121" s="131"/>
      <c r="AF121" s="131"/>
      <c r="AG121" s="131"/>
      <c r="AH121" s="131"/>
      <c r="AI121" s="131"/>
      <c r="AJ121" s="131"/>
      <c r="AK121" s="131"/>
      <c r="AL121" s="131"/>
      <c r="AM121" s="131"/>
      <c r="AN121" s="131"/>
      <c r="AO121" s="131"/>
      <c r="AP121" s="131"/>
      <c r="AQ121" s="131"/>
      <c r="AR121" s="131"/>
      <c r="AS121" s="131"/>
      <c r="AT121" s="131"/>
      <c r="AU121" s="131"/>
      <c r="AV121" s="131"/>
      <c r="AW121" s="131"/>
      <c r="AX121" s="131"/>
      <c r="AY121" s="131"/>
      <c r="AZ121" s="131"/>
      <c r="BA121" s="131"/>
      <c r="BB121" s="131"/>
      <c r="BC121" s="131"/>
      <c r="BD121" s="131"/>
      <c r="BE121" s="131"/>
      <c r="BF121" s="131"/>
      <c r="BG121" s="131"/>
      <c r="BH121" s="131"/>
      <c r="BI121" s="131"/>
      <c r="BJ121" s="131"/>
      <c r="BK121" s="131"/>
      <c r="BL121" s="131"/>
      <c r="BM121" s="131"/>
      <c r="BN121" s="131"/>
      <c r="BO121" s="131"/>
      <c r="BP121" s="131"/>
      <c r="BQ121" s="131"/>
      <c r="BR121" s="131"/>
      <c r="BS121" s="131"/>
      <c r="BT121" s="131"/>
      <c r="BU121" s="131"/>
      <c r="BV121" s="131"/>
      <c r="BW121" s="131"/>
      <c r="BX121" s="131"/>
      <c r="BY121" s="131"/>
      <c r="BZ121" s="131"/>
      <c r="CA121" s="131"/>
      <c r="CB121" s="131"/>
      <c r="CC121" s="131"/>
      <c r="CD121" s="131"/>
      <c r="CE121" s="131"/>
      <c r="CF121" s="131"/>
      <c r="CG121" s="131"/>
      <c r="CH121" s="131"/>
      <c r="CI121" s="131"/>
      <c r="CJ121" s="131"/>
      <c r="CK121" s="131"/>
      <c r="CL121" s="131"/>
      <c r="CM121" s="131"/>
      <c r="CN121" s="131"/>
      <c r="CO121" s="131"/>
      <c r="CP121" s="131"/>
      <c r="CQ121" s="131"/>
      <c r="CR121" s="131"/>
      <c r="CS121" s="131"/>
      <c r="CT121" s="131"/>
      <c r="CU121" s="131"/>
      <c r="CV121" s="131"/>
      <c r="CW121" s="131"/>
      <c r="CX121" s="131"/>
      <c r="CY121" s="131"/>
      <c r="CZ121" s="131"/>
      <c r="DA121" s="131"/>
      <c r="DB121" s="131"/>
      <c r="DC121" s="131"/>
      <c r="DD121" s="131"/>
      <c r="DE121" s="131"/>
      <c r="DF121" s="131"/>
      <c r="DG121" s="131"/>
      <c r="DH121" s="131"/>
      <c r="DI121" s="131"/>
      <c r="DJ121" s="131"/>
      <c r="DK121" s="131"/>
      <c r="DL121" s="131"/>
      <c r="DM121" s="131"/>
      <c r="DN121" s="131"/>
      <c r="DO121" s="131"/>
      <c r="DP121" s="131"/>
      <c r="DQ121" s="131"/>
      <c r="DR121" s="131"/>
      <c r="DS121" s="131"/>
      <c r="DT121" s="131"/>
      <c r="DU121" s="131"/>
      <c r="DV121" s="131"/>
      <c r="DW121" s="131"/>
      <c r="DX121" s="131"/>
      <c r="DY121" s="131"/>
      <c r="DZ121" s="131"/>
      <c r="EA121" s="131"/>
      <c r="EB121" s="131"/>
      <c r="EC121" s="131"/>
      <c r="ED121" s="131"/>
      <c r="EE121" s="131"/>
      <c r="EF121" s="131"/>
      <c r="EG121" s="131"/>
      <c r="EH121" s="131"/>
      <c r="EI121" s="131"/>
      <c r="EJ121" s="131"/>
      <c r="EK121" s="131"/>
      <c r="EL121" s="131"/>
      <c r="EM121" s="131"/>
      <c r="EN121" s="131"/>
      <c r="EO121" s="131"/>
      <c r="EP121" s="131"/>
      <c r="EQ121" s="131"/>
      <c r="ER121" s="131"/>
      <c r="ES121" s="131"/>
      <c r="ET121" s="131"/>
      <c r="EU121" s="131"/>
      <c r="EV121" s="131"/>
      <c r="EW121" s="131"/>
      <c r="EX121" s="131"/>
      <c r="EY121" s="131"/>
      <c r="EZ121" s="131"/>
      <c r="FA121" s="131"/>
      <c r="FB121" s="131"/>
      <c r="FC121" s="131"/>
      <c r="FD121" s="131"/>
      <c r="FE121" s="131"/>
      <c r="FF121" s="131"/>
      <c r="FG121" s="131"/>
      <c r="FH121" s="131"/>
      <c r="FI121" s="131"/>
      <c r="FJ121" s="131"/>
      <c r="FK121" s="131"/>
      <c r="FL121" s="131"/>
      <c r="FM121" s="131"/>
      <c r="FN121" s="131"/>
      <c r="FO121" s="131"/>
      <c r="FP121" s="131"/>
      <c r="FQ121" s="131"/>
      <c r="FR121" s="131"/>
      <c r="FS121" s="131"/>
      <c r="FT121" s="131"/>
      <c r="FU121" s="131"/>
      <c r="FV121" s="131"/>
      <c r="FW121" s="131"/>
      <c r="FX121" s="131"/>
      <c r="FY121" s="131"/>
      <c r="FZ121" s="131"/>
      <c r="GA121" s="131"/>
      <c r="GB121" s="131"/>
      <c r="GC121" s="131"/>
      <c r="GD121" s="131"/>
      <c r="GE121" s="131"/>
      <c r="GF121" s="131"/>
      <c r="GG121" s="131"/>
      <c r="GH121" s="131"/>
      <c r="GI121" s="131"/>
      <c r="GJ121" s="131"/>
      <c r="GK121" s="131"/>
      <c r="GL121" s="131"/>
      <c r="GM121" s="131"/>
      <c r="GN121" s="131"/>
      <c r="GO121" s="131"/>
      <c r="GP121" s="131"/>
      <c r="GQ121" s="131"/>
      <c r="GR121" s="131"/>
      <c r="GS121" s="131"/>
      <c r="GT121" s="131"/>
      <c r="GU121" s="131"/>
      <c r="GV121" s="131"/>
      <c r="GW121" s="131"/>
      <c r="GX121" s="131"/>
      <c r="GY121" s="131"/>
      <c r="GZ121" s="131"/>
      <c r="HA121" s="131"/>
      <c r="HB121" s="131"/>
      <c r="HC121" s="131"/>
      <c r="HD121" s="131"/>
      <c r="HE121" s="131"/>
      <c r="HF121" s="131"/>
      <c r="HG121" s="131"/>
      <c r="HH121" s="131"/>
      <c r="HI121" s="131"/>
      <c r="HJ121" s="131"/>
      <c r="HK121" s="131"/>
      <c r="HL121" s="131"/>
      <c r="HM121" s="131"/>
      <c r="HN121" s="131"/>
      <c r="HO121" s="131"/>
      <c r="HP121" s="131"/>
      <c r="HQ121" s="131"/>
      <c r="HR121" s="131"/>
      <c r="HS121" s="131"/>
      <c r="HT121" s="131"/>
      <c r="HU121" s="131"/>
      <c r="HV121" s="131"/>
      <c r="HW121" s="131"/>
      <c r="HX121" s="131"/>
      <c r="HY121" s="131"/>
      <c r="HZ121" s="131"/>
      <c r="IA121" s="131"/>
      <c r="IB121" s="131"/>
      <c r="IC121" s="131"/>
      <c r="ID121" s="131"/>
      <c r="IE121" s="131"/>
      <c r="IF121" s="131"/>
      <c r="IG121" s="131"/>
      <c r="IH121" s="131"/>
      <c r="II121" s="131"/>
      <c r="IJ121" s="131"/>
      <c r="IK121" s="131"/>
      <c r="IL121" s="131"/>
      <c r="IM121" s="131"/>
      <c r="IN121" s="131"/>
      <c r="IO121" s="131"/>
      <c r="IP121" s="131"/>
      <c r="IQ121" s="131"/>
      <c r="IR121" s="131"/>
      <c r="IS121" s="131"/>
      <c r="IT121" s="131"/>
      <c r="IU121" s="131"/>
      <c r="IV121" s="131"/>
      <c r="IW121" s="131"/>
      <c r="IX121" s="131"/>
      <c r="IY121" s="131"/>
      <c r="IZ121" s="131"/>
      <c r="JA121" s="131"/>
      <c r="JB121" s="131"/>
      <c r="JC121" s="131"/>
      <c r="JD121" s="131"/>
      <c r="JE121" s="131"/>
      <c r="JF121" s="131"/>
      <c r="JG121" s="131"/>
      <c r="JH121" s="131"/>
      <c r="JI121" s="131"/>
      <c r="JJ121" s="131"/>
      <c r="JK121" s="131"/>
      <c r="JL121" s="131"/>
      <c r="JM121" s="131"/>
      <c r="JN121" s="131"/>
      <c r="JO121" s="131"/>
      <c r="JP121" s="131"/>
      <c r="JQ121" s="131"/>
      <c r="JR121" s="131"/>
      <c r="JS121" s="131"/>
      <c r="JT121" s="131"/>
      <c r="JU121" s="131"/>
      <c r="JV121" s="131"/>
      <c r="JW121" s="131"/>
      <c r="JX121" s="131"/>
      <c r="JY121" s="131"/>
      <c r="JZ121" s="131"/>
      <c r="KA121" s="131"/>
      <c r="KB121" s="131"/>
      <c r="KC121" s="131"/>
      <c r="KD121" s="131"/>
      <c r="KE121" s="131"/>
      <c r="KF121" s="131"/>
      <c r="KG121" s="131"/>
      <c r="KH121" s="131"/>
      <c r="KI121" s="131"/>
      <c r="KJ121" s="131"/>
      <c r="KK121" s="131"/>
      <c r="KL121" s="131"/>
      <c r="KM121" s="131"/>
      <c r="KN121" s="131"/>
      <c r="KO121" s="131"/>
      <c r="KP121" s="131"/>
      <c r="KQ121" s="131"/>
      <c r="KR121" s="131"/>
      <c r="KS121" s="131"/>
      <c r="KT121" s="131"/>
      <c r="KU121" s="131"/>
      <c r="KV121" s="131"/>
      <c r="KW121" s="131"/>
      <c r="KX121" s="131"/>
      <c r="KY121" s="131"/>
      <c r="KZ121" s="131"/>
      <c r="LA121" s="131"/>
      <c r="LB121" s="131"/>
      <c r="LC121" s="131"/>
      <c r="LD121" s="131"/>
      <c r="LE121" s="131"/>
      <c r="LF121" s="131"/>
      <c r="LG121" s="131"/>
      <c r="LH121" s="131"/>
      <c r="LI121" s="131"/>
      <c r="LJ121" s="131"/>
      <c r="LK121" s="131"/>
      <c r="LL121" s="131"/>
      <c r="LM121" s="131"/>
      <c r="LN121" s="131"/>
      <c r="LO121" s="131"/>
      <c r="LP121" s="131"/>
      <c r="LQ121" s="131"/>
      <c r="LR121" s="131"/>
      <c r="LS121" s="131"/>
      <c r="LT121" s="131"/>
      <c r="LU121" s="131"/>
      <c r="LV121" s="131"/>
      <c r="LW121" s="131"/>
      <c r="LX121" s="131"/>
      <c r="LY121" s="131"/>
      <c r="LZ121" s="131"/>
      <c r="MA121" s="131"/>
      <c r="MB121" s="131"/>
      <c r="MC121" s="131"/>
      <c r="MD121" s="131"/>
      <c r="ME121" s="131"/>
      <c r="MF121" s="131"/>
      <c r="MG121" s="131"/>
      <c r="MH121" s="131"/>
      <c r="MI121" s="131"/>
      <c r="MJ121" s="131"/>
      <c r="MK121" s="131"/>
      <c r="ML121" s="131"/>
      <c r="MM121" s="131"/>
      <c r="MN121" s="131"/>
      <c r="MO121" s="131"/>
      <c r="MP121" s="131"/>
      <c r="MQ121" s="131"/>
      <c r="MR121" s="131"/>
      <c r="MS121" s="131"/>
      <c r="MT121" s="131"/>
      <c r="MU121" s="131"/>
      <c r="MV121" s="131"/>
      <c r="MW121" s="131"/>
      <c r="MX121" s="131"/>
      <c r="MY121" s="131"/>
      <c r="MZ121" s="131"/>
      <c r="NA121" s="131"/>
      <c r="NB121" s="131"/>
      <c r="NC121" s="131"/>
      <c r="ND121" s="131"/>
      <c r="NE121" s="131"/>
      <c r="NF121" s="131"/>
      <c r="NG121" s="131"/>
      <c r="NH121" s="131"/>
      <c r="NI121" s="131"/>
      <c r="NJ121" s="131"/>
      <c r="NK121" s="131"/>
      <c r="NL121" s="131"/>
      <c r="NM121" s="131"/>
      <c r="NN121" s="131"/>
      <c r="NO121" s="131"/>
      <c r="NP121" s="131"/>
      <c r="NQ121" s="131"/>
      <c r="NR121" s="131"/>
      <c r="NS121" s="131"/>
      <c r="NT121" s="131"/>
      <c r="NU121" s="131"/>
      <c r="NV121" s="131"/>
      <c r="NW121" s="24">
        <f t="shared" si="17"/>
        <v>0</v>
      </c>
      <c r="NX121" s="56" t="s">
        <v>36</v>
      </c>
      <c r="NY121" s="127">
        <v>4317.6000000000004</v>
      </c>
      <c r="NZ121" s="78">
        <f t="shared" si="14"/>
        <v>4317.6000000000004</v>
      </c>
      <c r="OA121" s="78">
        <v>2940.7</v>
      </c>
      <c r="OB121" s="127">
        <f t="shared" si="12"/>
        <v>0</v>
      </c>
      <c r="OC121" s="153">
        <v>4317.6000000000004</v>
      </c>
      <c r="OD121" s="108">
        <f t="shared" si="15"/>
        <v>1.4682218519400145</v>
      </c>
      <c r="OE121" s="160" t="s">
        <v>559</v>
      </c>
    </row>
    <row r="122" spans="1:395" s="5" customFormat="1" ht="12.75" customHeight="1" x14ac:dyDescent="0.25">
      <c r="A122" s="62">
        <v>44559</v>
      </c>
      <c r="B122" s="106" t="s">
        <v>137</v>
      </c>
      <c r="C122" s="129"/>
      <c r="D122" s="129"/>
      <c r="E122" s="130"/>
      <c r="F122" s="130"/>
      <c r="G122" s="130"/>
      <c r="H122" s="130"/>
      <c r="I122" s="130"/>
      <c r="J122" s="130"/>
      <c r="K122" s="130"/>
      <c r="L122" s="130"/>
      <c r="M122" s="131"/>
      <c r="N122" s="131"/>
      <c r="O122" s="131"/>
      <c r="P122" s="131"/>
      <c r="Q122" s="131"/>
      <c r="R122" s="131"/>
      <c r="S122" s="131"/>
      <c r="T122" s="131"/>
      <c r="U122" s="131"/>
      <c r="V122" s="131"/>
      <c r="W122" s="131"/>
      <c r="X122" s="131"/>
      <c r="Y122" s="131"/>
      <c r="Z122" s="131"/>
      <c r="AA122" s="131"/>
      <c r="AB122" s="131"/>
      <c r="AC122" s="131"/>
      <c r="AD122" s="131"/>
      <c r="AE122" s="131"/>
      <c r="AF122" s="131"/>
      <c r="AG122" s="131"/>
      <c r="AH122" s="131"/>
      <c r="AI122" s="131"/>
      <c r="AJ122" s="131"/>
      <c r="AK122" s="131"/>
      <c r="AL122" s="131"/>
      <c r="AM122" s="131"/>
      <c r="AN122" s="131"/>
      <c r="AO122" s="131"/>
      <c r="AP122" s="131"/>
      <c r="AQ122" s="131"/>
      <c r="AR122" s="131"/>
      <c r="AS122" s="131"/>
      <c r="AT122" s="131"/>
      <c r="AU122" s="131"/>
      <c r="AV122" s="131"/>
      <c r="AW122" s="131"/>
      <c r="AX122" s="131"/>
      <c r="AY122" s="131"/>
      <c r="AZ122" s="131"/>
      <c r="BA122" s="131"/>
      <c r="BB122" s="131"/>
      <c r="BC122" s="131"/>
      <c r="BD122" s="131"/>
      <c r="BE122" s="131"/>
      <c r="BF122" s="131"/>
      <c r="BG122" s="131"/>
      <c r="BH122" s="131"/>
      <c r="BI122" s="131"/>
      <c r="BJ122" s="131"/>
      <c r="BK122" s="131"/>
      <c r="BL122" s="131"/>
      <c r="BM122" s="131"/>
      <c r="BN122" s="131"/>
      <c r="BO122" s="131"/>
      <c r="BP122" s="131"/>
      <c r="BQ122" s="131"/>
      <c r="BR122" s="131"/>
      <c r="BS122" s="131"/>
      <c r="BT122" s="131"/>
      <c r="BU122" s="131"/>
      <c r="BV122" s="131"/>
      <c r="BW122" s="131"/>
      <c r="BX122" s="131"/>
      <c r="BY122" s="131"/>
      <c r="BZ122" s="131"/>
      <c r="CA122" s="131"/>
      <c r="CB122" s="131"/>
      <c r="CC122" s="131"/>
      <c r="CD122" s="131"/>
      <c r="CE122" s="131"/>
      <c r="CF122" s="131"/>
      <c r="CG122" s="131"/>
      <c r="CH122" s="131"/>
      <c r="CI122" s="131"/>
      <c r="CJ122" s="131"/>
      <c r="CK122" s="131"/>
      <c r="CL122" s="131"/>
      <c r="CM122" s="131"/>
      <c r="CN122" s="131"/>
      <c r="CO122" s="131"/>
      <c r="CP122" s="131"/>
      <c r="CQ122" s="131"/>
      <c r="CR122" s="131"/>
      <c r="CS122" s="131"/>
      <c r="CT122" s="131"/>
      <c r="CU122" s="131"/>
      <c r="CV122" s="131"/>
      <c r="CW122" s="131"/>
      <c r="CX122" s="131"/>
      <c r="CY122" s="131"/>
      <c r="CZ122" s="131"/>
      <c r="DA122" s="131"/>
      <c r="DB122" s="131"/>
      <c r="DC122" s="131"/>
      <c r="DD122" s="131"/>
      <c r="DE122" s="131"/>
      <c r="DF122" s="131"/>
      <c r="DG122" s="131"/>
      <c r="DH122" s="131"/>
      <c r="DI122" s="131"/>
      <c r="DJ122" s="131"/>
      <c r="DK122" s="131"/>
      <c r="DL122" s="131"/>
      <c r="DM122" s="131"/>
      <c r="DN122" s="131"/>
      <c r="DO122" s="131"/>
      <c r="DP122" s="131"/>
      <c r="DQ122" s="131"/>
      <c r="DR122" s="131"/>
      <c r="DS122" s="131"/>
      <c r="DT122" s="131"/>
      <c r="DU122" s="131"/>
      <c r="DV122" s="131"/>
      <c r="DW122" s="131"/>
      <c r="DX122" s="131"/>
      <c r="DY122" s="131"/>
      <c r="DZ122" s="131"/>
      <c r="EA122" s="131"/>
      <c r="EB122" s="131"/>
      <c r="EC122" s="131"/>
      <c r="ED122" s="131"/>
      <c r="EE122" s="131"/>
      <c r="EF122" s="131"/>
      <c r="EG122" s="131"/>
      <c r="EH122" s="131"/>
      <c r="EI122" s="131"/>
      <c r="EJ122" s="131"/>
      <c r="EK122" s="131"/>
      <c r="EL122" s="131"/>
      <c r="EM122" s="131"/>
      <c r="EN122" s="131"/>
      <c r="EO122" s="131"/>
      <c r="EP122" s="131"/>
      <c r="EQ122" s="131"/>
      <c r="ER122" s="131"/>
      <c r="ES122" s="131"/>
      <c r="ET122" s="131"/>
      <c r="EU122" s="131"/>
      <c r="EV122" s="131"/>
      <c r="EW122" s="131"/>
      <c r="EX122" s="131"/>
      <c r="EY122" s="131"/>
      <c r="EZ122" s="131"/>
      <c r="FA122" s="131"/>
      <c r="FB122" s="131"/>
      <c r="FC122" s="131"/>
      <c r="FD122" s="131"/>
      <c r="FE122" s="131"/>
      <c r="FF122" s="131"/>
      <c r="FG122" s="131"/>
      <c r="FH122" s="131"/>
      <c r="FI122" s="131"/>
      <c r="FJ122" s="131"/>
      <c r="FK122" s="131"/>
      <c r="FL122" s="131"/>
      <c r="FM122" s="131"/>
      <c r="FN122" s="131"/>
      <c r="FO122" s="131"/>
      <c r="FP122" s="131"/>
      <c r="FQ122" s="131"/>
      <c r="FR122" s="131"/>
      <c r="FS122" s="131"/>
      <c r="FT122" s="131"/>
      <c r="FU122" s="131"/>
      <c r="FV122" s="131"/>
      <c r="FW122" s="131"/>
      <c r="FX122" s="131"/>
      <c r="FY122" s="131"/>
      <c r="FZ122" s="131"/>
      <c r="GA122" s="131"/>
      <c r="GB122" s="131"/>
      <c r="GC122" s="131"/>
      <c r="GD122" s="131"/>
      <c r="GE122" s="131"/>
      <c r="GF122" s="131"/>
      <c r="GG122" s="131"/>
      <c r="GH122" s="131"/>
      <c r="GI122" s="131"/>
      <c r="GJ122" s="131"/>
      <c r="GK122" s="131"/>
      <c r="GL122" s="131"/>
      <c r="GM122" s="131"/>
      <c r="GN122" s="131"/>
      <c r="GO122" s="131"/>
      <c r="GP122" s="131"/>
      <c r="GQ122" s="131"/>
      <c r="GR122" s="131"/>
      <c r="GS122" s="131"/>
      <c r="GT122" s="131"/>
      <c r="GU122" s="131"/>
      <c r="GV122" s="131"/>
      <c r="GW122" s="131"/>
      <c r="GX122" s="131"/>
      <c r="GY122" s="131"/>
      <c r="GZ122" s="131"/>
      <c r="HA122" s="131"/>
      <c r="HB122" s="131"/>
      <c r="HC122" s="131"/>
      <c r="HD122" s="131"/>
      <c r="HE122" s="131"/>
      <c r="HF122" s="131"/>
      <c r="HG122" s="131"/>
      <c r="HH122" s="131"/>
      <c r="HI122" s="131"/>
      <c r="HJ122" s="131"/>
      <c r="HK122" s="131"/>
      <c r="HL122" s="131"/>
      <c r="HM122" s="131"/>
      <c r="HN122" s="131"/>
      <c r="HO122" s="131"/>
      <c r="HP122" s="131"/>
      <c r="HQ122" s="131"/>
      <c r="HR122" s="131"/>
      <c r="HS122" s="131"/>
      <c r="HT122" s="131"/>
      <c r="HU122" s="131"/>
      <c r="HV122" s="131"/>
      <c r="HW122" s="131"/>
      <c r="HX122" s="131"/>
      <c r="HY122" s="131"/>
      <c r="HZ122" s="131"/>
      <c r="IA122" s="131"/>
      <c r="IB122" s="131"/>
      <c r="IC122" s="131"/>
      <c r="ID122" s="131"/>
      <c r="IE122" s="131"/>
      <c r="IF122" s="131"/>
      <c r="IG122" s="131"/>
      <c r="IH122" s="131"/>
      <c r="II122" s="131"/>
      <c r="IJ122" s="131"/>
      <c r="IK122" s="131"/>
      <c r="IL122" s="131"/>
      <c r="IM122" s="131"/>
      <c r="IN122" s="131"/>
      <c r="IO122" s="131"/>
      <c r="IP122" s="131"/>
      <c r="IQ122" s="131"/>
      <c r="IR122" s="131"/>
      <c r="IS122" s="131"/>
      <c r="IT122" s="131"/>
      <c r="IU122" s="131"/>
      <c r="IV122" s="131"/>
      <c r="IW122" s="131"/>
      <c r="IX122" s="131"/>
      <c r="IY122" s="131"/>
      <c r="IZ122" s="131"/>
      <c r="JA122" s="131"/>
      <c r="JB122" s="131"/>
      <c r="JC122" s="131"/>
      <c r="JD122" s="131"/>
      <c r="JE122" s="131"/>
      <c r="JF122" s="131"/>
      <c r="JG122" s="131"/>
      <c r="JH122" s="131"/>
      <c r="JI122" s="131"/>
      <c r="JJ122" s="131"/>
      <c r="JK122" s="131"/>
      <c r="JL122" s="131"/>
      <c r="JM122" s="131"/>
      <c r="JN122" s="131"/>
      <c r="JO122" s="131"/>
      <c r="JP122" s="131"/>
      <c r="JQ122" s="131"/>
      <c r="JR122" s="131"/>
      <c r="JS122" s="131"/>
      <c r="JT122" s="131"/>
      <c r="JU122" s="131"/>
      <c r="JV122" s="131"/>
      <c r="JW122" s="131"/>
      <c r="JX122" s="131"/>
      <c r="JY122" s="131"/>
      <c r="JZ122" s="131"/>
      <c r="KA122" s="131"/>
      <c r="KB122" s="131"/>
      <c r="KC122" s="131"/>
      <c r="KD122" s="131"/>
      <c r="KE122" s="131"/>
      <c r="KF122" s="131"/>
      <c r="KG122" s="131"/>
      <c r="KH122" s="131"/>
      <c r="KI122" s="131"/>
      <c r="KJ122" s="131"/>
      <c r="KK122" s="131"/>
      <c r="KL122" s="131"/>
      <c r="KM122" s="131"/>
      <c r="KN122" s="131"/>
      <c r="KO122" s="131"/>
      <c r="KP122" s="131"/>
      <c r="KQ122" s="131"/>
      <c r="KR122" s="131"/>
      <c r="KS122" s="131"/>
      <c r="KT122" s="131"/>
      <c r="KU122" s="131"/>
      <c r="KV122" s="131"/>
      <c r="KW122" s="131"/>
      <c r="KX122" s="131"/>
      <c r="KY122" s="131"/>
      <c r="KZ122" s="131"/>
      <c r="LA122" s="131"/>
      <c r="LB122" s="131"/>
      <c r="LC122" s="131"/>
      <c r="LD122" s="131"/>
      <c r="LE122" s="131"/>
      <c r="LF122" s="131"/>
      <c r="LG122" s="131"/>
      <c r="LH122" s="131"/>
      <c r="LI122" s="131"/>
      <c r="LJ122" s="131"/>
      <c r="LK122" s="131"/>
      <c r="LL122" s="131"/>
      <c r="LM122" s="131"/>
      <c r="LN122" s="131"/>
      <c r="LO122" s="131"/>
      <c r="LP122" s="131"/>
      <c r="LQ122" s="131"/>
      <c r="LR122" s="131"/>
      <c r="LS122" s="131"/>
      <c r="LT122" s="131"/>
      <c r="LU122" s="131"/>
      <c r="LV122" s="131"/>
      <c r="LW122" s="131"/>
      <c r="LX122" s="131"/>
      <c r="LY122" s="131"/>
      <c r="LZ122" s="131"/>
      <c r="MA122" s="131"/>
      <c r="MB122" s="131"/>
      <c r="MC122" s="131"/>
      <c r="MD122" s="131"/>
      <c r="ME122" s="131"/>
      <c r="MF122" s="131"/>
      <c r="MG122" s="131"/>
      <c r="MH122" s="131"/>
      <c r="MI122" s="131"/>
      <c r="MJ122" s="131"/>
      <c r="MK122" s="131"/>
      <c r="ML122" s="131"/>
      <c r="MM122" s="131"/>
      <c r="MN122" s="131"/>
      <c r="MO122" s="131"/>
      <c r="MP122" s="131"/>
      <c r="MQ122" s="131"/>
      <c r="MR122" s="131"/>
      <c r="MS122" s="131"/>
      <c r="MT122" s="131"/>
      <c r="MU122" s="131"/>
      <c r="MV122" s="131"/>
      <c r="MW122" s="131"/>
      <c r="MX122" s="131"/>
      <c r="MY122" s="131"/>
      <c r="MZ122" s="131"/>
      <c r="NA122" s="131"/>
      <c r="NB122" s="131"/>
      <c r="NC122" s="131"/>
      <c r="ND122" s="131"/>
      <c r="NE122" s="131"/>
      <c r="NF122" s="131"/>
      <c r="NG122" s="131"/>
      <c r="NH122" s="131"/>
      <c r="NI122" s="131"/>
      <c r="NJ122" s="131"/>
      <c r="NK122" s="131"/>
      <c r="NL122" s="131"/>
      <c r="NM122" s="131"/>
      <c r="NN122" s="131"/>
      <c r="NO122" s="131"/>
      <c r="NP122" s="131"/>
      <c r="NQ122" s="131"/>
      <c r="NR122" s="131"/>
      <c r="NS122" s="131"/>
      <c r="NT122" s="131"/>
      <c r="NU122" s="131"/>
      <c r="NV122" s="131"/>
      <c r="NW122" s="24">
        <f t="shared" si="17"/>
        <v>0</v>
      </c>
      <c r="NX122" s="56" t="s">
        <v>36</v>
      </c>
      <c r="NY122" s="127">
        <v>2539.56</v>
      </c>
      <c r="NZ122" s="78">
        <f t="shared" si="14"/>
        <v>1600</v>
      </c>
      <c r="OA122" s="78">
        <v>1502.5</v>
      </c>
      <c r="OB122" s="127">
        <f t="shared" si="12"/>
        <v>939.56</v>
      </c>
      <c r="OC122" s="153">
        <f>1000+600</f>
        <v>1600</v>
      </c>
      <c r="OD122" s="108">
        <f t="shared" si="15"/>
        <v>1.6902229617304492</v>
      </c>
      <c r="OE122" s="160"/>
    </row>
    <row r="123" spans="1:395" s="5" customFormat="1" ht="12.75" customHeight="1" x14ac:dyDescent="0.25">
      <c r="A123" s="62">
        <v>44559</v>
      </c>
      <c r="B123" s="106" t="s">
        <v>486</v>
      </c>
      <c r="C123" s="129"/>
      <c r="D123" s="129"/>
      <c r="E123" s="130"/>
      <c r="F123" s="130"/>
      <c r="G123" s="130"/>
      <c r="H123" s="130"/>
      <c r="I123" s="130"/>
      <c r="J123" s="130"/>
      <c r="K123" s="130"/>
      <c r="L123" s="130"/>
      <c r="M123" s="131"/>
      <c r="N123" s="131"/>
      <c r="O123" s="131"/>
      <c r="P123" s="131"/>
      <c r="Q123" s="131"/>
      <c r="R123" s="131"/>
      <c r="S123" s="131"/>
      <c r="T123" s="131"/>
      <c r="U123" s="131"/>
      <c r="V123" s="131"/>
      <c r="W123" s="131"/>
      <c r="X123" s="131"/>
      <c r="Y123" s="131"/>
      <c r="Z123" s="131"/>
      <c r="AA123" s="131"/>
      <c r="AB123" s="131"/>
      <c r="AC123" s="131"/>
      <c r="AD123" s="131"/>
      <c r="AE123" s="131"/>
      <c r="AF123" s="131"/>
      <c r="AG123" s="131"/>
      <c r="AH123" s="131"/>
      <c r="AI123" s="131"/>
      <c r="AJ123" s="131"/>
      <c r="AK123" s="131"/>
      <c r="AL123" s="131"/>
      <c r="AM123" s="131"/>
      <c r="AN123" s="131"/>
      <c r="AO123" s="131"/>
      <c r="AP123" s="131"/>
      <c r="AQ123" s="131"/>
      <c r="AR123" s="131"/>
      <c r="AS123" s="131"/>
      <c r="AT123" s="131"/>
      <c r="AU123" s="131"/>
      <c r="AV123" s="131"/>
      <c r="AW123" s="131"/>
      <c r="AX123" s="131"/>
      <c r="AY123" s="131"/>
      <c r="AZ123" s="131"/>
      <c r="BA123" s="131"/>
      <c r="BB123" s="131"/>
      <c r="BC123" s="131"/>
      <c r="BD123" s="131"/>
      <c r="BE123" s="131"/>
      <c r="BF123" s="131"/>
      <c r="BG123" s="131"/>
      <c r="BH123" s="131"/>
      <c r="BI123" s="131"/>
      <c r="BJ123" s="131"/>
      <c r="BK123" s="131"/>
      <c r="BL123" s="131"/>
      <c r="BM123" s="131"/>
      <c r="BN123" s="131"/>
      <c r="BO123" s="131"/>
      <c r="BP123" s="131"/>
      <c r="BQ123" s="131"/>
      <c r="BR123" s="131"/>
      <c r="BS123" s="131"/>
      <c r="BT123" s="131"/>
      <c r="BU123" s="131"/>
      <c r="BV123" s="131"/>
      <c r="BW123" s="131"/>
      <c r="BX123" s="131"/>
      <c r="BY123" s="131"/>
      <c r="BZ123" s="131"/>
      <c r="CA123" s="131"/>
      <c r="CB123" s="131"/>
      <c r="CC123" s="131"/>
      <c r="CD123" s="131"/>
      <c r="CE123" s="131"/>
      <c r="CF123" s="131"/>
      <c r="CG123" s="131"/>
      <c r="CH123" s="131"/>
      <c r="CI123" s="131"/>
      <c r="CJ123" s="131"/>
      <c r="CK123" s="131"/>
      <c r="CL123" s="131"/>
      <c r="CM123" s="131"/>
      <c r="CN123" s="131"/>
      <c r="CO123" s="131"/>
      <c r="CP123" s="131"/>
      <c r="CQ123" s="131"/>
      <c r="CR123" s="131"/>
      <c r="CS123" s="131"/>
      <c r="CT123" s="131"/>
      <c r="CU123" s="131"/>
      <c r="CV123" s="131"/>
      <c r="CW123" s="131"/>
      <c r="CX123" s="131"/>
      <c r="CY123" s="131"/>
      <c r="CZ123" s="131"/>
      <c r="DA123" s="131"/>
      <c r="DB123" s="131"/>
      <c r="DC123" s="131"/>
      <c r="DD123" s="131"/>
      <c r="DE123" s="131"/>
      <c r="DF123" s="131"/>
      <c r="DG123" s="131"/>
      <c r="DH123" s="131"/>
      <c r="DI123" s="131"/>
      <c r="DJ123" s="131"/>
      <c r="DK123" s="131"/>
      <c r="DL123" s="131"/>
      <c r="DM123" s="131"/>
      <c r="DN123" s="131"/>
      <c r="DO123" s="131"/>
      <c r="DP123" s="131"/>
      <c r="DQ123" s="131"/>
      <c r="DR123" s="131"/>
      <c r="DS123" s="131"/>
      <c r="DT123" s="131"/>
      <c r="DU123" s="131"/>
      <c r="DV123" s="131"/>
      <c r="DW123" s="131"/>
      <c r="DX123" s="131"/>
      <c r="DY123" s="131"/>
      <c r="DZ123" s="131"/>
      <c r="EA123" s="131"/>
      <c r="EB123" s="131"/>
      <c r="EC123" s="131"/>
      <c r="ED123" s="131"/>
      <c r="EE123" s="131"/>
      <c r="EF123" s="131"/>
      <c r="EG123" s="131"/>
      <c r="EH123" s="131"/>
      <c r="EI123" s="131"/>
      <c r="EJ123" s="131"/>
      <c r="EK123" s="131"/>
      <c r="EL123" s="131"/>
      <c r="EM123" s="131"/>
      <c r="EN123" s="131"/>
      <c r="EO123" s="131"/>
      <c r="EP123" s="131"/>
      <c r="EQ123" s="131"/>
      <c r="ER123" s="131"/>
      <c r="ES123" s="131"/>
      <c r="ET123" s="131"/>
      <c r="EU123" s="131"/>
      <c r="EV123" s="131"/>
      <c r="EW123" s="131"/>
      <c r="EX123" s="131"/>
      <c r="EY123" s="131"/>
      <c r="EZ123" s="131"/>
      <c r="FA123" s="131"/>
      <c r="FB123" s="131"/>
      <c r="FC123" s="131"/>
      <c r="FD123" s="131"/>
      <c r="FE123" s="131"/>
      <c r="FF123" s="131"/>
      <c r="FG123" s="131"/>
      <c r="FH123" s="131"/>
      <c r="FI123" s="131"/>
      <c r="FJ123" s="131"/>
      <c r="FK123" s="131"/>
      <c r="FL123" s="131"/>
      <c r="FM123" s="131"/>
      <c r="FN123" s="131"/>
      <c r="FO123" s="131"/>
      <c r="FP123" s="131"/>
      <c r="FQ123" s="131"/>
      <c r="FR123" s="131"/>
      <c r="FS123" s="131"/>
      <c r="FT123" s="131"/>
      <c r="FU123" s="131"/>
      <c r="FV123" s="131"/>
      <c r="FW123" s="131"/>
      <c r="FX123" s="131"/>
      <c r="FY123" s="131"/>
      <c r="FZ123" s="131"/>
      <c r="GA123" s="131"/>
      <c r="GB123" s="131"/>
      <c r="GC123" s="131"/>
      <c r="GD123" s="131"/>
      <c r="GE123" s="131"/>
      <c r="GF123" s="131"/>
      <c r="GG123" s="131"/>
      <c r="GH123" s="131"/>
      <c r="GI123" s="131"/>
      <c r="GJ123" s="131"/>
      <c r="GK123" s="131"/>
      <c r="GL123" s="131"/>
      <c r="GM123" s="131"/>
      <c r="GN123" s="131"/>
      <c r="GO123" s="131"/>
      <c r="GP123" s="131"/>
      <c r="GQ123" s="131"/>
      <c r="GR123" s="131"/>
      <c r="GS123" s="131"/>
      <c r="GT123" s="131"/>
      <c r="GU123" s="131"/>
      <c r="GV123" s="131"/>
      <c r="GW123" s="131"/>
      <c r="GX123" s="131"/>
      <c r="GY123" s="131"/>
      <c r="GZ123" s="131"/>
      <c r="HA123" s="131"/>
      <c r="HB123" s="131"/>
      <c r="HC123" s="131"/>
      <c r="HD123" s="131"/>
      <c r="HE123" s="131"/>
      <c r="HF123" s="131"/>
      <c r="HG123" s="131"/>
      <c r="HH123" s="131"/>
      <c r="HI123" s="131"/>
      <c r="HJ123" s="131"/>
      <c r="HK123" s="131"/>
      <c r="HL123" s="131"/>
      <c r="HM123" s="131"/>
      <c r="HN123" s="131"/>
      <c r="HO123" s="131"/>
      <c r="HP123" s="131"/>
      <c r="HQ123" s="131"/>
      <c r="HR123" s="131"/>
      <c r="HS123" s="131"/>
      <c r="HT123" s="131"/>
      <c r="HU123" s="131"/>
      <c r="HV123" s="131"/>
      <c r="HW123" s="131"/>
      <c r="HX123" s="131"/>
      <c r="HY123" s="131"/>
      <c r="HZ123" s="131"/>
      <c r="IA123" s="131"/>
      <c r="IB123" s="131"/>
      <c r="IC123" s="131"/>
      <c r="ID123" s="131"/>
      <c r="IE123" s="131"/>
      <c r="IF123" s="131"/>
      <c r="IG123" s="131"/>
      <c r="IH123" s="131"/>
      <c r="II123" s="131"/>
      <c r="IJ123" s="131"/>
      <c r="IK123" s="131"/>
      <c r="IL123" s="131"/>
      <c r="IM123" s="131"/>
      <c r="IN123" s="131"/>
      <c r="IO123" s="131"/>
      <c r="IP123" s="131"/>
      <c r="IQ123" s="131"/>
      <c r="IR123" s="131"/>
      <c r="IS123" s="131"/>
      <c r="IT123" s="131"/>
      <c r="IU123" s="131"/>
      <c r="IV123" s="131"/>
      <c r="IW123" s="131"/>
      <c r="IX123" s="131"/>
      <c r="IY123" s="131"/>
      <c r="IZ123" s="131"/>
      <c r="JA123" s="131"/>
      <c r="JB123" s="131"/>
      <c r="JC123" s="131"/>
      <c r="JD123" s="131"/>
      <c r="JE123" s="131"/>
      <c r="JF123" s="131"/>
      <c r="JG123" s="131"/>
      <c r="JH123" s="131"/>
      <c r="JI123" s="131"/>
      <c r="JJ123" s="131"/>
      <c r="JK123" s="131"/>
      <c r="JL123" s="131"/>
      <c r="JM123" s="131"/>
      <c r="JN123" s="131"/>
      <c r="JO123" s="131"/>
      <c r="JP123" s="131"/>
      <c r="JQ123" s="131"/>
      <c r="JR123" s="131"/>
      <c r="JS123" s="131"/>
      <c r="JT123" s="131"/>
      <c r="JU123" s="131"/>
      <c r="JV123" s="131"/>
      <c r="JW123" s="131"/>
      <c r="JX123" s="131"/>
      <c r="JY123" s="131"/>
      <c r="JZ123" s="131"/>
      <c r="KA123" s="131"/>
      <c r="KB123" s="131"/>
      <c r="KC123" s="131"/>
      <c r="KD123" s="131"/>
      <c r="KE123" s="131"/>
      <c r="KF123" s="131"/>
      <c r="KG123" s="131"/>
      <c r="KH123" s="131"/>
      <c r="KI123" s="131"/>
      <c r="KJ123" s="131"/>
      <c r="KK123" s="131"/>
      <c r="KL123" s="131"/>
      <c r="KM123" s="131"/>
      <c r="KN123" s="131"/>
      <c r="KO123" s="131"/>
      <c r="KP123" s="131"/>
      <c r="KQ123" s="131"/>
      <c r="KR123" s="131"/>
      <c r="KS123" s="131"/>
      <c r="KT123" s="131"/>
      <c r="KU123" s="131"/>
      <c r="KV123" s="131"/>
      <c r="KW123" s="131"/>
      <c r="KX123" s="131"/>
      <c r="KY123" s="131"/>
      <c r="KZ123" s="131"/>
      <c r="LA123" s="131"/>
      <c r="LB123" s="131"/>
      <c r="LC123" s="131"/>
      <c r="LD123" s="131"/>
      <c r="LE123" s="131"/>
      <c r="LF123" s="131"/>
      <c r="LG123" s="131"/>
      <c r="LH123" s="131"/>
      <c r="LI123" s="131"/>
      <c r="LJ123" s="131"/>
      <c r="LK123" s="131"/>
      <c r="LL123" s="131"/>
      <c r="LM123" s="131"/>
      <c r="LN123" s="131"/>
      <c r="LO123" s="131"/>
      <c r="LP123" s="131"/>
      <c r="LQ123" s="131"/>
      <c r="LR123" s="131"/>
      <c r="LS123" s="131"/>
      <c r="LT123" s="131"/>
      <c r="LU123" s="131"/>
      <c r="LV123" s="131"/>
      <c r="LW123" s="131"/>
      <c r="LX123" s="131"/>
      <c r="LY123" s="131"/>
      <c r="LZ123" s="131"/>
      <c r="MA123" s="131"/>
      <c r="MB123" s="131"/>
      <c r="MC123" s="131"/>
      <c r="MD123" s="131"/>
      <c r="ME123" s="131"/>
      <c r="MF123" s="131"/>
      <c r="MG123" s="131"/>
      <c r="MH123" s="131"/>
      <c r="MI123" s="131"/>
      <c r="MJ123" s="131"/>
      <c r="MK123" s="131"/>
      <c r="ML123" s="131"/>
      <c r="MM123" s="131"/>
      <c r="MN123" s="131"/>
      <c r="MO123" s="131"/>
      <c r="MP123" s="131"/>
      <c r="MQ123" s="131"/>
      <c r="MR123" s="131"/>
      <c r="MS123" s="131"/>
      <c r="MT123" s="131"/>
      <c r="MU123" s="131"/>
      <c r="MV123" s="131"/>
      <c r="MW123" s="131"/>
      <c r="MX123" s="131"/>
      <c r="MY123" s="131"/>
      <c r="MZ123" s="131"/>
      <c r="NA123" s="131"/>
      <c r="NB123" s="131"/>
      <c r="NC123" s="131"/>
      <c r="ND123" s="131"/>
      <c r="NE123" s="131"/>
      <c r="NF123" s="131"/>
      <c r="NG123" s="131"/>
      <c r="NH123" s="131"/>
      <c r="NI123" s="131"/>
      <c r="NJ123" s="131"/>
      <c r="NK123" s="131"/>
      <c r="NL123" s="131"/>
      <c r="NM123" s="131"/>
      <c r="NN123" s="131"/>
      <c r="NO123" s="131"/>
      <c r="NP123" s="131"/>
      <c r="NQ123" s="131"/>
      <c r="NR123" s="131"/>
      <c r="NS123" s="131"/>
      <c r="NT123" s="131"/>
      <c r="NU123" s="131"/>
      <c r="NV123" s="131"/>
      <c r="NW123" s="24">
        <f t="shared" si="17"/>
        <v>0</v>
      </c>
      <c r="NX123" s="56" t="s">
        <v>36</v>
      </c>
      <c r="NY123" s="127">
        <v>1689.6</v>
      </c>
      <c r="NZ123" s="78">
        <f t="shared" si="14"/>
        <v>0</v>
      </c>
      <c r="OA123" s="78">
        <v>1053.8</v>
      </c>
      <c r="OB123" s="127">
        <f t="shared" si="12"/>
        <v>1689.6</v>
      </c>
      <c r="OC123" s="153"/>
      <c r="OD123" s="108">
        <f t="shared" si="15"/>
        <v>1.6033402922755742</v>
      </c>
      <c r="OE123" s="160" t="s">
        <v>560</v>
      </c>
    </row>
    <row r="124" spans="1:395" s="5" customFormat="1" ht="12.75" customHeight="1" x14ac:dyDescent="0.25">
      <c r="A124" s="62">
        <v>44559</v>
      </c>
      <c r="B124" s="106" t="s">
        <v>45</v>
      </c>
      <c r="C124" s="129"/>
      <c r="D124" s="129"/>
      <c r="E124" s="130"/>
      <c r="F124" s="130"/>
      <c r="G124" s="130"/>
      <c r="H124" s="130"/>
      <c r="I124" s="130"/>
      <c r="J124" s="130"/>
      <c r="K124" s="130"/>
      <c r="L124" s="130"/>
      <c r="M124" s="131"/>
      <c r="N124" s="131"/>
      <c r="O124" s="131"/>
      <c r="P124" s="131"/>
      <c r="Q124" s="131"/>
      <c r="R124" s="131"/>
      <c r="S124" s="131"/>
      <c r="T124" s="131"/>
      <c r="U124" s="131"/>
      <c r="V124" s="131"/>
      <c r="W124" s="131"/>
      <c r="X124" s="131"/>
      <c r="Y124" s="131"/>
      <c r="Z124" s="131"/>
      <c r="AA124" s="131"/>
      <c r="AB124" s="131"/>
      <c r="AC124" s="131"/>
      <c r="AD124" s="131"/>
      <c r="AE124" s="131"/>
      <c r="AF124" s="131"/>
      <c r="AG124" s="131"/>
      <c r="AH124" s="131"/>
      <c r="AI124" s="131"/>
      <c r="AJ124" s="131"/>
      <c r="AK124" s="131"/>
      <c r="AL124" s="131"/>
      <c r="AM124" s="131"/>
      <c r="AN124" s="131"/>
      <c r="AO124" s="131"/>
      <c r="AP124" s="131"/>
      <c r="AQ124" s="131"/>
      <c r="AR124" s="131"/>
      <c r="AS124" s="131"/>
      <c r="AT124" s="131"/>
      <c r="AU124" s="131"/>
      <c r="AV124" s="131"/>
      <c r="AW124" s="131"/>
      <c r="AX124" s="131"/>
      <c r="AY124" s="131"/>
      <c r="AZ124" s="131"/>
      <c r="BA124" s="131"/>
      <c r="BB124" s="131"/>
      <c r="BC124" s="131"/>
      <c r="BD124" s="131"/>
      <c r="BE124" s="131"/>
      <c r="BF124" s="131"/>
      <c r="BG124" s="131"/>
      <c r="BH124" s="131"/>
      <c r="BI124" s="131"/>
      <c r="BJ124" s="131"/>
      <c r="BK124" s="131"/>
      <c r="BL124" s="131"/>
      <c r="BM124" s="131"/>
      <c r="BN124" s="131"/>
      <c r="BO124" s="131"/>
      <c r="BP124" s="131"/>
      <c r="BQ124" s="131"/>
      <c r="BR124" s="131"/>
      <c r="BS124" s="131"/>
      <c r="BT124" s="131"/>
      <c r="BU124" s="131"/>
      <c r="BV124" s="131"/>
      <c r="BW124" s="131"/>
      <c r="BX124" s="131"/>
      <c r="BY124" s="131"/>
      <c r="BZ124" s="131"/>
      <c r="CA124" s="131"/>
      <c r="CB124" s="131"/>
      <c r="CC124" s="131"/>
      <c r="CD124" s="131"/>
      <c r="CE124" s="131"/>
      <c r="CF124" s="131"/>
      <c r="CG124" s="131"/>
      <c r="CH124" s="131"/>
      <c r="CI124" s="131"/>
      <c r="CJ124" s="131"/>
      <c r="CK124" s="131"/>
      <c r="CL124" s="131"/>
      <c r="CM124" s="131"/>
      <c r="CN124" s="131"/>
      <c r="CO124" s="131"/>
      <c r="CP124" s="131"/>
      <c r="CQ124" s="131"/>
      <c r="CR124" s="131"/>
      <c r="CS124" s="131"/>
      <c r="CT124" s="131"/>
      <c r="CU124" s="131"/>
      <c r="CV124" s="131"/>
      <c r="CW124" s="131"/>
      <c r="CX124" s="131"/>
      <c r="CY124" s="131"/>
      <c r="CZ124" s="131"/>
      <c r="DA124" s="131"/>
      <c r="DB124" s="131"/>
      <c r="DC124" s="131"/>
      <c r="DD124" s="131"/>
      <c r="DE124" s="131"/>
      <c r="DF124" s="131"/>
      <c r="DG124" s="131"/>
      <c r="DH124" s="131"/>
      <c r="DI124" s="131"/>
      <c r="DJ124" s="131"/>
      <c r="DK124" s="131"/>
      <c r="DL124" s="131"/>
      <c r="DM124" s="131"/>
      <c r="DN124" s="131"/>
      <c r="DO124" s="131"/>
      <c r="DP124" s="131"/>
      <c r="DQ124" s="131"/>
      <c r="DR124" s="131"/>
      <c r="DS124" s="131"/>
      <c r="DT124" s="131"/>
      <c r="DU124" s="131"/>
      <c r="DV124" s="131"/>
      <c r="DW124" s="131"/>
      <c r="DX124" s="131"/>
      <c r="DY124" s="131"/>
      <c r="DZ124" s="131"/>
      <c r="EA124" s="131"/>
      <c r="EB124" s="131"/>
      <c r="EC124" s="131"/>
      <c r="ED124" s="131"/>
      <c r="EE124" s="131"/>
      <c r="EF124" s="131"/>
      <c r="EG124" s="131"/>
      <c r="EH124" s="131"/>
      <c r="EI124" s="131"/>
      <c r="EJ124" s="131"/>
      <c r="EK124" s="131"/>
      <c r="EL124" s="131"/>
      <c r="EM124" s="131"/>
      <c r="EN124" s="131"/>
      <c r="EO124" s="131"/>
      <c r="EP124" s="131"/>
      <c r="EQ124" s="131"/>
      <c r="ER124" s="131"/>
      <c r="ES124" s="131"/>
      <c r="ET124" s="131"/>
      <c r="EU124" s="131"/>
      <c r="EV124" s="131"/>
      <c r="EW124" s="131"/>
      <c r="EX124" s="131"/>
      <c r="EY124" s="131"/>
      <c r="EZ124" s="131"/>
      <c r="FA124" s="131"/>
      <c r="FB124" s="131"/>
      <c r="FC124" s="131"/>
      <c r="FD124" s="131"/>
      <c r="FE124" s="131"/>
      <c r="FF124" s="131"/>
      <c r="FG124" s="131"/>
      <c r="FH124" s="131"/>
      <c r="FI124" s="131"/>
      <c r="FJ124" s="131"/>
      <c r="FK124" s="131"/>
      <c r="FL124" s="131"/>
      <c r="FM124" s="131"/>
      <c r="FN124" s="131"/>
      <c r="FO124" s="131"/>
      <c r="FP124" s="131"/>
      <c r="FQ124" s="131"/>
      <c r="FR124" s="131"/>
      <c r="FS124" s="131"/>
      <c r="FT124" s="131"/>
      <c r="FU124" s="131"/>
      <c r="FV124" s="131"/>
      <c r="FW124" s="131"/>
      <c r="FX124" s="131"/>
      <c r="FY124" s="131"/>
      <c r="FZ124" s="131"/>
      <c r="GA124" s="131"/>
      <c r="GB124" s="131"/>
      <c r="GC124" s="131"/>
      <c r="GD124" s="131"/>
      <c r="GE124" s="131"/>
      <c r="GF124" s="131"/>
      <c r="GG124" s="131"/>
      <c r="GH124" s="131"/>
      <c r="GI124" s="131"/>
      <c r="GJ124" s="131"/>
      <c r="GK124" s="131"/>
      <c r="GL124" s="131"/>
      <c r="GM124" s="131"/>
      <c r="GN124" s="131"/>
      <c r="GO124" s="131"/>
      <c r="GP124" s="131"/>
      <c r="GQ124" s="131"/>
      <c r="GR124" s="131"/>
      <c r="GS124" s="131"/>
      <c r="GT124" s="131"/>
      <c r="GU124" s="131"/>
      <c r="GV124" s="131"/>
      <c r="GW124" s="131"/>
      <c r="GX124" s="131"/>
      <c r="GY124" s="131"/>
      <c r="GZ124" s="131"/>
      <c r="HA124" s="131"/>
      <c r="HB124" s="131"/>
      <c r="HC124" s="131"/>
      <c r="HD124" s="131"/>
      <c r="HE124" s="131"/>
      <c r="HF124" s="131"/>
      <c r="HG124" s="131"/>
      <c r="HH124" s="131"/>
      <c r="HI124" s="131"/>
      <c r="HJ124" s="131"/>
      <c r="HK124" s="131"/>
      <c r="HL124" s="131"/>
      <c r="HM124" s="131"/>
      <c r="HN124" s="131"/>
      <c r="HO124" s="131"/>
      <c r="HP124" s="131"/>
      <c r="HQ124" s="131"/>
      <c r="HR124" s="131"/>
      <c r="HS124" s="131"/>
      <c r="HT124" s="131"/>
      <c r="HU124" s="131"/>
      <c r="HV124" s="131"/>
      <c r="HW124" s="131"/>
      <c r="HX124" s="131"/>
      <c r="HY124" s="131"/>
      <c r="HZ124" s="131"/>
      <c r="IA124" s="131"/>
      <c r="IB124" s="131"/>
      <c r="IC124" s="131"/>
      <c r="ID124" s="131"/>
      <c r="IE124" s="131"/>
      <c r="IF124" s="131"/>
      <c r="IG124" s="131"/>
      <c r="IH124" s="131"/>
      <c r="II124" s="131"/>
      <c r="IJ124" s="131"/>
      <c r="IK124" s="131"/>
      <c r="IL124" s="131"/>
      <c r="IM124" s="131"/>
      <c r="IN124" s="131"/>
      <c r="IO124" s="131"/>
      <c r="IP124" s="131"/>
      <c r="IQ124" s="131"/>
      <c r="IR124" s="131"/>
      <c r="IS124" s="131"/>
      <c r="IT124" s="131"/>
      <c r="IU124" s="131"/>
      <c r="IV124" s="131"/>
      <c r="IW124" s="131"/>
      <c r="IX124" s="131"/>
      <c r="IY124" s="131"/>
      <c r="IZ124" s="131"/>
      <c r="JA124" s="131"/>
      <c r="JB124" s="131"/>
      <c r="JC124" s="131"/>
      <c r="JD124" s="131"/>
      <c r="JE124" s="131"/>
      <c r="JF124" s="131"/>
      <c r="JG124" s="131"/>
      <c r="JH124" s="131"/>
      <c r="JI124" s="131"/>
      <c r="JJ124" s="131"/>
      <c r="JK124" s="131"/>
      <c r="JL124" s="131"/>
      <c r="JM124" s="131"/>
      <c r="JN124" s="131"/>
      <c r="JO124" s="131"/>
      <c r="JP124" s="131"/>
      <c r="JQ124" s="131"/>
      <c r="JR124" s="131"/>
      <c r="JS124" s="131"/>
      <c r="JT124" s="131"/>
      <c r="JU124" s="131"/>
      <c r="JV124" s="131"/>
      <c r="JW124" s="131"/>
      <c r="JX124" s="131"/>
      <c r="JY124" s="131"/>
      <c r="JZ124" s="131"/>
      <c r="KA124" s="131"/>
      <c r="KB124" s="131"/>
      <c r="KC124" s="131"/>
      <c r="KD124" s="131"/>
      <c r="KE124" s="131"/>
      <c r="KF124" s="131"/>
      <c r="KG124" s="131"/>
      <c r="KH124" s="131"/>
      <c r="KI124" s="131"/>
      <c r="KJ124" s="131"/>
      <c r="KK124" s="131"/>
      <c r="KL124" s="131"/>
      <c r="KM124" s="131"/>
      <c r="KN124" s="131"/>
      <c r="KO124" s="131"/>
      <c r="KP124" s="131"/>
      <c r="KQ124" s="131"/>
      <c r="KR124" s="131"/>
      <c r="KS124" s="131"/>
      <c r="KT124" s="131"/>
      <c r="KU124" s="131"/>
      <c r="KV124" s="131"/>
      <c r="KW124" s="131"/>
      <c r="KX124" s="131"/>
      <c r="KY124" s="131"/>
      <c r="KZ124" s="131"/>
      <c r="LA124" s="131"/>
      <c r="LB124" s="131"/>
      <c r="LC124" s="131"/>
      <c r="LD124" s="131"/>
      <c r="LE124" s="131"/>
      <c r="LF124" s="131"/>
      <c r="LG124" s="131"/>
      <c r="LH124" s="131"/>
      <c r="LI124" s="131"/>
      <c r="LJ124" s="131"/>
      <c r="LK124" s="131"/>
      <c r="LL124" s="131"/>
      <c r="LM124" s="131"/>
      <c r="LN124" s="131"/>
      <c r="LO124" s="131"/>
      <c r="LP124" s="131"/>
      <c r="LQ124" s="131"/>
      <c r="LR124" s="131"/>
      <c r="LS124" s="131"/>
      <c r="LT124" s="131"/>
      <c r="LU124" s="131"/>
      <c r="LV124" s="131"/>
      <c r="LW124" s="131"/>
      <c r="LX124" s="131"/>
      <c r="LY124" s="131"/>
      <c r="LZ124" s="131"/>
      <c r="MA124" s="131"/>
      <c r="MB124" s="131"/>
      <c r="MC124" s="131"/>
      <c r="MD124" s="131"/>
      <c r="ME124" s="131"/>
      <c r="MF124" s="131"/>
      <c r="MG124" s="131"/>
      <c r="MH124" s="131"/>
      <c r="MI124" s="131"/>
      <c r="MJ124" s="131"/>
      <c r="MK124" s="131"/>
      <c r="ML124" s="131"/>
      <c r="MM124" s="131"/>
      <c r="MN124" s="131"/>
      <c r="MO124" s="131"/>
      <c r="MP124" s="131"/>
      <c r="MQ124" s="131"/>
      <c r="MR124" s="131"/>
      <c r="MS124" s="131"/>
      <c r="MT124" s="131"/>
      <c r="MU124" s="131"/>
      <c r="MV124" s="131"/>
      <c r="MW124" s="131"/>
      <c r="MX124" s="131"/>
      <c r="MY124" s="131"/>
      <c r="MZ124" s="131"/>
      <c r="NA124" s="131"/>
      <c r="NB124" s="131"/>
      <c r="NC124" s="131"/>
      <c r="ND124" s="131"/>
      <c r="NE124" s="131"/>
      <c r="NF124" s="131"/>
      <c r="NG124" s="131"/>
      <c r="NH124" s="131"/>
      <c r="NI124" s="131"/>
      <c r="NJ124" s="131"/>
      <c r="NK124" s="131"/>
      <c r="NL124" s="131"/>
      <c r="NM124" s="131"/>
      <c r="NN124" s="131"/>
      <c r="NO124" s="131"/>
      <c r="NP124" s="131"/>
      <c r="NQ124" s="131"/>
      <c r="NR124" s="131"/>
      <c r="NS124" s="131"/>
      <c r="NT124" s="131"/>
      <c r="NU124" s="131"/>
      <c r="NV124" s="131"/>
      <c r="NW124" s="24">
        <f t="shared" si="17"/>
        <v>0</v>
      </c>
      <c r="NX124" s="56" t="s">
        <v>36</v>
      </c>
      <c r="NY124" s="127">
        <v>7930.66</v>
      </c>
      <c r="NZ124" s="78">
        <f t="shared" si="14"/>
        <v>0</v>
      </c>
      <c r="OA124" s="78">
        <v>4460.1000000000004</v>
      </c>
      <c r="OB124" s="127">
        <f t="shared" si="12"/>
        <v>7930.66</v>
      </c>
      <c r="OC124" s="153"/>
      <c r="OD124" s="108">
        <f t="shared" si="15"/>
        <v>1.7781350193941838</v>
      </c>
      <c r="OE124" s="160" t="s">
        <v>562</v>
      </c>
    </row>
    <row r="125" spans="1:395" s="5" customFormat="1" ht="12.75" customHeight="1" x14ac:dyDescent="0.25">
      <c r="A125" s="62">
        <v>44560</v>
      </c>
      <c r="B125" s="116" t="s">
        <v>363</v>
      </c>
      <c r="C125" s="129"/>
      <c r="D125" s="129"/>
      <c r="E125" s="130"/>
      <c r="F125" s="130"/>
      <c r="G125" s="130"/>
      <c r="H125" s="130"/>
      <c r="I125" s="130"/>
      <c r="J125" s="130"/>
      <c r="K125" s="130"/>
      <c r="L125" s="130"/>
      <c r="M125" s="131"/>
      <c r="N125" s="131"/>
      <c r="O125" s="131"/>
      <c r="P125" s="131"/>
      <c r="Q125" s="131"/>
      <c r="R125" s="131"/>
      <c r="S125" s="131"/>
      <c r="T125" s="131"/>
      <c r="U125" s="131"/>
      <c r="V125" s="131"/>
      <c r="W125" s="131"/>
      <c r="X125" s="131"/>
      <c r="Y125" s="131"/>
      <c r="Z125" s="131"/>
      <c r="AA125" s="131"/>
      <c r="AB125" s="131"/>
      <c r="AC125" s="131"/>
      <c r="AD125" s="131"/>
      <c r="AE125" s="131"/>
      <c r="AF125" s="131"/>
      <c r="AG125" s="131"/>
      <c r="AH125" s="131"/>
      <c r="AI125" s="131"/>
      <c r="AJ125" s="131"/>
      <c r="AK125" s="131"/>
      <c r="AL125" s="131"/>
      <c r="AM125" s="131"/>
      <c r="AN125" s="131"/>
      <c r="AO125" s="131"/>
      <c r="AP125" s="131"/>
      <c r="AQ125" s="131"/>
      <c r="AR125" s="131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1"/>
      <c r="BD125" s="131"/>
      <c r="BE125" s="131"/>
      <c r="BF125" s="131"/>
      <c r="BG125" s="131"/>
      <c r="BH125" s="131"/>
      <c r="BI125" s="131"/>
      <c r="BJ125" s="131"/>
      <c r="BK125" s="131"/>
      <c r="BL125" s="131"/>
      <c r="BM125" s="131"/>
      <c r="BN125" s="131"/>
      <c r="BO125" s="131"/>
      <c r="BP125" s="131"/>
      <c r="BQ125" s="131"/>
      <c r="BR125" s="131"/>
      <c r="BS125" s="131"/>
      <c r="BT125" s="131"/>
      <c r="BU125" s="131"/>
      <c r="BV125" s="131"/>
      <c r="BW125" s="131"/>
      <c r="BX125" s="131"/>
      <c r="BY125" s="131"/>
      <c r="BZ125" s="131"/>
      <c r="CA125" s="131"/>
      <c r="CB125" s="131"/>
      <c r="CC125" s="131"/>
      <c r="CD125" s="131"/>
      <c r="CE125" s="131"/>
      <c r="CF125" s="131"/>
      <c r="CG125" s="131"/>
      <c r="CH125" s="131"/>
      <c r="CI125" s="131"/>
      <c r="CJ125" s="131"/>
      <c r="CK125" s="131"/>
      <c r="CL125" s="131"/>
      <c r="CM125" s="131"/>
      <c r="CN125" s="131"/>
      <c r="CO125" s="131"/>
      <c r="CP125" s="131"/>
      <c r="CQ125" s="131"/>
      <c r="CR125" s="131"/>
      <c r="CS125" s="131"/>
      <c r="CT125" s="131"/>
      <c r="CU125" s="131"/>
      <c r="CV125" s="131"/>
      <c r="CW125" s="131"/>
      <c r="CX125" s="131"/>
      <c r="CY125" s="131"/>
      <c r="CZ125" s="131"/>
      <c r="DA125" s="131"/>
      <c r="DB125" s="131"/>
      <c r="DC125" s="131"/>
      <c r="DD125" s="131"/>
      <c r="DE125" s="131"/>
      <c r="DF125" s="131"/>
      <c r="DG125" s="131"/>
      <c r="DH125" s="131"/>
      <c r="DI125" s="131"/>
      <c r="DJ125" s="131"/>
      <c r="DK125" s="131"/>
      <c r="DL125" s="131"/>
      <c r="DM125" s="131"/>
      <c r="DN125" s="131"/>
      <c r="DO125" s="131"/>
      <c r="DP125" s="131"/>
      <c r="DQ125" s="131"/>
      <c r="DR125" s="131"/>
      <c r="DS125" s="131"/>
      <c r="DT125" s="131"/>
      <c r="DU125" s="131"/>
      <c r="DV125" s="131"/>
      <c r="DW125" s="131"/>
      <c r="DX125" s="131"/>
      <c r="DY125" s="131"/>
      <c r="DZ125" s="131"/>
      <c r="EA125" s="131"/>
      <c r="EB125" s="131"/>
      <c r="EC125" s="131"/>
      <c r="ED125" s="131"/>
      <c r="EE125" s="131"/>
      <c r="EF125" s="131"/>
      <c r="EG125" s="131"/>
      <c r="EH125" s="131"/>
      <c r="EI125" s="131"/>
      <c r="EJ125" s="131"/>
      <c r="EK125" s="131"/>
      <c r="EL125" s="131"/>
      <c r="EM125" s="131"/>
      <c r="EN125" s="131"/>
      <c r="EO125" s="131"/>
      <c r="EP125" s="131"/>
      <c r="EQ125" s="131"/>
      <c r="ER125" s="131"/>
      <c r="ES125" s="131"/>
      <c r="ET125" s="131"/>
      <c r="EU125" s="131"/>
      <c r="EV125" s="131"/>
      <c r="EW125" s="131"/>
      <c r="EX125" s="131"/>
      <c r="EY125" s="131"/>
      <c r="EZ125" s="131"/>
      <c r="FA125" s="131"/>
      <c r="FB125" s="131"/>
      <c r="FC125" s="131"/>
      <c r="FD125" s="131"/>
      <c r="FE125" s="131"/>
      <c r="FF125" s="131"/>
      <c r="FG125" s="131"/>
      <c r="FH125" s="131"/>
      <c r="FI125" s="131"/>
      <c r="FJ125" s="131"/>
      <c r="FK125" s="131"/>
      <c r="FL125" s="131"/>
      <c r="FM125" s="131"/>
      <c r="FN125" s="131"/>
      <c r="FO125" s="131"/>
      <c r="FP125" s="131"/>
      <c r="FQ125" s="131"/>
      <c r="FR125" s="131"/>
      <c r="FS125" s="131"/>
      <c r="FT125" s="131"/>
      <c r="FU125" s="131"/>
      <c r="FV125" s="131"/>
      <c r="FW125" s="131"/>
      <c r="FX125" s="131"/>
      <c r="FY125" s="131"/>
      <c r="FZ125" s="131"/>
      <c r="GA125" s="131"/>
      <c r="GB125" s="131"/>
      <c r="GC125" s="131"/>
      <c r="GD125" s="131"/>
      <c r="GE125" s="131"/>
      <c r="GF125" s="131"/>
      <c r="GG125" s="131"/>
      <c r="GH125" s="131"/>
      <c r="GI125" s="131"/>
      <c r="GJ125" s="131"/>
      <c r="GK125" s="131"/>
      <c r="GL125" s="131"/>
      <c r="GM125" s="131"/>
      <c r="GN125" s="131"/>
      <c r="GO125" s="131"/>
      <c r="GP125" s="131"/>
      <c r="GQ125" s="131"/>
      <c r="GR125" s="131"/>
      <c r="GS125" s="131"/>
      <c r="GT125" s="131"/>
      <c r="GU125" s="131"/>
      <c r="GV125" s="131"/>
      <c r="GW125" s="131"/>
      <c r="GX125" s="131"/>
      <c r="GY125" s="131"/>
      <c r="GZ125" s="131"/>
      <c r="HA125" s="131"/>
      <c r="HB125" s="131"/>
      <c r="HC125" s="131"/>
      <c r="HD125" s="131"/>
      <c r="HE125" s="131"/>
      <c r="HF125" s="131"/>
      <c r="HG125" s="131"/>
      <c r="HH125" s="131"/>
      <c r="HI125" s="131"/>
      <c r="HJ125" s="131"/>
      <c r="HK125" s="131"/>
      <c r="HL125" s="131"/>
      <c r="HM125" s="131"/>
      <c r="HN125" s="131"/>
      <c r="HO125" s="131"/>
      <c r="HP125" s="131"/>
      <c r="HQ125" s="131"/>
      <c r="HR125" s="131"/>
      <c r="HS125" s="131"/>
      <c r="HT125" s="131"/>
      <c r="HU125" s="131"/>
      <c r="HV125" s="131"/>
      <c r="HW125" s="131"/>
      <c r="HX125" s="131"/>
      <c r="HY125" s="131"/>
      <c r="HZ125" s="131"/>
      <c r="IA125" s="131"/>
      <c r="IB125" s="131"/>
      <c r="IC125" s="131"/>
      <c r="ID125" s="131"/>
      <c r="IE125" s="131"/>
      <c r="IF125" s="131"/>
      <c r="IG125" s="131"/>
      <c r="IH125" s="131"/>
      <c r="II125" s="131"/>
      <c r="IJ125" s="131"/>
      <c r="IK125" s="131"/>
      <c r="IL125" s="131"/>
      <c r="IM125" s="131"/>
      <c r="IN125" s="131"/>
      <c r="IO125" s="131"/>
      <c r="IP125" s="131"/>
      <c r="IQ125" s="131"/>
      <c r="IR125" s="131"/>
      <c r="IS125" s="131"/>
      <c r="IT125" s="131"/>
      <c r="IU125" s="131"/>
      <c r="IV125" s="131"/>
      <c r="IW125" s="131"/>
      <c r="IX125" s="131"/>
      <c r="IY125" s="131"/>
      <c r="IZ125" s="131"/>
      <c r="JA125" s="131"/>
      <c r="JB125" s="131"/>
      <c r="JC125" s="131"/>
      <c r="JD125" s="131"/>
      <c r="JE125" s="131"/>
      <c r="JF125" s="131"/>
      <c r="JG125" s="131"/>
      <c r="JH125" s="131"/>
      <c r="JI125" s="131"/>
      <c r="JJ125" s="131"/>
      <c r="JK125" s="131"/>
      <c r="JL125" s="131"/>
      <c r="JM125" s="131"/>
      <c r="JN125" s="131"/>
      <c r="JO125" s="131"/>
      <c r="JP125" s="131"/>
      <c r="JQ125" s="131"/>
      <c r="JR125" s="131"/>
      <c r="JS125" s="131"/>
      <c r="JT125" s="131"/>
      <c r="JU125" s="131"/>
      <c r="JV125" s="131"/>
      <c r="JW125" s="131"/>
      <c r="JX125" s="131"/>
      <c r="JY125" s="131"/>
      <c r="JZ125" s="131"/>
      <c r="KA125" s="131"/>
      <c r="KB125" s="131"/>
      <c r="KC125" s="131"/>
      <c r="KD125" s="131"/>
      <c r="KE125" s="131"/>
      <c r="KF125" s="131"/>
      <c r="KG125" s="131"/>
      <c r="KH125" s="131"/>
      <c r="KI125" s="131"/>
      <c r="KJ125" s="131"/>
      <c r="KK125" s="131"/>
      <c r="KL125" s="131"/>
      <c r="KM125" s="131"/>
      <c r="KN125" s="131"/>
      <c r="KO125" s="131"/>
      <c r="KP125" s="131"/>
      <c r="KQ125" s="131"/>
      <c r="KR125" s="131"/>
      <c r="KS125" s="131"/>
      <c r="KT125" s="131"/>
      <c r="KU125" s="131"/>
      <c r="KV125" s="131"/>
      <c r="KW125" s="131"/>
      <c r="KX125" s="131"/>
      <c r="KY125" s="131"/>
      <c r="KZ125" s="131"/>
      <c r="LA125" s="131"/>
      <c r="LB125" s="131"/>
      <c r="LC125" s="131"/>
      <c r="LD125" s="131"/>
      <c r="LE125" s="131"/>
      <c r="LF125" s="131"/>
      <c r="LG125" s="131"/>
      <c r="LH125" s="131"/>
      <c r="LI125" s="131"/>
      <c r="LJ125" s="131"/>
      <c r="LK125" s="131"/>
      <c r="LL125" s="131"/>
      <c r="LM125" s="131"/>
      <c r="LN125" s="131"/>
      <c r="LO125" s="131"/>
      <c r="LP125" s="131"/>
      <c r="LQ125" s="131"/>
      <c r="LR125" s="131"/>
      <c r="LS125" s="131"/>
      <c r="LT125" s="131"/>
      <c r="LU125" s="131"/>
      <c r="LV125" s="131"/>
      <c r="LW125" s="131"/>
      <c r="LX125" s="131"/>
      <c r="LY125" s="131"/>
      <c r="LZ125" s="131"/>
      <c r="MA125" s="131"/>
      <c r="MB125" s="131"/>
      <c r="MC125" s="131"/>
      <c r="MD125" s="131"/>
      <c r="ME125" s="131"/>
      <c r="MF125" s="131"/>
      <c r="MG125" s="131"/>
      <c r="MH125" s="131"/>
      <c r="MI125" s="131"/>
      <c r="MJ125" s="131"/>
      <c r="MK125" s="131"/>
      <c r="ML125" s="131"/>
      <c r="MM125" s="131"/>
      <c r="MN125" s="131"/>
      <c r="MO125" s="131"/>
      <c r="MP125" s="131"/>
      <c r="MQ125" s="131"/>
      <c r="MR125" s="131"/>
      <c r="MS125" s="131"/>
      <c r="MT125" s="131"/>
      <c r="MU125" s="131"/>
      <c r="MV125" s="131"/>
      <c r="MW125" s="131"/>
      <c r="MX125" s="131"/>
      <c r="MY125" s="131"/>
      <c r="MZ125" s="131"/>
      <c r="NA125" s="131"/>
      <c r="NB125" s="131"/>
      <c r="NC125" s="131"/>
      <c r="ND125" s="131"/>
      <c r="NE125" s="131"/>
      <c r="NF125" s="131"/>
      <c r="NG125" s="131"/>
      <c r="NH125" s="131"/>
      <c r="NI125" s="131"/>
      <c r="NJ125" s="131"/>
      <c r="NK125" s="131"/>
      <c r="NL125" s="131"/>
      <c r="NM125" s="131"/>
      <c r="NN125" s="131"/>
      <c r="NO125" s="131"/>
      <c r="NP125" s="131"/>
      <c r="NQ125" s="131"/>
      <c r="NR125" s="131"/>
      <c r="NS125" s="131"/>
      <c r="NT125" s="131"/>
      <c r="NU125" s="131"/>
      <c r="NV125" s="131"/>
      <c r="NW125" s="24">
        <f t="shared" si="17"/>
        <v>0</v>
      </c>
      <c r="NX125" s="56" t="s">
        <v>72</v>
      </c>
      <c r="NY125" s="127">
        <v>1212.3399999999999</v>
      </c>
      <c r="NZ125" s="78">
        <f t="shared" si="14"/>
        <v>0</v>
      </c>
      <c r="OA125" s="78">
        <v>813.46</v>
      </c>
      <c r="OB125" s="127">
        <f t="shared" si="12"/>
        <v>1212.3399999999999</v>
      </c>
      <c r="OC125" s="153"/>
      <c r="OD125" s="108">
        <f t="shared" si="15"/>
        <v>1.490349863545841</v>
      </c>
      <c r="OE125" s="160" t="s">
        <v>526</v>
      </c>
    </row>
    <row r="126" spans="1:395" s="5" customFormat="1" ht="12.75" hidden="1" customHeight="1" x14ac:dyDescent="0.25">
      <c r="A126" s="62">
        <v>44560</v>
      </c>
      <c r="B126" s="106" t="s">
        <v>80</v>
      </c>
      <c r="C126" s="129"/>
      <c r="D126" s="129"/>
      <c r="E126" s="130"/>
      <c r="F126" s="130"/>
      <c r="G126" s="130"/>
      <c r="H126" s="130"/>
      <c r="I126" s="130"/>
      <c r="J126" s="130"/>
      <c r="K126" s="130"/>
      <c r="L126" s="130"/>
      <c r="M126" s="131"/>
      <c r="N126" s="131"/>
      <c r="O126" s="131"/>
      <c r="P126" s="131"/>
      <c r="Q126" s="131"/>
      <c r="R126" s="131"/>
      <c r="S126" s="131"/>
      <c r="T126" s="131"/>
      <c r="U126" s="131"/>
      <c r="V126" s="131"/>
      <c r="W126" s="131"/>
      <c r="X126" s="131"/>
      <c r="Y126" s="131"/>
      <c r="Z126" s="131"/>
      <c r="AA126" s="131"/>
      <c r="AB126" s="131"/>
      <c r="AC126" s="131"/>
      <c r="AD126" s="131"/>
      <c r="AE126" s="131"/>
      <c r="AF126" s="131"/>
      <c r="AG126" s="131"/>
      <c r="AH126" s="131"/>
      <c r="AI126" s="131"/>
      <c r="AJ126" s="131"/>
      <c r="AK126" s="131"/>
      <c r="AL126" s="131"/>
      <c r="AM126" s="131"/>
      <c r="AN126" s="131"/>
      <c r="AO126" s="131"/>
      <c r="AP126" s="131"/>
      <c r="AQ126" s="131"/>
      <c r="AR126" s="131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1"/>
      <c r="BD126" s="131"/>
      <c r="BE126" s="131"/>
      <c r="BF126" s="131"/>
      <c r="BG126" s="131"/>
      <c r="BH126" s="131"/>
      <c r="BI126" s="131"/>
      <c r="BJ126" s="131"/>
      <c r="BK126" s="131"/>
      <c r="BL126" s="131"/>
      <c r="BM126" s="131"/>
      <c r="BN126" s="131"/>
      <c r="BO126" s="131"/>
      <c r="BP126" s="131"/>
      <c r="BQ126" s="131"/>
      <c r="BR126" s="131"/>
      <c r="BS126" s="131"/>
      <c r="BT126" s="131"/>
      <c r="BU126" s="131"/>
      <c r="BV126" s="131"/>
      <c r="BW126" s="131"/>
      <c r="BX126" s="131"/>
      <c r="BY126" s="131"/>
      <c r="BZ126" s="131"/>
      <c r="CA126" s="131"/>
      <c r="CB126" s="131"/>
      <c r="CC126" s="131"/>
      <c r="CD126" s="131"/>
      <c r="CE126" s="131"/>
      <c r="CF126" s="131"/>
      <c r="CG126" s="131"/>
      <c r="CH126" s="131"/>
      <c r="CI126" s="131"/>
      <c r="CJ126" s="131"/>
      <c r="CK126" s="131"/>
      <c r="CL126" s="131"/>
      <c r="CM126" s="131"/>
      <c r="CN126" s="131"/>
      <c r="CO126" s="131"/>
      <c r="CP126" s="131"/>
      <c r="CQ126" s="131"/>
      <c r="CR126" s="131"/>
      <c r="CS126" s="131"/>
      <c r="CT126" s="131"/>
      <c r="CU126" s="131"/>
      <c r="CV126" s="131"/>
      <c r="CW126" s="131"/>
      <c r="CX126" s="131"/>
      <c r="CY126" s="131"/>
      <c r="CZ126" s="131"/>
      <c r="DA126" s="131"/>
      <c r="DB126" s="131"/>
      <c r="DC126" s="131"/>
      <c r="DD126" s="131"/>
      <c r="DE126" s="131"/>
      <c r="DF126" s="131"/>
      <c r="DG126" s="131"/>
      <c r="DH126" s="131"/>
      <c r="DI126" s="131"/>
      <c r="DJ126" s="131"/>
      <c r="DK126" s="131"/>
      <c r="DL126" s="131"/>
      <c r="DM126" s="131"/>
      <c r="DN126" s="131"/>
      <c r="DO126" s="131"/>
      <c r="DP126" s="131"/>
      <c r="DQ126" s="131"/>
      <c r="DR126" s="131"/>
      <c r="DS126" s="131"/>
      <c r="DT126" s="131"/>
      <c r="DU126" s="131"/>
      <c r="DV126" s="131"/>
      <c r="DW126" s="131"/>
      <c r="DX126" s="131"/>
      <c r="DY126" s="131"/>
      <c r="DZ126" s="131"/>
      <c r="EA126" s="131"/>
      <c r="EB126" s="131"/>
      <c r="EC126" s="131"/>
      <c r="ED126" s="131"/>
      <c r="EE126" s="131"/>
      <c r="EF126" s="131"/>
      <c r="EG126" s="131"/>
      <c r="EH126" s="131"/>
      <c r="EI126" s="131"/>
      <c r="EJ126" s="131"/>
      <c r="EK126" s="131"/>
      <c r="EL126" s="131"/>
      <c r="EM126" s="131"/>
      <c r="EN126" s="131"/>
      <c r="EO126" s="131"/>
      <c r="EP126" s="131"/>
      <c r="EQ126" s="131"/>
      <c r="ER126" s="131"/>
      <c r="ES126" s="131"/>
      <c r="ET126" s="131"/>
      <c r="EU126" s="131"/>
      <c r="EV126" s="131"/>
      <c r="EW126" s="131"/>
      <c r="EX126" s="131"/>
      <c r="EY126" s="131"/>
      <c r="EZ126" s="131"/>
      <c r="FA126" s="131"/>
      <c r="FB126" s="131"/>
      <c r="FC126" s="131"/>
      <c r="FD126" s="131"/>
      <c r="FE126" s="131"/>
      <c r="FF126" s="131"/>
      <c r="FG126" s="131"/>
      <c r="FH126" s="131"/>
      <c r="FI126" s="131"/>
      <c r="FJ126" s="131"/>
      <c r="FK126" s="131"/>
      <c r="FL126" s="131"/>
      <c r="FM126" s="131"/>
      <c r="FN126" s="131"/>
      <c r="FO126" s="131"/>
      <c r="FP126" s="131"/>
      <c r="FQ126" s="131"/>
      <c r="FR126" s="131"/>
      <c r="FS126" s="131"/>
      <c r="FT126" s="131"/>
      <c r="FU126" s="131"/>
      <c r="FV126" s="131"/>
      <c r="FW126" s="131"/>
      <c r="FX126" s="131"/>
      <c r="FY126" s="131"/>
      <c r="FZ126" s="131"/>
      <c r="GA126" s="131"/>
      <c r="GB126" s="131"/>
      <c r="GC126" s="131"/>
      <c r="GD126" s="131"/>
      <c r="GE126" s="131"/>
      <c r="GF126" s="131"/>
      <c r="GG126" s="131"/>
      <c r="GH126" s="131"/>
      <c r="GI126" s="131"/>
      <c r="GJ126" s="131"/>
      <c r="GK126" s="131"/>
      <c r="GL126" s="131"/>
      <c r="GM126" s="131"/>
      <c r="GN126" s="131"/>
      <c r="GO126" s="131"/>
      <c r="GP126" s="131"/>
      <c r="GQ126" s="131"/>
      <c r="GR126" s="131"/>
      <c r="GS126" s="131"/>
      <c r="GT126" s="131"/>
      <c r="GU126" s="131"/>
      <c r="GV126" s="131"/>
      <c r="GW126" s="131"/>
      <c r="GX126" s="131"/>
      <c r="GY126" s="131"/>
      <c r="GZ126" s="131"/>
      <c r="HA126" s="131"/>
      <c r="HB126" s="131"/>
      <c r="HC126" s="131"/>
      <c r="HD126" s="131"/>
      <c r="HE126" s="131"/>
      <c r="HF126" s="131"/>
      <c r="HG126" s="131"/>
      <c r="HH126" s="131"/>
      <c r="HI126" s="131"/>
      <c r="HJ126" s="131"/>
      <c r="HK126" s="131"/>
      <c r="HL126" s="131"/>
      <c r="HM126" s="131"/>
      <c r="HN126" s="131"/>
      <c r="HO126" s="131"/>
      <c r="HP126" s="131"/>
      <c r="HQ126" s="131"/>
      <c r="HR126" s="131"/>
      <c r="HS126" s="131"/>
      <c r="HT126" s="131"/>
      <c r="HU126" s="131"/>
      <c r="HV126" s="131"/>
      <c r="HW126" s="131"/>
      <c r="HX126" s="131"/>
      <c r="HY126" s="131"/>
      <c r="HZ126" s="131"/>
      <c r="IA126" s="131"/>
      <c r="IB126" s="131"/>
      <c r="IC126" s="131"/>
      <c r="ID126" s="131"/>
      <c r="IE126" s="131"/>
      <c r="IF126" s="131"/>
      <c r="IG126" s="131"/>
      <c r="IH126" s="131"/>
      <c r="II126" s="131"/>
      <c r="IJ126" s="131"/>
      <c r="IK126" s="131"/>
      <c r="IL126" s="131"/>
      <c r="IM126" s="131"/>
      <c r="IN126" s="131"/>
      <c r="IO126" s="131"/>
      <c r="IP126" s="131"/>
      <c r="IQ126" s="131"/>
      <c r="IR126" s="131"/>
      <c r="IS126" s="131"/>
      <c r="IT126" s="131"/>
      <c r="IU126" s="131"/>
      <c r="IV126" s="131"/>
      <c r="IW126" s="131"/>
      <c r="IX126" s="131"/>
      <c r="IY126" s="131"/>
      <c r="IZ126" s="131"/>
      <c r="JA126" s="131"/>
      <c r="JB126" s="131"/>
      <c r="JC126" s="131"/>
      <c r="JD126" s="131"/>
      <c r="JE126" s="131"/>
      <c r="JF126" s="131"/>
      <c r="JG126" s="131"/>
      <c r="JH126" s="131"/>
      <c r="JI126" s="131"/>
      <c r="JJ126" s="131"/>
      <c r="JK126" s="131"/>
      <c r="JL126" s="131"/>
      <c r="JM126" s="131"/>
      <c r="JN126" s="131"/>
      <c r="JO126" s="131"/>
      <c r="JP126" s="131"/>
      <c r="JQ126" s="131"/>
      <c r="JR126" s="131"/>
      <c r="JS126" s="131"/>
      <c r="JT126" s="131"/>
      <c r="JU126" s="131"/>
      <c r="JV126" s="131"/>
      <c r="JW126" s="131"/>
      <c r="JX126" s="131"/>
      <c r="JY126" s="131"/>
      <c r="JZ126" s="131"/>
      <c r="KA126" s="131"/>
      <c r="KB126" s="131"/>
      <c r="KC126" s="131"/>
      <c r="KD126" s="131"/>
      <c r="KE126" s="131"/>
      <c r="KF126" s="131"/>
      <c r="KG126" s="131"/>
      <c r="KH126" s="131"/>
      <c r="KI126" s="131"/>
      <c r="KJ126" s="131"/>
      <c r="KK126" s="131"/>
      <c r="KL126" s="131"/>
      <c r="KM126" s="131"/>
      <c r="KN126" s="131"/>
      <c r="KO126" s="131"/>
      <c r="KP126" s="131"/>
      <c r="KQ126" s="131"/>
      <c r="KR126" s="131"/>
      <c r="KS126" s="131"/>
      <c r="KT126" s="131"/>
      <c r="KU126" s="131"/>
      <c r="KV126" s="131"/>
      <c r="KW126" s="131"/>
      <c r="KX126" s="131"/>
      <c r="KY126" s="131"/>
      <c r="KZ126" s="131"/>
      <c r="LA126" s="131"/>
      <c r="LB126" s="131"/>
      <c r="LC126" s="131"/>
      <c r="LD126" s="131"/>
      <c r="LE126" s="131"/>
      <c r="LF126" s="131"/>
      <c r="LG126" s="131"/>
      <c r="LH126" s="131"/>
      <c r="LI126" s="131"/>
      <c r="LJ126" s="131"/>
      <c r="LK126" s="131"/>
      <c r="LL126" s="131"/>
      <c r="LM126" s="131"/>
      <c r="LN126" s="131"/>
      <c r="LO126" s="131"/>
      <c r="LP126" s="131"/>
      <c r="LQ126" s="131"/>
      <c r="LR126" s="131"/>
      <c r="LS126" s="131"/>
      <c r="LT126" s="131"/>
      <c r="LU126" s="131"/>
      <c r="LV126" s="131"/>
      <c r="LW126" s="131"/>
      <c r="LX126" s="131"/>
      <c r="LY126" s="131"/>
      <c r="LZ126" s="131"/>
      <c r="MA126" s="131"/>
      <c r="MB126" s="131"/>
      <c r="MC126" s="131"/>
      <c r="MD126" s="131"/>
      <c r="ME126" s="131"/>
      <c r="MF126" s="131"/>
      <c r="MG126" s="131"/>
      <c r="MH126" s="131"/>
      <c r="MI126" s="131"/>
      <c r="MJ126" s="131"/>
      <c r="MK126" s="131"/>
      <c r="ML126" s="131"/>
      <c r="MM126" s="131"/>
      <c r="MN126" s="131"/>
      <c r="MO126" s="131"/>
      <c r="MP126" s="131"/>
      <c r="MQ126" s="131"/>
      <c r="MR126" s="131"/>
      <c r="MS126" s="131"/>
      <c r="MT126" s="131"/>
      <c r="MU126" s="131"/>
      <c r="MV126" s="131"/>
      <c r="MW126" s="131"/>
      <c r="MX126" s="131"/>
      <c r="MY126" s="131"/>
      <c r="MZ126" s="131"/>
      <c r="NA126" s="131"/>
      <c r="NB126" s="131"/>
      <c r="NC126" s="131"/>
      <c r="ND126" s="131"/>
      <c r="NE126" s="131"/>
      <c r="NF126" s="131"/>
      <c r="NG126" s="131"/>
      <c r="NH126" s="131"/>
      <c r="NI126" s="131"/>
      <c r="NJ126" s="131"/>
      <c r="NK126" s="131"/>
      <c r="NL126" s="131"/>
      <c r="NM126" s="131"/>
      <c r="NN126" s="131"/>
      <c r="NO126" s="131"/>
      <c r="NP126" s="131"/>
      <c r="NQ126" s="131"/>
      <c r="NR126" s="131"/>
      <c r="NS126" s="131"/>
      <c r="NT126" s="131"/>
      <c r="NU126" s="131"/>
      <c r="NV126" s="131"/>
      <c r="NW126" s="24">
        <f t="shared" si="17"/>
        <v>0</v>
      </c>
      <c r="NX126" s="56" t="s">
        <v>72</v>
      </c>
      <c r="NY126" s="127">
        <v>676.32</v>
      </c>
      <c r="NZ126" s="78">
        <f t="shared" si="14"/>
        <v>676.32</v>
      </c>
      <c r="OA126" s="78">
        <v>462.68</v>
      </c>
      <c r="OB126" s="127">
        <f t="shared" si="12"/>
        <v>0</v>
      </c>
      <c r="OC126" s="153">
        <v>676.32</v>
      </c>
      <c r="OD126" s="108">
        <f t="shared" si="15"/>
        <v>1.4617446183107117</v>
      </c>
      <c r="OE126" s="160" t="s">
        <v>563</v>
      </c>
    </row>
    <row r="127" spans="1:395" s="5" customFormat="1" ht="12.75" customHeight="1" x14ac:dyDescent="0.25">
      <c r="A127" s="62">
        <v>44560</v>
      </c>
      <c r="B127" s="116" t="s">
        <v>94</v>
      </c>
      <c r="C127" s="129"/>
      <c r="D127" s="129"/>
      <c r="E127" s="130"/>
      <c r="F127" s="130"/>
      <c r="G127" s="130"/>
      <c r="H127" s="130"/>
      <c r="I127" s="130"/>
      <c r="J127" s="130"/>
      <c r="K127" s="130"/>
      <c r="L127" s="130"/>
      <c r="M127" s="131"/>
      <c r="N127" s="131"/>
      <c r="O127" s="131"/>
      <c r="P127" s="131"/>
      <c r="Q127" s="131"/>
      <c r="R127" s="131"/>
      <c r="S127" s="131"/>
      <c r="T127" s="131"/>
      <c r="U127" s="131"/>
      <c r="V127" s="131"/>
      <c r="W127" s="131"/>
      <c r="X127" s="131"/>
      <c r="Y127" s="131"/>
      <c r="Z127" s="131"/>
      <c r="AA127" s="131"/>
      <c r="AB127" s="131"/>
      <c r="AC127" s="131"/>
      <c r="AD127" s="131"/>
      <c r="AE127" s="131"/>
      <c r="AF127" s="131"/>
      <c r="AG127" s="131"/>
      <c r="AH127" s="131"/>
      <c r="AI127" s="131"/>
      <c r="AJ127" s="131"/>
      <c r="AK127" s="131"/>
      <c r="AL127" s="131"/>
      <c r="AM127" s="131"/>
      <c r="AN127" s="131"/>
      <c r="AO127" s="131"/>
      <c r="AP127" s="131"/>
      <c r="AQ127" s="131"/>
      <c r="AR127" s="131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131"/>
      <c r="BD127" s="131"/>
      <c r="BE127" s="131"/>
      <c r="BF127" s="131"/>
      <c r="BG127" s="131"/>
      <c r="BH127" s="131"/>
      <c r="BI127" s="131"/>
      <c r="BJ127" s="131"/>
      <c r="BK127" s="131"/>
      <c r="BL127" s="131"/>
      <c r="BM127" s="131"/>
      <c r="BN127" s="131"/>
      <c r="BO127" s="131"/>
      <c r="BP127" s="131"/>
      <c r="BQ127" s="131"/>
      <c r="BR127" s="131"/>
      <c r="BS127" s="131"/>
      <c r="BT127" s="131"/>
      <c r="BU127" s="131"/>
      <c r="BV127" s="131"/>
      <c r="BW127" s="131"/>
      <c r="BX127" s="131"/>
      <c r="BY127" s="131"/>
      <c r="BZ127" s="131"/>
      <c r="CA127" s="131"/>
      <c r="CB127" s="131"/>
      <c r="CC127" s="131"/>
      <c r="CD127" s="131"/>
      <c r="CE127" s="131"/>
      <c r="CF127" s="131"/>
      <c r="CG127" s="131"/>
      <c r="CH127" s="131"/>
      <c r="CI127" s="131"/>
      <c r="CJ127" s="131"/>
      <c r="CK127" s="131"/>
      <c r="CL127" s="131"/>
      <c r="CM127" s="131"/>
      <c r="CN127" s="131"/>
      <c r="CO127" s="131"/>
      <c r="CP127" s="131"/>
      <c r="CQ127" s="131"/>
      <c r="CR127" s="131"/>
      <c r="CS127" s="131"/>
      <c r="CT127" s="131"/>
      <c r="CU127" s="131"/>
      <c r="CV127" s="131"/>
      <c r="CW127" s="131"/>
      <c r="CX127" s="131"/>
      <c r="CY127" s="131"/>
      <c r="CZ127" s="131"/>
      <c r="DA127" s="131"/>
      <c r="DB127" s="131"/>
      <c r="DC127" s="131"/>
      <c r="DD127" s="131"/>
      <c r="DE127" s="131"/>
      <c r="DF127" s="131"/>
      <c r="DG127" s="131"/>
      <c r="DH127" s="131"/>
      <c r="DI127" s="131"/>
      <c r="DJ127" s="131"/>
      <c r="DK127" s="131"/>
      <c r="DL127" s="131"/>
      <c r="DM127" s="131"/>
      <c r="DN127" s="131"/>
      <c r="DO127" s="131"/>
      <c r="DP127" s="131"/>
      <c r="DQ127" s="131"/>
      <c r="DR127" s="131"/>
      <c r="DS127" s="131"/>
      <c r="DT127" s="131"/>
      <c r="DU127" s="131"/>
      <c r="DV127" s="131"/>
      <c r="DW127" s="131"/>
      <c r="DX127" s="131"/>
      <c r="DY127" s="131"/>
      <c r="DZ127" s="131"/>
      <c r="EA127" s="131"/>
      <c r="EB127" s="131"/>
      <c r="EC127" s="131"/>
      <c r="ED127" s="131"/>
      <c r="EE127" s="131"/>
      <c r="EF127" s="131"/>
      <c r="EG127" s="131"/>
      <c r="EH127" s="131"/>
      <c r="EI127" s="131"/>
      <c r="EJ127" s="131"/>
      <c r="EK127" s="131"/>
      <c r="EL127" s="131"/>
      <c r="EM127" s="131"/>
      <c r="EN127" s="131"/>
      <c r="EO127" s="131"/>
      <c r="EP127" s="131"/>
      <c r="EQ127" s="131"/>
      <c r="ER127" s="131"/>
      <c r="ES127" s="131"/>
      <c r="ET127" s="131"/>
      <c r="EU127" s="131"/>
      <c r="EV127" s="131"/>
      <c r="EW127" s="131"/>
      <c r="EX127" s="131"/>
      <c r="EY127" s="131"/>
      <c r="EZ127" s="131"/>
      <c r="FA127" s="131"/>
      <c r="FB127" s="131"/>
      <c r="FC127" s="131"/>
      <c r="FD127" s="131"/>
      <c r="FE127" s="131"/>
      <c r="FF127" s="131"/>
      <c r="FG127" s="131"/>
      <c r="FH127" s="131"/>
      <c r="FI127" s="131"/>
      <c r="FJ127" s="131"/>
      <c r="FK127" s="131"/>
      <c r="FL127" s="131"/>
      <c r="FM127" s="131"/>
      <c r="FN127" s="131"/>
      <c r="FO127" s="131"/>
      <c r="FP127" s="131"/>
      <c r="FQ127" s="131"/>
      <c r="FR127" s="131"/>
      <c r="FS127" s="131"/>
      <c r="FT127" s="131"/>
      <c r="FU127" s="131"/>
      <c r="FV127" s="131"/>
      <c r="FW127" s="131"/>
      <c r="FX127" s="131"/>
      <c r="FY127" s="131"/>
      <c r="FZ127" s="131"/>
      <c r="GA127" s="131"/>
      <c r="GB127" s="131"/>
      <c r="GC127" s="131"/>
      <c r="GD127" s="131"/>
      <c r="GE127" s="131"/>
      <c r="GF127" s="131"/>
      <c r="GG127" s="131"/>
      <c r="GH127" s="131"/>
      <c r="GI127" s="131"/>
      <c r="GJ127" s="131"/>
      <c r="GK127" s="131"/>
      <c r="GL127" s="131"/>
      <c r="GM127" s="131"/>
      <c r="GN127" s="131"/>
      <c r="GO127" s="131"/>
      <c r="GP127" s="131"/>
      <c r="GQ127" s="131"/>
      <c r="GR127" s="131"/>
      <c r="GS127" s="131"/>
      <c r="GT127" s="131"/>
      <c r="GU127" s="131"/>
      <c r="GV127" s="131"/>
      <c r="GW127" s="131"/>
      <c r="GX127" s="131"/>
      <c r="GY127" s="131"/>
      <c r="GZ127" s="131"/>
      <c r="HA127" s="131"/>
      <c r="HB127" s="131"/>
      <c r="HC127" s="131"/>
      <c r="HD127" s="131"/>
      <c r="HE127" s="131"/>
      <c r="HF127" s="131"/>
      <c r="HG127" s="131"/>
      <c r="HH127" s="131"/>
      <c r="HI127" s="131"/>
      <c r="HJ127" s="131"/>
      <c r="HK127" s="131"/>
      <c r="HL127" s="131"/>
      <c r="HM127" s="131"/>
      <c r="HN127" s="131"/>
      <c r="HO127" s="131"/>
      <c r="HP127" s="131"/>
      <c r="HQ127" s="131"/>
      <c r="HR127" s="131"/>
      <c r="HS127" s="131"/>
      <c r="HT127" s="131"/>
      <c r="HU127" s="131"/>
      <c r="HV127" s="131"/>
      <c r="HW127" s="131"/>
      <c r="HX127" s="131"/>
      <c r="HY127" s="131"/>
      <c r="HZ127" s="131"/>
      <c r="IA127" s="131"/>
      <c r="IB127" s="131"/>
      <c r="IC127" s="131"/>
      <c r="ID127" s="131"/>
      <c r="IE127" s="131"/>
      <c r="IF127" s="131"/>
      <c r="IG127" s="131"/>
      <c r="IH127" s="131"/>
      <c r="II127" s="131"/>
      <c r="IJ127" s="131"/>
      <c r="IK127" s="131"/>
      <c r="IL127" s="131"/>
      <c r="IM127" s="131"/>
      <c r="IN127" s="131"/>
      <c r="IO127" s="131"/>
      <c r="IP127" s="131"/>
      <c r="IQ127" s="131"/>
      <c r="IR127" s="131"/>
      <c r="IS127" s="131"/>
      <c r="IT127" s="131"/>
      <c r="IU127" s="131"/>
      <c r="IV127" s="131"/>
      <c r="IW127" s="131"/>
      <c r="IX127" s="131"/>
      <c r="IY127" s="131"/>
      <c r="IZ127" s="131"/>
      <c r="JA127" s="131"/>
      <c r="JB127" s="131"/>
      <c r="JC127" s="131"/>
      <c r="JD127" s="131"/>
      <c r="JE127" s="131"/>
      <c r="JF127" s="131"/>
      <c r="JG127" s="131"/>
      <c r="JH127" s="131"/>
      <c r="JI127" s="131"/>
      <c r="JJ127" s="131"/>
      <c r="JK127" s="131"/>
      <c r="JL127" s="131"/>
      <c r="JM127" s="131"/>
      <c r="JN127" s="131"/>
      <c r="JO127" s="131"/>
      <c r="JP127" s="131"/>
      <c r="JQ127" s="131"/>
      <c r="JR127" s="131"/>
      <c r="JS127" s="131"/>
      <c r="JT127" s="131"/>
      <c r="JU127" s="131"/>
      <c r="JV127" s="131"/>
      <c r="JW127" s="131"/>
      <c r="JX127" s="131"/>
      <c r="JY127" s="131"/>
      <c r="JZ127" s="131"/>
      <c r="KA127" s="131"/>
      <c r="KB127" s="131"/>
      <c r="KC127" s="131"/>
      <c r="KD127" s="131"/>
      <c r="KE127" s="131"/>
      <c r="KF127" s="131"/>
      <c r="KG127" s="131"/>
      <c r="KH127" s="131"/>
      <c r="KI127" s="131"/>
      <c r="KJ127" s="131"/>
      <c r="KK127" s="131"/>
      <c r="KL127" s="131"/>
      <c r="KM127" s="131"/>
      <c r="KN127" s="131"/>
      <c r="KO127" s="131"/>
      <c r="KP127" s="131"/>
      <c r="KQ127" s="131"/>
      <c r="KR127" s="131"/>
      <c r="KS127" s="131"/>
      <c r="KT127" s="131"/>
      <c r="KU127" s="131"/>
      <c r="KV127" s="131"/>
      <c r="KW127" s="131"/>
      <c r="KX127" s="131"/>
      <c r="KY127" s="131"/>
      <c r="KZ127" s="131"/>
      <c r="LA127" s="131"/>
      <c r="LB127" s="131"/>
      <c r="LC127" s="131"/>
      <c r="LD127" s="131"/>
      <c r="LE127" s="131"/>
      <c r="LF127" s="131"/>
      <c r="LG127" s="131"/>
      <c r="LH127" s="131"/>
      <c r="LI127" s="131"/>
      <c r="LJ127" s="131"/>
      <c r="LK127" s="131"/>
      <c r="LL127" s="131"/>
      <c r="LM127" s="131"/>
      <c r="LN127" s="131"/>
      <c r="LO127" s="131"/>
      <c r="LP127" s="131"/>
      <c r="LQ127" s="131"/>
      <c r="LR127" s="131"/>
      <c r="LS127" s="131"/>
      <c r="LT127" s="131"/>
      <c r="LU127" s="131"/>
      <c r="LV127" s="131"/>
      <c r="LW127" s="131"/>
      <c r="LX127" s="131"/>
      <c r="LY127" s="131"/>
      <c r="LZ127" s="131"/>
      <c r="MA127" s="131"/>
      <c r="MB127" s="131"/>
      <c r="MC127" s="131"/>
      <c r="MD127" s="131"/>
      <c r="ME127" s="131"/>
      <c r="MF127" s="131"/>
      <c r="MG127" s="131"/>
      <c r="MH127" s="131"/>
      <c r="MI127" s="131"/>
      <c r="MJ127" s="131"/>
      <c r="MK127" s="131"/>
      <c r="ML127" s="131"/>
      <c r="MM127" s="131"/>
      <c r="MN127" s="131"/>
      <c r="MO127" s="131"/>
      <c r="MP127" s="131"/>
      <c r="MQ127" s="131"/>
      <c r="MR127" s="131"/>
      <c r="MS127" s="131"/>
      <c r="MT127" s="131"/>
      <c r="MU127" s="131"/>
      <c r="MV127" s="131"/>
      <c r="MW127" s="131"/>
      <c r="MX127" s="131"/>
      <c r="MY127" s="131"/>
      <c r="MZ127" s="131"/>
      <c r="NA127" s="131"/>
      <c r="NB127" s="131"/>
      <c r="NC127" s="131"/>
      <c r="ND127" s="131"/>
      <c r="NE127" s="131"/>
      <c r="NF127" s="131"/>
      <c r="NG127" s="131"/>
      <c r="NH127" s="131"/>
      <c r="NI127" s="131"/>
      <c r="NJ127" s="131"/>
      <c r="NK127" s="131"/>
      <c r="NL127" s="131"/>
      <c r="NM127" s="131"/>
      <c r="NN127" s="131"/>
      <c r="NO127" s="131"/>
      <c r="NP127" s="131"/>
      <c r="NQ127" s="131"/>
      <c r="NR127" s="131"/>
      <c r="NS127" s="131"/>
      <c r="NT127" s="131"/>
      <c r="NU127" s="131"/>
      <c r="NV127" s="131"/>
      <c r="NW127" s="24">
        <f t="shared" si="17"/>
        <v>0</v>
      </c>
      <c r="NX127" s="56" t="s">
        <v>36</v>
      </c>
      <c r="NY127" s="127">
        <v>863.64</v>
      </c>
      <c r="NZ127" s="78">
        <f t="shared" si="14"/>
        <v>0</v>
      </c>
      <c r="OA127" s="78">
        <v>498.9</v>
      </c>
      <c r="OB127" s="127">
        <f t="shared" si="12"/>
        <v>863.64</v>
      </c>
      <c r="OC127" s="153"/>
      <c r="OD127" s="108">
        <f t="shared" si="15"/>
        <v>1.7310883944678293</v>
      </c>
      <c r="OE127" s="160" t="s">
        <v>563</v>
      </c>
    </row>
    <row r="128" spans="1:395" s="5" customFormat="1" ht="12.75" hidden="1" customHeight="1" x14ac:dyDescent="0.25">
      <c r="A128" s="62">
        <v>44560</v>
      </c>
      <c r="B128" s="106" t="s">
        <v>470</v>
      </c>
      <c r="C128" s="129"/>
      <c r="D128" s="129"/>
      <c r="E128" s="130"/>
      <c r="F128" s="130"/>
      <c r="G128" s="130"/>
      <c r="H128" s="130"/>
      <c r="I128" s="130"/>
      <c r="J128" s="130"/>
      <c r="K128" s="130"/>
      <c r="L128" s="130"/>
      <c r="M128" s="131"/>
      <c r="N128" s="131"/>
      <c r="O128" s="131"/>
      <c r="P128" s="131"/>
      <c r="Q128" s="131"/>
      <c r="R128" s="131"/>
      <c r="S128" s="131"/>
      <c r="T128" s="131"/>
      <c r="U128" s="131"/>
      <c r="V128" s="131"/>
      <c r="W128" s="131"/>
      <c r="X128" s="131"/>
      <c r="Y128" s="131"/>
      <c r="Z128" s="131"/>
      <c r="AA128" s="131"/>
      <c r="AB128" s="131"/>
      <c r="AC128" s="131"/>
      <c r="AD128" s="131"/>
      <c r="AE128" s="131"/>
      <c r="AF128" s="131"/>
      <c r="AG128" s="131"/>
      <c r="AH128" s="131"/>
      <c r="AI128" s="131"/>
      <c r="AJ128" s="131"/>
      <c r="AK128" s="131"/>
      <c r="AL128" s="131"/>
      <c r="AM128" s="131"/>
      <c r="AN128" s="131"/>
      <c r="AO128" s="131"/>
      <c r="AP128" s="131"/>
      <c r="AQ128" s="131"/>
      <c r="AR128" s="131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1"/>
      <c r="BD128" s="131"/>
      <c r="BE128" s="131"/>
      <c r="BF128" s="131"/>
      <c r="BG128" s="131"/>
      <c r="BH128" s="131"/>
      <c r="BI128" s="131"/>
      <c r="BJ128" s="131"/>
      <c r="BK128" s="131"/>
      <c r="BL128" s="131"/>
      <c r="BM128" s="131"/>
      <c r="BN128" s="131"/>
      <c r="BO128" s="131"/>
      <c r="BP128" s="131"/>
      <c r="BQ128" s="131"/>
      <c r="BR128" s="131"/>
      <c r="BS128" s="131"/>
      <c r="BT128" s="131"/>
      <c r="BU128" s="131"/>
      <c r="BV128" s="131"/>
      <c r="BW128" s="131"/>
      <c r="BX128" s="131"/>
      <c r="BY128" s="131"/>
      <c r="BZ128" s="131"/>
      <c r="CA128" s="131"/>
      <c r="CB128" s="131"/>
      <c r="CC128" s="131"/>
      <c r="CD128" s="131"/>
      <c r="CE128" s="131"/>
      <c r="CF128" s="131"/>
      <c r="CG128" s="131"/>
      <c r="CH128" s="131"/>
      <c r="CI128" s="131"/>
      <c r="CJ128" s="131"/>
      <c r="CK128" s="131"/>
      <c r="CL128" s="131"/>
      <c r="CM128" s="131"/>
      <c r="CN128" s="131"/>
      <c r="CO128" s="131"/>
      <c r="CP128" s="131"/>
      <c r="CQ128" s="131"/>
      <c r="CR128" s="131"/>
      <c r="CS128" s="131"/>
      <c r="CT128" s="131"/>
      <c r="CU128" s="131"/>
      <c r="CV128" s="131"/>
      <c r="CW128" s="131"/>
      <c r="CX128" s="131"/>
      <c r="CY128" s="131"/>
      <c r="CZ128" s="131"/>
      <c r="DA128" s="131"/>
      <c r="DB128" s="131"/>
      <c r="DC128" s="131"/>
      <c r="DD128" s="131"/>
      <c r="DE128" s="131"/>
      <c r="DF128" s="131"/>
      <c r="DG128" s="131"/>
      <c r="DH128" s="131"/>
      <c r="DI128" s="131"/>
      <c r="DJ128" s="131"/>
      <c r="DK128" s="131"/>
      <c r="DL128" s="131"/>
      <c r="DM128" s="131"/>
      <c r="DN128" s="131"/>
      <c r="DO128" s="131"/>
      <c r="DP128" s="131"/>
      <c r="DQ128" s="131"/>
      <c r="DR128" s="131"/>
      <c r="DS128" s="131"/>
      <c r="DT128" s="131"/>
      <c r="DU128" s="131"/>
      <c r="DV128" s="131"/>
      <c r="DW128" s="131"/>
      <c r="DX128" s="131"/>
      <c r="DY128" s="131"/>
      <c r="DZ128" s="131"/>
      <c r="EA128" s="131"/>
      <c r="EB128" s="131"/>
      <c r="EC128" s="131"/>
      <c r="ED128" s="131"/>
      <c r="EE128" s="131"/>
      <c r="EF128" s="131"/>
      <c r="EG128" s="131"/>
      <c r="EH128" s="131"/>
      <c r="EI128" s="131"/>
      <c r="EJ128" s="131"/>
      <c r="EK128" s="131"/>
      <c r="EL128" s="131"/>
      <c r="EM128" s="131"/>
      <c r="EN128" s="131"/>
      <c r="EO128" s="131"/>
      <c r="EP128" s="131"/>
      <c r="EQ128" s="131"/>
      <c r="ER128" s="131"/>
      <c r="ES128" s="131"/>
      <c r="ET128" s="131"/>
      <c r="EU128" s="131"/>
      <c r="EV128" s="131"/>
      <c r="EW128" s="131"/>
      <c r="EX128" s="131"/>
      <c r="EY128" s="131"/>
      <c r="EZ128" s="131"/>
      <c r="FA128" s="131"/>
      <c r="FB128" s="131"/>
      <c r="FC128" s="131"/>
      <c r="FD128" s="131"/>
      <c r="FE128" s="131"/>
      <c r="FF128" s="131"/>
      <c r="FG128" s="131"/>
      <c r="FH128" s="131"/>
      <c r="FI128" s="131"/>
      <c r="FJ128" s="131"/>
      <c r="FK128" s="131"/>
      <c r="FL128" s="131"/>
      <c r="FM128" s="131"/>
      <c r="FN128" s="131"/>
      <c r="FO128" s="131"/>
      <c r="FP128" s="131"/>
      <c r="FQ128" s="131"/>
      <c r="FR128" s="131"/>
      <c r="FS128" s="131"/>
      <c r="FT128" s="131"/>
      <c r="FU128" s="131"/>
      <c r="FV128" s="131"/>
      <c r="FW128" s="131"/>
      <c r="FX128" s="131"/>
      <c r="FY128" s="131"/>
      <c r="FZ128" s="131"/>
      <c r="GA128" s="131"/>
      <c r="GB128" s="131"/>
      <c r="GC128" s="131"/>
      <c r="GD128" s="131"/>
      <c r="GE128" s="131"/>
      <c r="GF128" s="131"/>
      <c r="GG128" s="131"/>
      <c r="GH128" s="131"/>
      <c r="GI128" s="131"/>
      <c r="GJ128" s="131"/>
      <c r="GK128" s="131"/>
      <c r="GL128" s="131"/>
      <c r="GM128" s="131"/>
      <c r="GN128" s="131"/>
      <c r="GO128" s="131"/>
      <c r="GP128" s="131"/>
      <c r="GQ128" s="131"/>
      <c r="GR128" s="131"/>
      <c r="GS128" s="131"/>
      <c r="GT128" s="131"/>
      <c r="GU128" s="131"/>
      <c r="GV128" s="131"/>
      <c r="GW128" s="131"/>
      <c r="GX128" s="131"/>
      <c r="GY128" s="131"/>
      <c r="GZ128" s="131"/>
      <c r="HA128" s="131"/>
      <c r="HB128" s="131"/>
      <c r="HC128" s="131"/>
      <c r="HD128" s="131"/>
      <c r="HE128" s="131"/>
      <c r="HF128" s="131"/>
      <c r="HG128" s="131"/>
      <c r="HH128" s="131"/>
      <c r="HI128" s="131"/>
      <c r="HJ128" s="131"/>
      <c r="HK128" s="131"/>
      <c r="HL128" s="131"/>
      <c r="HM128" s="131"/>
      <c r="HN128" s="131"/>
      <c r="HO128" s="131"/>
      <c r="HP128" s="131"/>
      <c r="HQ128" s="131"/>
      <c r="HR128" s="131"/>
      <c r="HS128" s="131"/>
      <c r="HT128" s="131"/>
      <c r="HU128" s="131"/>
      <c r="HV128" s="131"/>
      <c r="HW128" s="131"/>
      <c r="HX128" s="131"/>
      <c r="HY128" s="131"/>
      <c r="HZ128" s="131"/>
      <c r="IA128" s="131"/>
      <c r="IB128" s="131"/>
      <c r="IC128" s="131"/>
      <c r="ID128" s="131"/>
      <c r="IE128" s="131"/>
      <c r="IF128" s="131"/>
      <c r="IG128" s="131"/>
      <c r="IH128" s="131"/>
      <c r="II128" s="131"/>
      <c r="IJ128" s="131"/>
      <c r="IK128" s="131"/>
      <c r="IL128" s="131"/>
      <c r="IM128" s="131"/>
      <c r="IN128" s="131"/>
      <c r="IO128" s="131"/>
      <c r="IP128" s="131"/>
      <c r="IQ128" s="131"/>
      <c r="IR128" s="131"/>
      <c r="IS128" s="131"/>
      <c r="IT128" s="131"/>
      <c r="IU128" s="131"/>
      <c r="IV128" s="131"/>
      <c r="IW128" s="131"/>
      <c r="IX128" s="131"/>
      <c r="IY128" s="131"/>
      <c r="IZ128" s="131"/>
      <c r="JA128" s="131"/>
      <c r="JB128" s="131"/>
      <c r="JC128" s="131"/>
      <c r="JD128" s="131"/>
      <c r="JE128" s="131"/>
      <c r="JF128" s="131"/>
      <c r="JG128" s="131"/>
      <c r="JH128" s="131"/>
      <c r="JI128" s="131"/>
      <c r="JJ128" s="131"/>
      <c r="JK128" s="131"/>
      <c r="JL128" s="131"/>
      <c r="JM128" s="131"/>
      <c r="JN128" s="131"/>
      <c r="JO128" s="131"/>
      <c r="JP128" s="131"/>
      <c r="JQ128" s="131"/>
      <c r="JR128" s="131"/>
      <c r="JS128" s="131"/>
      <c r="JT128" s="131"/>
      <c r="JU128" s="131"/>
      <c r="JV128" s="131"/>
      <c r="JW128" s="131"/>
      <c r="JX128" s="131"/>
      <c r="JY128" s="131"/>
      <c r="JZ128" s="131"/>
      <c r="KA128" s="131"/>
      <c r="KB128" s="131"/>
      <c r="KC128" s="131"/>
      <c r="KD128" s="131"/>
      <c r="KE128" s="131"/>
      <c r="KF128" s="131"/>
      <c r="KG128" s="131"/>
      <c r="KH128" s="131"/>
      <c r="KI128" s="131"/>
      <c r="KJ128" s="131"/>
      <c r="KK128" s="131"/>
      <c r="KL128" s="131"/>
      <c r="KM128" s="131"/>
      <c r="KN128" s="131"/>
      <c r="KO128" s="131"/>
      <c r="KP128" s="131"/>
      <c r="KQ128" s="131"/>
      <c r="KR128" s="131"/>
      <c r="KS128" s="131"/>
      <c r="KT128" s="131"/>
      <c r="KU128" s="131"/>
      <c r="KV128" s="131"/>
      <c r="KW128" s="131"/>
      <c r="KX128" s="131"/>
      <c r="KY128" s="131"/>
      <c r="KZ128" s="131"/>
      <c r="LA128" s="131"/>
      <c r="LB128" s="131"/>
      <c r="LC128" s="131"/>
      <c r="LD128" s="131"/>
      <c r="LE128" s="131"/>
      <c r="LF128" s="131"/>
      <c r="LG128" s="131"/>
      <c r="LH128" s="131"/>
      <c r="LI128" s="131"/>
      <c r="LJ128" s="131"/>
      <c r="LK128" s="131"/>
      <c r="LL128" s="131"/>
      <c r="LM128" s="131"/>
      <c r="LN128" s="131"/>
      <c r="LO128" s="131"/>
      <c r="LP128" s="131"/>
      <c r="LQ128" s="131"/>
      <c r="LR128" s="131"/>
      <c r="LS128" s="131"/>
      <c r="LT128" s="131"/>
      <c r="LU128" s="131"/>
      <c r="LV128" s="131"/>
      <c r="LW128" s="131"/>
      <c r="LX128" s="131"/>
      <c r="LY128" s="131"/>
      <c r="LZ128" s="131"/>
      <c r="MA128" s="131"/>
      <c r="MB128" s="131"/>
      <c r="MC128" s="131"/>
      <c r="MD128" s="131"/>
      <c r="ME128" s="131"/>
      <c r="MF128" s="131"/>
      <c r="MG128" s="131"/>
      <c r="MH128" s="131"/>
      <c r="MI128" s="131"/>
      <c r="MJ128" s="131"/>
      <c r="MK128" s="131"/>
      <c r="ML128" s="131"/>
      <c r="MM128" s="131"/>
      <c r="MN128" s="131"/>
      <c r="MO128" s="131"/>
      <c r="MP128" s="131"/>
      <c r="MQ128" s="131"/>
      <c r="MR128" s="131"/>
      <c r="MS128" s="131"/>
      <c r="MT128" s="131"/>
      <c r="MU128" s="131"/>
      <c r="MV128" s="131"/>
      <c r="MW128" s="131"/>
      <c r="MX128" s="131"/>
      <c r="MY128" s="131"/>
      <c r="MZ128" s="131"/>
      <c r="NA128" s="131"/>
      <c r="NB128" s="131"/>
      <c r="NC128" s="131"/>
      <c r="ND128" s="131"/>
      <c r="NE128" s="131"/>
      <c r="NF128" s="131"/>
      <c r="NG128" s="131"/>
      <c r="NH128" s="131"/>
      <c r="NI128" s="131"/>
      <c r="NJ128" s="131"/>
      <c r="NK128" s="131"/>
      <c r="NL128" s="131"/>
      <c r="NM128" s="131"/>
      <c r="NN128" s="131"/>
      <c r="NO128" s="131"/>
      <c r="NP128" s="131"/>
      <c r="NQ128" s="131"/>
      <c r="NR128" s="131"/>
      <c r="NS128" s="131"/>
      <c r="NT128" s="131"/>
      <c r="NU128" s="131"/>
      <c r="NV128" s="131"/>
      <c r="NW128" s="24">
        <f t="shared" si="17"/>
        <v>0</v>
      </c>
      <c r="NX128" s="56" t="s">
        <v>36</v>
      </c>
      <c r="NY128" s="127">
        <v>516</v>
      </c>
      <c r="NZ128" s="78">
        <f t="shared" si="14"/>
        <v>516</v>
      </c>
      <c r="OA128" s="78">
        <v>328.70000000000005</v>
      </c>
      <c r="OB128" s="127">
        <f t="shared" si="12"/>
        <v>0</v>
      </c>
      <c r="OC128" s="153">
        <v>516</v>
      </c>
      <c r="OD128" s="108">
        <f t="shared" si="15"/>
        <v>1.5698205050197747</v>
      </c>
      <c r="OE128" s="160" t="s">
        <v>563</v>
      </c>
    </row>
    <row r="129" spans="1:395" s="5" customFormat="1" ht="12.75" customHeight="1" x14ac:dyDescent="0.25">
      <c r="A129" s="62">
        <v>44560</v>
      </c>
      <c r="B129" s="116" t="s">
        <v>129</v>
      </c>
      <c r="C129" s="129"/>
      <c r="D129" s="129"/>
      <c r="E129" s="130"/>
      <c r="F129" s="130"/>
      <c r="G129" s="130"/>
      <c r="H129" s="130"/>
      <c r="I129" s="130"/>
      <c r="J129" s="130"/>
      <c r="K129" s="130"/>
      <c r="L129" s="130"/>
      <c r="M129" s="131"/>
      <c r="N129" s="131"/>
      <c r="O129" s="131"/>
      <c r="P129" s="131"/>
      <c r="Q129" s="131"/>
      <c r="R129" s="131"/>
      <c r="S129" s="131"/>
      <c r="T129" s="131"/>
      <c r="U129" s="131"/>
      <c r="V129" s="131"/>
      <c r="W129" s="131"/>
      <c r="X129" s="131"/>
      <c r="Y129" s="131"/>
      <c r="Z129" s="131"/>
      <c r="AA129" s="131"/>
      <c r="AB129" s="131"/>
      <c r="AC129" s="131"/>
      <c r="AD129" s="131"/>
      <c r="AE129" s="131"/>
      <c r="AF129" s="131"/>
      <c r="AG129" s="131"/>
      <c r="AH129" s="131"/>
      <c r="AI129" s="131"/>
      <c r="AJ129" s="131"/>
      <c r="AK129" s="131"/>
      <c r="AL129" s="131"/>
      <c r="AM129" s="131"/>
      <c r="AN129" s="131"/>
      <c r="AO129" s="131"/>
      <c r="AP129" s="131"/>
      <c r="AQ129" s="131"/>
      <c r="AR129" s="131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131"/>
      <c r="BD129" s="131"/>
      <c r="BE129" s="131"/>
      <c r="BF129" s="131"/>
      <c r="BG129" s="131"/>
      <c r="BH129" s="131"/>
      <c r="BI129" s="131"/>
      <c r="BJ129" s="131"/>
      <c r="BK129" s="131"/>
      <c r="BL129" s="131"/>
      <c r="BM129" s="131"/>
      <c r="BN129" s="131"/>
      <c r="BO129" s="131"/>
      <c r="BP129" s="131"/>
      <c r="BQ129" s="131"/>
      <c r="BR129" s="131"/>
      <c r="BS129" s="131"/>
      <c r="BT129" s="131"/>
      <c r="BU129" s="131"/>
      <c r="BV129" s="131"/>
      <c r="BW129" s="131"/>
      <c r="BX129" s="131"/>
      <c r="BY129" s="131"/>
      <c r="BZ129" s="131"/>
      <c r="CA129" s="131"/>
      <c r="CB129" s="131"/>
      <c r="CC129" s="131"/>
      <c r="CD129" s="131"/>
      <c r="CE129" s="131"/>
      <c r="CF129" s="131"/>
      <c r="CG129" s="131"/>
      <c r="CH129" s="131"/>
      <c r="CI129" s="131"/>
      <c r="CJ129" s="131"/>
      <c r="CK129" s="131"/>
      <c r="CL129" s="131"/>
      <c r="CM129" s="131"/>
      <c r="CN129" s="131"/>
      <c r="CO129" s="131"/>
      <c r="CP129" s="131"/>
      <c r="CQ129" s="131"/>
      <c r="CR129" s="131"/>
      <c r="CS129" s="131"/>
      <c r="CT129" s="131"/>
      <c r="CU129" s="131"/>
      <c r="CV129" s="131"/>
      <c r="CW129" s="131"/>
      <c r="CX129" s="131"/>
      <c r="CY129" s="131"/>
      <c r="CZ129" s="131"/>
      <c r="DA129" s="131"/>
      <c r="DB129" s="131"/>
      <c r="DC129" s="131"/>
      <c r="DD129" s="131"/>
      <c r="DE129" s="131"/>
      <c r="DF129" s="131"/>
      <c r="DG129" s="131"/>
      <c r="DH129" s="131"/>
      <c r="DI129" s="131"/>
      <c r="DJ129" s="131"/>
      <c r="DK129" s="131"/>
      <c r="DL129" s="131"/>
      <c r="DM129" s="131"/>
      <c r="DN129" s="131"/>
      <c r="DO129" s="131"/>
      <c r="DP129" s="131"/>
      <c r="DQ129" s="131"/>
      <c r="DR129" s="131"/>
      <c r="DS129" s="131"/>
      <c r="DT129" s="131"/>
      <c r="DU129" s="131"/>
      <c r="DV129" s="131"/>
      <c r="DW129" s="131"/>
      <c r="DX129" s="131"/>
      <c r="DY129" s="131"/>
      <c r="DZ129" s="131"/>
      <c r="EA129" s="131"/>
      <c r="EB129" s="131"/>
      <c r="EC129" s="131"/>
      <c r="ED129" s="131"/>
      <c r="EE129" s="131"/>
      <c r="EF129" s="131"/>
      <c r="EG129" s="131"/>
      <c r="EH129" s="131"/>
      <c r="EI129" s="131"/>
      <c r="EJ129" s="131"/>
      <c r="EK129" s="131"/>
      <c r="EL129" s="131"/>
      <c r="EM129" s="131"/>
      <c r="EN129" s="131"/>
      <c r="EO129" s="131"/>
      <c r="EP129" s="131"/>
      <c r="EQ129" s="131"/>
      <c r="ER129" s="131"/>
      <c r="ES129" s="131"/>
      <c r="ET129" s="131"/>
      <c r="EU129" s="131"/>
      <c r="EV129" s="131"/>
      <c r="EW129" s="131"/>
      <c r="EX129" s="131"/>
      <c r="EY129" s="131"/>
      <c r="EZ129" s="131"/>
      <c r="FA129" s="131"/>
      <c r="FB129" s="131"/>
      <c r="FC129" s="131"/>
      <c r="FD129" s="131"/>
      <c r="FE129" s="131"/>
      <c r="FF129" s="131"/>
      <c r="FG129" s="131"/>
      <c r="FH129" s="131"/>
      <c r="FI129" s="131"/>
      <c r="FJ129" s="131"/>
      <c r="FK129" s="131"/>
      <c r="FL129" s="131"/>
      <c r="FM129" s="131"/>
      <c r="FN129" s="131"/>
      <c r="FO129" s="131"/>
      <c r="FP129" s="131"/>
      <c r="FQ129" s="131"/>
      <c r="FR129" s="131"/>
      <c r="FS129" s="131"/>
      <c r="FT129" s="131"/>
      <c r="FU129" s="131"/>
      <c r="FV129" s="131"/>
      <c r="FW129" s="131"/>
      <c r="FX129" s="131"/>
      <c r="FY129" s="131"/>
      <c r="FZ129" s="131"/>
      <c r="GA129" s="131"/>
      <c r="GB129" s="131"/>
      <c r="GC129" s="131"/>
      <c r="GD129" s="131"/>
      <c r="GE129" s="131"/>
      <c r="GF129" s="131"/>
      <c r="GG129" s="131"/>
      <c r="GH129" s="131"/>
      <c r="GI129" s="131"/>
      <c r="GJ129" s="131"/>
      <c r="GK129" s="131"/>
      <c r="GL129" s="131"/>
      <c r="GM129" s="131"/>
      <c r="GN129" s="131"/>
      <c r="GO129" s="131"/>
      <c r="GP129" s="131"/>
      <c r="GQ129" s="131"/>
      <c r="GR129" s="131"/>
      <c r="GS129" s="131"/>
      <c r="GT129" s="131"/>
      <c r="GU129" s="131"/>
      <c r="GV129" s="131"/>
      <c r="GW129" s="131"/>
      <c r="GX129" s="131"/>
      <c r="GY129" s="131"/>
      <c r="GZ129" s="131"/>
      <c r="HA129" s="131"/>
      <c r="HB129" s="131"/>
      <c r="HC129" s="131"/>
      <c r="HD129" s="131"/>
      <c r="HE129" s="131"/>
      <c r="HF129" s="131"/>
      <c r="HG129" s="131"/>
      <c r="HH129" s="131"/>
      <c r="HI129" s="131"/>
      <c r="HJ129" s="131"/>
      <c r="HK129" s="131"/>
      <c r="HL129" s="131"/>
      <c r="HM129" s="131"/>
      <c r="HN129" s="131"/>
      <c r="HO129" s="131"/>
      <c r="HP129" s="131"/>
      <c r="HQ129" s="131"/>
      <c r="HR129" s="131"/>
      <c r="HS129" s="131"/>
      <c r="HT129" s="131"/>
      <c r="HU129" s="131"/>
      <c r="HV129" s="131"/>
      <c r="HW129" s="131"/>
      <c r="HX129" s="131"/>
      <c r="HY129" s="131"/>
      <c r="HZ129" s="131"/>
      <c r="IA129" s="131"/>
      <c r="IB129" s="131"/>
      <c r="IC129" s="131"/>
      <c r="ID129" s="131"/>
      <c r="IE129" s="131"/>
      <c r="IF129" s="131"/>
      <c r="IG129" s="131"/>
      <c r="IH129" s="131"/>
      <c r="II129" s="131"/>
      <c r="IJ129" s="131"/>
      <c r="IK129" s="131"/>
      <c r="IL129" s="131"/>
      <c r="IM129" s="131"/>
      <c r="IN129" s="131"/>
      <c r="IO129" s="131"/>
      <c r="IP129" s="131"/>
      <c r="IQ129" s="131"/>
      <c r="IR129" s="131"/>
      <c r="IS129" s="131"/>
      <c r="IT129" s="131"/>
      <c r="IU129" s="131"/>
      <c r="IV129" s="131"/>
      <c r="IW129" s="131"/>
      <c r="IX129" s="131"/>
      <c r="IY129" s="131"/>
      <c r="IZ129" s="131"/>
      <c r="JA129" s="131"/>
      <c r="JB129" s="131"/>
      <c r="JC129" s="131"/>
      <c r="JD129" s="131"/>
      <c r="JE129" s="131"/>
      <c r="JF129" s="131"/>
      <c r="JG129" s="131"/>
      <c r="JH129" s="131"/>
      <c r="JI129" s="131"/>
      <c r="JJ129" s="131"/>
      <c r="JK129" s="131"/>
      <c r="JL129" s="131"/>
      <c r="JM129" s="131"/>
      <c r="JN129" s="131"/>
      <c r="JO129" s="131"/>
      <c r="JP129" s="131"/>
      <c r="JQ129" s="131"/>
      <c r="JR129" s="131"/>
      <c r="JS129" s="131"/>
      <c r="JT129" s="131"/>
      <c r="JU129" s="131"/>
      <c r="JV129" s="131"/>
      <c r="JW129" s="131"/>
      <c r="JX129" s="131"/>
      <c r="JY129" s="131"/>
      <c r="JZ129" s="131"/>
      <c r="KA129" s="131"/>
      <c r="KB129" s="131"/>
      <c r="KC129" s="131"/>
      <c r="KD129" s="131"/>
      <c r="KE129" s="131"/>
      <c r="KF129" s="131"/>
      <c r="KG129" s="131"/>
      <c r="KH129" s="131"/>
      <c r="KI129" s="131"/>
      <c r="KJ129" s="131"/>
      <c r="KK129" s="131"/>
      <c r="KL129" s="131"/>
      <c r="KM129" s="131"/>
      <c r="KN129" s="131"/>
      <c r="KO129" s="131"/>
      <c r="KP129" s="131"/>
      <c r="KQ129" s="131"/>
      <c r="KR129" s="131"/>
      <c r="KS129" s="131"/>
      <c r="KT129" s="131"/>
      <c r="KU129" s="131"/>
      <c r="KV129" s="131"/>
      <c r="KW129" s="131"/>
      <c r="KX129" s="131"/>
      <c r="KY129" s="131"/>
      <c r="KZ129" s="131"/>
      <c r="LA129" s="131"/>
      <c r="LB129" s="131"/>
      <c r="LC129" s="131"/>
      <c r="LD129" s="131"/>
      <c r="LE129" s="131"/>
      <c r="LF129" s="131"/>
      <c r="LG129" s="131"/>
      <c r="LH129" s="131"/>
      <c r="LI129" s="131"/>
      <c r="LJ129" s="131"/>
      <c r="LK129" s="131"/>
      <c r="LL129" s="131"/>
      <c r="LM129" s="131"/>
      <c r="LN129" s="131"/>
      <c r="LO129" s="131"/>
      <c r="LP129" s="131"/>
      <c r="LQ129" s="131"/>
      <c r="LR129" s="131"/>
      <c r="LS129" s="131"/>
      <c r="LT129" s="131"/>
      <c r="LU129" s="131"/>
      <c r="LV129" s="131"/>
      <c r="LW129" s="131"/>
      <c r="LX129" s="131"/>
      <c r="LY129" s="131"/>
      <c r="LZ129" s="131"/>
      <c r="MA129" s="131"/>
      <c r="MB129" s="131"/>
      <c r="MC129" s="131"/>
      <c r="MD129" s="131"/>
      <c r="ME129" s="131"/>
      <c r="MF129" s="131"/>
      <c r="MG129" s="131"/>
      <c r="MH129" s="131"/>
      <c r="MI129" s="131"/>
      <c r="MJ129" s="131"/>
      <c r="MK129" s="131"/>
      <c r="ML129" s="131"/>
      <c r="MM129" s="131"/>
      <c r="MN129" s="131"/>
      <c r="MO129" s="131"/>
      <c r="MP129" s="131"/>
      <c r="MQ129" s="131"/>
      <c r="MR129" s="131"/>
      <c r="MS129" s="131"/>
      <c r="MT129" s="131"/>
      <c r="MU129" s="131"/>
      <c r="MV129" s="131"/>
      <c r="MW129" s="131"/>
      <c r="MX129" s="131"/>
      <c r="MY129" s="131"/>
      <c r="MZ129" s="131"/>
      <c r="NA129" s="131"/>
      <c r="NB129" s="131"/>
      <c r="NC129" s="131"/>
      <c r="ND129" s="131"/>
      <c r="NE129" s="131"/>
      <c r="NF129" s="131"/>
      <c r="NG129" s="131"/>
      <c r="NH129" s="131"/>
      <c r="NI129" s="131"/>
      <c r="NJ129" s="131"/>
      <c r="NK129" s="131"/>
      <c r="NL129" s="131"/>
      <c r="NM129" s="131"/>
      <c r="NN129" s="131"/>
      <c r="NO129" s="131"/>
      <c r="NP129" s="131"/>
      <c r="NQ129" s="131"/>
      <c r="NR129" s="131"/>
      <c r="NS129" s="131"/>
      <c r="NT129" s="131"/>
      <c r="NU129" s="131"/>
      <c r="NV129" s="131"/>
      <c r="NW129" s="24">
        <f t="shared" si="17"/>
        <v>0</v>
      </c>
      <c r="NX129" s="56" t="s">
        <v>36</v>
      </c>
      <c r="NY129" s="127">
        <v>817.7</v>
      </c>
      <c r="NZ129" s="78">
        <f t="shared" ref="NZ129:NZ177" si="18">OC129</f>
        <v>0</v>
      </c>
      <c r="OA129" s="78">
        <v>526.62</v>
      </c>
      <c r="OB129" s="127">
        <f t="shared" ref="OB129:OB177" si="19">NY129-NZ129</f>
        <v>817.7</v>
      </c>
      <c r="OC129" s="153"/>
      <c r="OD129" s="108">
        <f t="shared" si="15"/>
        <v>1.5527325206030915</v>
      </c>
      <c r="OE129" s="160" t="s">
        <v>565</v>
      </c>
    </row>
    <row r="130" spans="1:395" s="5" customFormat="1" ht="12.75" customHeight="1" x14ac:dyDescent="0.25">
      <c r="A130" s="62">
        <v>44571</v>
      </c>
      <c r="B130" s="116" t="s">
        <v>92</v>
      </c>
      <c r="C130" s="129"/>
      <c r="D130" s="129"/>
      <c r="E130" s="130"/>
      <c r="F130" s="130"/>
      <c r="G130" s="130"/>
      <c r="H130" s="130"/>
      <c r="I130" s="130"/>
      <c r="J130" s="130"/>
      <c r="K130" s="130"/>
      <c r="L130" s="130"/>
      <c r="M130" s="131"/>
      <c r="N130" s="131"/>
      <c r="O130" s="131"/>
      <c r="P130" s="131"/>
      <c r="Q130" s="131"/>
      <c r="R130" s="131"/>
      <c r="S130" s="131"/>
      <c r="T130" s="131"/>
      <c r="U130" s="131"/>
      <c r="V130" s="131"/>
      <c r="W130" s="131"/>
      <c r="X130" s="131"/>
      <c r="Y130" s="131"/>
      <c r="Z130" s="131"/>
      <c r="AA130" s="131"/>
      <c r="AB130" s="131"/>
      <c r="AC130" s="131"/>
      <c r="AD130" s="131"/>
      <c r="AE130" s="131"/>
      <c r="AF130" s="131"/>
      <c r="AG130" s="131"/>
      <c r="AH130" s="131"/>
      <c r="AI130" s="131"/>
      <c r="AJ130" s="131"/>
      <c r="AK130" s="131"/>
      <c r="AL130" s="131"/>
      <c r="AM130" s="131"/>
      <c r="AN130" s="131"/>
      <c r="AO130" s="131"/>
      <c r="AP130" s="131"/>
      <c r="AQ130" s="131"/>
      <c r="AR130" s="131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1"/>
      <c r="BD130" s="131"/>
      <c r="BE130" s="131"/>
      <c r="BF130" s="131"/>
      <c r="BG130" s="131"/>
      <c r="BH130" s="131"/>
      <c r="BI130" s="131"/>
      <c r="BJ130" s="131"/>
      <c r="BK130" s="131"/>
      <c r="BL130" s="131"/>
      <c r="BM130" s="131"/>
      <c r="BN130" s="131"/>
      <c r="BO130" s="131"/>
      <c r="BP130" s="131"/>
      <c r="BQ130" s="131"/>
      <c r="BR130" s="131"/>
      <c r="BS130" s="131"/>
      <c r="BT130" s="131"/>
      <c r="BU130" s="131"/>
      <c r="BV130" s="131"/>
      <c r="BW130" s="131"/>
      <c r="BX130" s="131"/>
      <c r="BY130" s="131"/>
      <c r="BZ130" s="131"/>
      <c r="CA130" s="131"/>
      <c r="CB130" s="131"/>
      <c r="CC130" s="131"/>
      <c r="CD130" s="131"/>
      <c r="CE130" s="131"/>
      <c r="CF130" s="131">
        <v>7</v>
      </c>
      <c r="CG130" s="131"/>
      <c r="CH130" s="131"/>
      <c r="CI130" s="131"/>
      <c r="CJ130" s="131"/>
      <c r="CK130" s="131"/>
      <c r="CL130" s="131"/>
      <c r="CM130" s="131"/>
      <c r="CN130" s="131"/>
      <c r="CO130" s="131"/>
      <c r="CP130" s="131"/>
      <c r="CQ130" s="131"/>
      <c r="CR130" s="131"/>
      <c r="CS130" s="131"/>
      <c r="CT130" s="131"/>
      <c r="CU130" s="131"/>
      <c r="CV130" s="131"/>
      <c r="CW130" s="131"/>
      <c r="CX130" s="131"/>
      <c r="CY130" s="131"/>
      <c r="CZ130" s="131"/>
      <c r="DA130" s="131"/>
      <c r="DB130" s="131"/>
      <c r="DC130" s="131"/>
      <c r="DD130" s="131"/>
      <c r="DE130" s="131"/>
      <c r="DF130" s="131"/>
      <c r="DG130" s="131"/>
      <c r="DH130" s="131"/>
      <c r="DI130" s="131"/>
      <c r="DJ130" s="131"/>
      <c r="DK130" s="131"/>
      <c r="DL130" s="131"/>
      <c r="DM130" s="131"/>
      <c r="DN130" s="131"/>
      <c r="DO130" s="131"/>
      <c r="DP130" s="131"/>
      <c r="DQ130" s="131"/>
      <c r="DR130" s="131"/>
      <c r="DS130" s="131"/>
      <c r="DT130" s="131"/>
      <c r="DU130" s="131"/>
      <c r="DV130" s="131"/>
      <c r="DW130" s="131"/>
      <c r="DX130" s="131"/>
      <c r="DY130" s="131"/>
      <c r="DZ130" s="131"/>
      <c r="EA130" s="131"/>
      <c r="EB130" s="131"/>
      <c r="EC130" s="131"/>
      <c r="ED130" s="131"/>
      <c r="EE130" s="131"/>
      <c r="EF130" s="131"/>
      <c r="EG130" s="131"/>
      <c r="EH130" s="131"/>
      <c r="EI130" s="131"/>
      <c r="EJ130" s="131"/>
      <c r="EK130" s="131"/>
      <c r="EL130" s="131"/>
      <c r="EM130" s="131"/>
      <c r="EN130" s="131"/>
      <c r="EO130" s="131"/>
      <c r="EP130" s="131"/>
      <c r="EQ130" s="131"/>
      <c r="ER130" s="131"/>
      <c r="ES130" s="131"/>
      <c r="ET130" s="131"/>
      <c r="EU130" s="131"/>
      <c r="EV130" s="131"/>
      <c r="EW130" s="131"/>
      <c r="EX130" s="131"/>
      <c r="EY130" s="131"/>
      <c r="EZ130" s="131"/>
      <c r="FA130" s="131"/>
      <c r="FB130" s="131"/>
      <c r="FC130" s="131"/>
      <c r="FD130" s="131"/>
      <c r="FE130" s="131"/>
      <c r="FF130" s="131"/>
      <c r="FG130" s="131"/>
      <c r="FH130" s="131"/>
      <c r="FI130" s="131"/>
      <c r="FJ130" s="131"/>
      <c r="FK130" s="131"/>
      <c r="FL130" s="131"/>
      <c r="FM130" s="131"/>
      <c r="FN130" s="131"/>
      <c r="FO130" s="131"/>
      <c r="FP130" s="131"/>
      <c r="FQ130" s="131"/>
      <c r="FR130" s="131"/>
      <c r="FS130" s="131"/>
      <c r="FT130" s="131"/>
      <c r="FU130" s="131"/>
      <c r="FV130" s="131"/>
      <c r="FW130" s="131"/>
      <c r="FX130" s="131"/>
      <c r="FY130" s="131"/>
      <c r="FZ130" s="131"/>
      <c r="GA130" s="131"/>
      <c r="GB130" s="131"/>
      <c r="GC130" s="131"/>
      <c r="GD130" s="131"/>
      <c r="GE130" s="131"/>
      <c r="GF130" s="131"/>
      <c r="GG130" s="131"/>
      <c r="GH130" s="131"/>
      <c r="GI130" s="131"/>
      <c r="GJ130" s="131"/>
      <c r="GK130" s="131"/>
      <c r="GL130" s="131"/>
      <c r="GM130" s="131"/>
      <c r="GN130" s="131"/>
      <c r="GO130" s="131"/>
      <c r="GP130" s="131"/>
      <c r="GQ130" s="131"/>
      <c r="GR130" s="131"/>
      <c r="GS130" s="131"/>
      <c r="GT130" s="131"/>
      <c r="GU130" s="131"/>
      <c r="GV130" s="131"/>
      <c r="GW130" s="131"/>
      <c r="GX130" s="131"/>
      <c r="GY130" s="131"/>
      <c r="GZ130" s="131"/>
      <c r="HA130" s="131"/>
      <c r="HB130" s="131"/>
      <c r="HC130" s="131"/>
      <c r="HD130" s="131"/>
      <c r="HE130" s="131"/>
      <c r="HF130" s="131"/>
      <c r="HG130" s="131"/>
      <c r="HH130" s="131"/>
      <c r="HI130" s="131"/>
      <c r="HJ130" s="131"/>
      <c r="HK130" s="131"/>
      <c r="HL130" s="131"/>
      <c r="HM130" s="131"/>
      <c r="HN130" s="131"/>
      <c r="HO130" s="131"/>
      <c r="HP130" s="131"/>
      <c r="HQ130" s="131"/>
      <c r="HR130" s="131"/>
      <c r="HS130" s="131"/>
      <c r="HT130" s="131"/>
      <c r="HU130" s="131"/>
      <c r="HV130" s="131"/>
      <c r="HW130" s="131"/>
      <c r="HX130" s="131"/>
      <c r="HY130" s="131"/>
      <c r="HZ130" s="131"/>
      <c r="IA130" s="131"/>
      <c r="IB130" s="131"/>
      <c r="IC130" s="131"/>
      <c r="ID130" s="131"/>
      <c r="IE130" s="131"/>
      <c r="IF130" s="131"/>
      <c r="IG130" s="131"/>
      <c r="IH130" s="131"/>
      <c r="II130" s="131"/>
      <c r="IJ130" s="131"/>
      <c r="IK130" s="131"/>
      <c r="IL130" s="131"/>
      <c r="IM130" s="131"/>
      <c r="IN130" s="131"/>
      <c r="IO130" s="131"/>
      <c r="IP130" s="131"/>
      <c r="IQ130" s="131"/>
      <c r="IR130" s="131"/>
      <c r="IS130" s="131"/>
      <c r="IT130" s="131"/>
      <c r="IU130" s="131"/>
      <c r="IV130" s="131"/>
      <c r="IW130" s="131"/>
      <c r="IX130" s="131"/>
      <c r="IY130" s="131"/>
      <c r="IZ130" s="131"/>
      <c r="JA130" s="131"/>
      <c r="JB130" s="131"/>
      <c r="JC130" s="131"/>
      <c r="JD130" s="131"/>
      <c r="JE130" s="131"/>
      <c r="JF130" s="131"/>
      <c r="JG130" s="131"/>
      <c r="JH130" s="131"/>
      <c r="JI130" s="131"/>
      <c r="JJ130" s="131"/>
      <c r="JK130" s="131"/>
      <c r="JL130" s="131"/>
      <c r="JM130" s="131"/>
      <c r="JN130" s="131"/>
      <c r="JO130" s="131"/>
      <c r="JP130" s="131"/>
      <c r="JQ130" s="131"/>
      <c r="JR130" s="131"/>
      <c r="JS130" s="131"/>
      <c r="JT130" s="131"/>
      <c r="JU130" s="131"/>
      <c r="JV130" s="131"/>
      <c r="JW130" s="131"/>
      <c r="JX130" s="131"/>
      <c r="JY130" s="131"/>
      <c r="JZ130" s="131"/>
      <c r="KA130" s="131"/>
      <c r="KB130" s="131"/>
      <c r="KC130" s="131"/>
      <c r="KD130" s="131"/>
      <c r="KE130" s="131"/>
      <c r="KF130" s="131"/>
      <c r="KG130" s="131"/>
      <c r="KH130" s="131"/>
      <c r="KI130" s="131"/>
      <c r="KJ130" s="131"/>
      <c r="KK130" s="131"/>
      <c r="KL130" s="131"/>
      <c r="KM130" s="131"/>
      <c r="KN130" s="131"/>
      <c r="KO130" s="131"/>
      <c r="KP130" s="131"/>
      <c r="KQ130" s="131"/>
      <c r="KR130" s="131"/>
      <c r="KS130" s="131"/>
      <c r="KT130" s="131"/>
      <c r="KU130" s="131"/>
      <c r="KV130" s="131"/>
      <c r="KW130" s="131"/>
      <c r="KX130" s="131"/>
      <c r="KY130" s="131"/>
      <c r="KZ130" s="131"/>
      <c r="LA130" s="131"/>
      <c r="LB130" s="131"/>
      <c r="LC130" s="131"/>
      <c r="LD130" s="131"/>
      <c r="LE130" s="131"/>
      <c r="LF130" s="131"/>
      <c r="LG130" s="131"/>
      <c r="LH130" s="131"/>
      <c r="LI130" s="131"/>
      <c r="LJ130" s="131"/>
      <c r="LK130" s="131"/>
      <c r="LL130" s="131"/>
      <c r="LM130" s="131"/>
      <c r="LN130" s="131"/>
      <c r="LO130" s="131"/>
      <c r="LP130" s="131"/>
      <c r="LQ130" s="131"/>
      <c r="LR130" s="131"/>
      <c r="LS130" s="131"/>
      <c r="LT130" s="131"/>
      <c r="LU130" s="131"/>
      <c r="LV130" s="131"/>
      <c r="LW130" s="131"/>
      <c r="LX130" s="131"/>
      <c r="LY130" s="131"/>
      <c r="LZ130" s="131"/>
      <c r="MA130" s="131"/>
      <c r="MB130" s="131"/>
      <c r="MC130" s="131"/>
      <c r="MD130" s="131"/>
      <c r="ME130" s="131"/>
      <c r="MF130" s="131"/>
      <c r="MG130" s="131"/>
      <c r="MH130" s="131"/>
      <c r="MI130" s="131"/>
      <c r="MJ130" s="131"/>
      <c r="MK130" s="131"/>
      <c r="ML130" s="131"/>
      <c r="MM130" s="131"/>
      <c r="MN130" s="131"/>
      <c r="MO130" s="131"/>
      <c r="MP130" s="131"/>
      <c r="MQ130" s="131"/>
      <c r="MR130" s="131"/>
      <c r="MS130" s="131"/>
      <c r="MT130" s="131"/>
      <c r="MU130" s="131"/>
      <c r="MV130" s="131"/>
      <c r="MW130" s="131"/>
      <c r="MX130" s="131"/>
      <c r="MY130" s="131"/>
      <c r="MZ130" s="131"/>
      <c r="NA130" s="131"/>
      <c r="NB130" s="131"/>
      <c r="NC130" s="131"/>
      <c r="ND130" s="131"/>
      <c r="NE130" s="131"/>
      <c r="NF130" s="131"/>
      <c r="NG130" s="131"/>
      <c r="NH130" s="131"/>
      <c r="NI130" s="131"/>
      <c r="NJ130" s="131"/>
      <c r="NK130" s="131"/>
      <c r="NL130" s="131"/>
      <c r="NM130" s="131"/>
      <c r="NN130" s="131"/>
      <c r="NO130" s="131"/>
      <c r="NP130" s="131"/>
      <c r="NQ130" s="131"/>
      <c r="NR130" s="131"/>
      <c r="NS130" s="131"/>
      <c r="NT130" s="131"/>
      <c r="NU130" s="131"/>
      <c r="NV130" s="131"/>
      <c r="NW130" s="24">
        <f t="shared" si="17"/>
        <v>7</v>
      </c>
      <c r="NX130" s="56" t="s">
        <v>36</v>
      </c>
      <c r="NY130" s="127">
        <v>300.89</v>
      </c>
      <c r="NZ130" s="78">
        <f t="shared" si="18"/>
        <v>0</v>
      </c>
      <c r="OA130" s="78">
        <v>172.76</v>
      </c>
      <c r="OB130" s="127">
        <f t="shared" si="19"/>
        <v>300.89</v>
      </c>
      <c r="OC130" s="153"/>
      <c r="OD130" s="108">
        <f t="shared" si="15"/>
        <v>1.741664737207687</v>
      </c>
      <c r="OE130" s="160" t="s">
        <v>566</v>
      </c>
    </row>
    <row r="131" spans="1:395" s="5" customFormat="1" ht="12.75" customHeight="1" x14ac:dyDescent="0.25">
      <c r="A131" s="62">
        <v>44571</v>
      </c>
      <c r="B131" s="116" t="s">
        <v>265</v>
      </c>
      <c r="C131" s="129"/>
      <c r="D131" s="129"/>
      <c r="E131" s="130"/>
      <c r="F131" s="130"/>
      <c r="G131" s="130"/>
      <c r="H131" s="130"/>
      <c r="I131" s="130"/>
      <c r="J131" s="130"/>
      <c r="K131" s="130"/>
      <c r="L131" s="130"/>
      <c r="M131" s="131"/>
      <c r="N131" s="131"/>
      <c r="O131" s="131"/>
      <c r="P131" s="131"/>
      <c r="Q131" s="131"/>
      <c r="R131" s="131"/>
      <c r="S131" s="131"/>
      <c r="T131" s="131"/>
      <c r="U131" s="131"/>
      <c r="V131" s="131"/>
      <c r="W131" s="131"/>
      <c r="X131" s="131"/>
      <c r="Y131" s="131"/>
      <c r="Z131" s="131"/>
      <c r="AA131" s="131"/>
      <c r="AB131" s="131"/>
      <c r="AC131" s="131"/>
      <c r="AD131" s="131"/>
      <c r="AE131" s="131"/>
      <c r="AF131" s="131"/>
      <c r="AG131" s="131"/>
      <c r="AH131" s="131"/>
      <c r="AI131" s="131"/>
      <c r="AJ131" s="131"/>
      <c r="AK131" s="131"/>
      <c r="AL131" s="131"/>
      <c r="AM131" s="131"/>
      <c r="AN131" s="131"/>
      <c r="AO131" s="131"/>
      <c r="AP131" s="131"/>
      <c r="AQ131" s="131"/>
      <c r="AR131" s="131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131"/>
      <c r="BD131" s="131"/>
      <c r="BE131" s="131"/>
      <c r="BF131" s="131"/>
      <c r="BG131" s="131"/>
      <c r="BH131" s="131"/>
      <c r="BI131" s="131"/>
      <c r="BJ131" s="131"/>
      <c r="BK131" s="131"/>
      <c r="BL131" s="131"/>
      <c r="BM131" s="131"/>
      <c r="BN131" s="131"/>
      <c r="BO131" s="131"/>
      <c r="BP131" s="131"/>
      <c r="BQ131" s="131"/>
      <c r="BR131" s="131"/>
      <c r="BS131" s="131"/>
      <c r="BT131" s="131"/>
      <c r="BU131" s="131"/>
      <c r="BV131" s="131"/>
      <c r="BW131" s="131"/>
      <c r="BX131" s="131"/>
      <c r="BY131" s="131"/>
      <c r="BZ131" s="131"/>
      <c r="CA131" s="131"/>
      <c r="CB131" s="131"/>
      <c r="CC131" s="131"/>
      <c r="CD131" s="131"/>
      <c r="CE131" s="131"/>
      <c r="CF131" s="131"/>
      <c r="CG131" s="131"/>
      <c r="CH131" s="131"/>
      <c r="CI131" s="131"/>
      <c r="CJ131" s="131"/>
      <c r="CK131" s="131"/>
      <c r="CL131" s="131"/>
      <c r="CM131" s="131"/>
      <c r="CN131" s="131"/>
      <c r="CO131" s="131"/>
      <c r="CP131" s="131"/>
      <c r="CQ131" s="131"/>
      <c r="CR131" s="131"/>
      <c r="CS131" s="131"/>
      <c r="CT131" s="131"/>
      <c r="CU131" s="131"/>
      <c r="CV131" s="131"/>
      <c r="CW131" s="131"/>
      <c r="CX131" s="131"/>
      <c r="CY131" s="131"/>
      <c r="CZ131" s="131"/>
      <c r="DA131" s="131"/>
      <c r="DB131" s="131"/>
      <c r="DC131" s="131"/>
      <c r="DD131" s="131"/>
      <c r="DE131" s="131"/>
      <c r="DF131" s="131"/>
      <c r="DG131" s="131"/>
      <c r="DH131" s="131"/>
      <c r="DI131" s="131"/>
      <c r="DJ131" s="131"/>
      <c r="DK131" s="131"/>
      <c r="DL131" s="131"/>
      <c r="DM131" s="131"/>
      <c r="DN131" s="131"/>
      <c r="DO131" s="131"/>
      <c r="DP131" s="131"/>
      <c r="DQ131" s="131"/>
      <c r="DR131" s="131"/>
      <c r="DS131" s="131"/>
      <c r="DT131" s="131"/>
      <c r="DU131" s="131"/>
      <c r="DV131" s="131"/>
      <c r="DW131" s="131"/>
      <c r="DX131" s="131"/>
      <c r="DY131" s="131"/>
      <c r="DZ131" s="131"/>
      <c r="EA131" s="131"/>
      <c r="EB131" s="131"/>
      <c r="EC131" s="131"/>
      <c r="ED131" s="131"/>
      <c r="EE131" s="131"/>
      <c r="EF131" s="131"/>
      <c r="EG131" s="131"/>
      <c r="EH131" s="131"/>
      <c r="EI131" s="131"/>
      <c r="EJ131" s="131"/>
      <c r="EK131" s="131"/>
      <c r="EL131" s="131"/>
      <c r="EM131" s="131"/>
      <c r="EN131" s="131"/>
      <c r="EO131" s="131"/>
      <c r="EP131" s="131"/>
      <c r="EQ131" s="131"/>
      <c r="ER131" s="131"/>
      <c r="ES131" s="131"/>
      <c r="ET131" s="131"/>
      <c r="EU131" s="131"/>
      <c r="EV131" s="131"/>
      <c r="EW131" s="131"/>
      <c r="EX131" s="131"/>
      <c r="EY131" s="131"/>
      <c r="EZ131" s="131"/>
      <c r="FA131" s="131"/>
      <c r="FB131" s="131"/>
      <c r="FC131" s="131"/>
      <c r="FD131" s="131"/>
      <c r="FE131" s="131">
        <v>2</v>
      </c>
      <c r="FF131" s="131"/>
      <c r="FG131" s="131"/>
      <c r="FH131" s="131"/>
      <c r="FI131" s="131"/>
      <c r="FJ131" s="131"/>
      <c r="FK131" s="131"/>
      <c r="FL131" s="131"/>
      <c r="FM131" s="131"/>
      <c r="FN131" s="131"/>
      <c r="FO131" s="131"/>
      <c r="FP131" s="131"/>
      <c r="FQ131" s="131"/>
      <c r="FR131" s="131"/>
      <c r="FS131" s="131"/>
      <c r="FT131" s="131"/>
      <c r="FU131" s="131"/>
      <c r="FV131" s="131"/>
      <c r="FW131" s="131"/>
      <c r="FX131" s="131"/>
      <c r="FY131" s="131"/>
      <c r="FZ131" s="131"/>
      <c r="GA131" s="131"/>
      <c r="GB131" s="131"/>
      <c r="GC131" s="131"/>
      <c r="GD131" s="131"/>
      <c r="GE131" s="131"/>
      <c r="GF131" s="131"/>
      <c r="GG131" s="131"/>
      <c r="GH131" s="131"/>
      <c r="GI131" s="131"/>
      <c r="GJ131" s="131"/>
      <c r="GK131" s="131"/>
      <c r="GL131" s="131"/>
      <c r="GM131" s="131"/>
      <c r="GN131" s="131"/>
      <c r="GO131" s="131"/>
      <c r="GP131" s="131"/>
      <c r="GQ131" s="131"/>
      <c r="GR131" s="131"/>
      <c r="GS131" s="131"/>
      <c r="GT131" s="131"/>
      <c r="GU131" s="131"/>
      <c r="GV131" s="131"/>
      <c r="GW131" s="131"/>
      <c r="GX131" s="131"/>
      <c r="GY131" s="131"/>
      <c r="GZ131" s="131"/>
      <c r="HA131" s="131"/>
      <c r="HB131" s="131"/>
      <c r="HC131" s="131"/>
      <c r="HD131" s="131"/>
      <c r="HE131" s="131"/>
      <c r="HF131" s="131"/>
      <c r="HG131" s="131"/>
      <c r="HH131" s="131"/>
      <c r="HI131" s="131"/>
      <c r="HJ131" s="131"/>
      <c r="HK131" s="131"/>
      <c r="HL131" s="131"/>
      <c r="HM131" s="131"/>
      <c r="HN131" s="131"/>
      <c r="HO131" s="131"/>
      <c r="HP131" s="131"/>
      <c r="HQ131" s="131"/>
      <c r="HR131" s="131"/>
      <c r="HS131" s="131"/>
      <c r="HT131" s="131"/>
      <c r="HU131" s="131"/>
      <c r="HV131" s="131"/>
      <c r="HW131" s="131"/>
      <c r="HX131" s="131"/>
      <c r="HY131" s="131"/>
      <c r="HZ131" s="131"/>
      <c r="IA131" s="131"/>
      <c r="IB131" s="131"/>
      <c r="IC131" s="131"/>
      <c r="ID131" s="131"/>
      <c r="IE131" s="131"/>
      <c r="IF131" s="131"/>
      <c r="IG131" s="131"/>
      <c r="IH131" s="131"/>
      <c r="II131" s="131"/>
      <c r="IJ131" s="131"/>
      <c r="IK131" s="131"/>
      <c r="IL131" s="131"/>
      <c r="IM131" s="131"/>
      <c r="IN131" s="131"/>
      <c r="IO131" s="131"/>
      <c r="IP131" s="131"/>
      <c r="IQ131" s="131"/>
      <c r="IR131" s="131"/>
      <c r="IS131" s="131"/>
      <c r="IT131" s="131"/>
      <c r="IU131" s="131"/>
      <c r="IV131" s="131"/>
      <c r="IW131" s="131"/>
      <c r="IX131" s="131"/>
      <c r="IY131" s="131"/>
      <c r="IZ131" s="131"/>
      <c r="JA131" s="131"/>
      <c r="JB131" s="131"/>
      <c r="JC131" s="131"/>
      <c r="JD131" s="131"/>
      <c r="JE131" s="131"/>
      <c r="JF131" s="131"/>
      <c r="JG131" s="131"/>
      <c r="JH131" s="131"/>
      <c r="JI131" s="131"/>
      <c r="JJ131" s="131"/>
      <c r="JK131" s="131"/>
      <c r="JL131" s="131"/>
      <c r="JM131" s="131"/>
      <c r="JN131" s="131"/>
      <c r="JO131" s="131"/>
      <c r="JP131" s="131"/>
      <c r="JQ131" s="131"/>
      <c r="JR131" s="131"/>
      <c r="JS131" s="131"/>
      <c r="JT131" s="131"/>
      <c r="JU131" s="131"/>
      <c r="JV131" s="131"/>
      <c r="JW131" s="131"/>
      <c r="JX131" s="131"/>
      <c r="JY131" s="131"/>
      <c r="JZ131" s="131"/>
      <c r="KA131" s="131"/>
      <c r="KB131" s="131"/>
      <c r="KC131" s="131"/>
      <c r="KD131" s="131"/>
      <c r="KE131" s="131"/>
      <c r="KF131" s="131"/>
      <c r="KG131" s="131"/>
      <c r="KH131" s="131"/>
      <c r="KI131" s="131"/>
      <c r="KJ131" s="131"/>
      <c r="KK131" s="131"/>
      <c r="KL131" s="131"/>
      <c r="KM131" s="131"/>
      <c r="KN131" s="131"/>
      <c r="KO131" s="131"/>
      <c r="KP131" s="131"/>
      <c r="KQ131" s="131"/>
      <c r="KR131" s="131"/>
      <c r="KS131" s="131"/>
      <c r="KT131" s="131"/>
      <c r="KU131" s="131"/>
      <c r="KV131" s="131"/>
      <c r="KW131" s="131"/>
      <c r="KX131" s="131"/>
      <c r="KY131" s="131"/>
      <c r="KZ131" s="131"/>
      <c r="LA131" s="131"/>
      <c r="LB131" s="131"/>
      <c r="LC131" s="131"/>
      <c r="LD131" s="131"/>
      <c r="LE131" s="131"/>
      <c r="LF131" s="131"/>
      <c r="LG131" s="131"/>
      <c r="LH131" s="131"/>
      <c r="LI131" s="131"/>
      <c r="LJ131" s="131"/>
      <c r="LK131" s="131"/>
      <c r="LL131" s="131"/>
      <c r="LM131" s="131"/>
      <c r="LN131" s="131"/>
      <c r="LO131" s="131"/>
      <c r="LP131" s="131"/>
      <c r="LQ131" s="131"/>
      <c r="LR131" s="131"/>
      <c r="LS131" s="131"/>
      <c r="LT131" s="131"/>
      <c r="LU131" s="131"/>
      <c r="LV131" s="131"/>
      <c r="LW131" s="131"/>
      <c r="LX131" s="131"/>
      <c r="LY131" s="131"/>
      <c r="LZ131" s="131"/>
      <c r="MA131" s="131"/>
      <c r="MB131" s="131"/>
      <c r="MC131" s="131"/>
      <c r="MD131" s="131"/>
      <c r="ME131" s="131"/>
      <c r="MF131" s="131"/>
      <c r="MG131" s="131"/>
      <c r="MH131" s="131"/>
      <c r="MI131" s="131"/>
      <c r="MJ131" s="131"/>
      <c r="MK131" s="131"/>
      <c r="ML131" s="131"/>
      <c r="MM131" s="131"/>
      <c r="MN131" s="131"/>
      <c r="MO131" s="131"/>
      <c r="MP131" s="131"/>
      <c r="MQ131" s="131"/>
      <c r="MR131" s="131"/>
      <c r="MS131" s="131"/>
      <c r="MT131" s="131"/>
      <c r="MU131" s="131"/>
      <c r="MV131" s="131"/>
      <c r="MW131" s="131"/>
      <c r="MX131" s="131"/>
      <c r="MY131" s="131"/>
      <c r="MZ131" s="131"/>
      <c r="NA131" s="131"/>
      <c r="NB131" s="131"/>
      <c r="NC131" s="131"/>
      <c r="ND131" s="131"/>
      <c r="NE131" s="131"/>
      <c r="NF131" s="131"/>
      <c r="NG131" s="131"/>
      <c r="NH131" s="131"/>
      <c r="NI131" s="131"/>
      <c r="NJ131" s="131"/>
      <c r="NK131" s="131"/>
      <c r="NL131" s="131"/>
      <c r="NM131" s="131"/>
      <c r="NN131" s="131"/>
      <c r="NO131" s="131"/>
      <c r="NP131" s="131"/>
      <c r="NQ131" s="131"/>
      <c r="NR131" s="131"/>
      <c r="NS131" s="131"/>
      <c r="NT131" s="131"/>
      <c r="NU131" s="131"/>
      <c r="NV131" s="131"/>
      <c r="NW131" s="24">
        <f t="shared" si="17"/>
        <v>2</v>
      </c>
      <c r="NX131" s="56" t="s">
        <v>36</v>
      </c>
      <c r="NY131" s="127">
        <v>100.51</v>
      </c>
      <c r="NZ131" s="78">
        <f t="shared" si="18"/>
        <v>0</v>
      </c>
      <c r="OA131" s="78">
        <v>54.76</v>
      </c>
      <c r="OB131" s="127">
        <f t="shared" si="19"/>
        <v>100.51</v>
      </c>
      <c r="OC131" s="153"/>
      <c r="OD131" s="108">
        <f t="shared" si="15"/>
        <v>1.8354638422205991</v>
      </c>
      <c r="OE131" s="160" t="s">
        <v>566</v>
      </c>
    </row>
    <row r="132" spans="1:395" s="5" customFormat="1" ht="12.75" hidden="1" customHeight="1" x14ac:dyDescent="0.25">
      <c r="A132" s="62">
        <v>44572</v>
      </c>
      <c r="B132" s="116" t="s">
        <v>358</v>
      </c>
      <c r="C132" s="129"/>
      <c r="D132" s="129"/>
      <c r="E132" s="130"/>
      <c r="F132" s="130"/>
      <c r="G132" s="130"/>
      <c r="H132" s="130"/>
      <c r="I132" s="130"/>
      <c r="J132" s="130"/>
      <c r="K132" s="130"/>
      <c r="L132" s="130"/>
      <c r="M132" s="131"/>
      <c r="N132" s="131"/>
      <c r="O132" s="131"/>
      <c r="P132" s="131"/>
      <c r="Q132" s="131"/>
      <c r="R132" s="131"/>
      <c r="S132" s="131"/>
      <c r="T132" s="131"/>
      <c r="U132" s="131"/>
      <c r="V132" s="131"/>
      <c r="W132" s="131"/>
      <c r="X132" s="131"/>
      <c r="Y132" s="131"/>
      <c r="Z132" s="131"/>
      <c r="AA132" s="131"/>
      <c r="AB132" s="131"/>
      <c r="AC132" s="131"/>
      <c r="AD132" s="131"/>
      <c r="AE132" s="131"/>
      <c r="AF132" s="131"/>
      <c r="AG132" s="131"/>
      <c r="AH132" s="131"/>
      <c r="AI132" s="131"/>
      <c r="AJ132" s="131"/>
      <c r="AK132" s="131"/>
      <c r="AL132" s="131"/>
      <c r="AM132" s="131"/>
      <c r="AN132" s="131"/>
      <c r="AO132" s="131"/>
      <c r="AP132" s="131"/>
      <c r="AQ132" s="131"/>
      <c r="AR132" s="131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131"/>
      <c r="BD132" s="131"/>
      <c r="BE132" s="131"/>
      <c r="BF132" s="131"/>
      <c r="BG132" s="131"/>
      <c r="BH132" s="131"/>
      <c r="BI132" s="131"/>
      <c r="BJ132" s="131"/>
      <c r="BK132" s="131"/>
      <c r="BL132" s="131"/>
      <c r="BM132" s="131"/>
      <c r="BN132" s="131"/>
      <c r="BO132" s="131"/>
      <c r="BP132" s="131"/>
      <c r="BQ132" s="131"/>
      <c r="BR132" s="131"/>
      <c r="BS132" s="131"/>
      <c r="BT132" s="131"/>
      <c r="BU132" s="131"/>
      <c r="BV132" s="131"/>
      <c r="BW132" s="131"/>
      <c r="BX132" s="131"/>
      <c r="BY132" s="131"/>
      <c r="BZ132" s="131"/>
      <c r="CA132" s="131"/>
      <c r="CB132" s="131"/>
      <c r="CC132" s="131"/>
      <c r="CD132" s="131"/>
      <c r="CE132" s="131"/>
      <c r="CF132" s="131"/>
      <c r="CG132" s="131"/>
      <c r="CH132" s="131"/>
      <c r="CI132" s="131"/>
      <c r="CJ132" s="131"/>
      <c r="CK132" s="131"/>
      <c r="CL132" s="131"/>
      <c r="CM132" s="131"/>
      <c r="CN132" s="131"/>
      <c r="CO132" s="131"/>
      <c r="CP132" s="131"/>
      <c r="CQ132" s="131"/>
      <c r="CR132" s="131"/>
      <c r="CS132" s="131"/>
      <c r="CT132" s="131"/>
      <c r="CU132" s="131"/>
      <c r="CV132" s="131"/>
      <c r="CW132" s="131"/>
      <c r="CX132" s="131"/>
      <c r="CY132" s="131"/>
      <c r="CZ132" s="131"/>
      <c r="DA132" s="131"/>
      <c r="DB132" s="131"/>
      <c r="DC132" s="131"/>
      <c r="DD132" s="131"/>
      <c r="DE132" s="131"/>
      <c r="DF132" s="131"/>
      <c r="DG132" s="131"/>
      <c r="DH132" s="131"/>
      <c r="DI132" s="131"/>
      <c r="DJ132" s="131"/>
      <c r="DK132" s="131"/>
      <c r="DL132" s="131"/>
      <c r="DM132" s="131"/>
      <c r="DN132" s="131"/>
      <c r="DO132" s="131"/>
      <c r="DP132" s="131"/>
      <c r="DQ132" s="131"/>
      <c r="DR132" s="131"/>
      <c r="DS132" s="131"/>
      <c r="DT132" s="131"/>
      <c r="DU132" s="131"/>
      <c r="DV132" s="131"/>
      <c r="DW132" s="131"/>
      <c r="DX132" s="131"/>
      <c r="DY132" s="131"/>
      <c r="DZ132" s="131"/>
      <c r="EA132" s="131"/>
      <c r="EB132" s="131"/>
      <c r="EC132" s="131"/>
      <c r="ED132" s="131"/>
      <c r="EE132" s="131"/>
      <c r="EF132" s="131"/>
      <c r="EG132" s="131"/>
      <c r="EH132" s="131"/>
      <c r="EI132" s="131"/>
      <c r="EJ132" s="131"/>
      <c r="EK132" s="131"/>
      <c r="EL132" s="131"/>
      <c r="EM132" s="131"/>
      <c r="EN132" s="131"/>
      <c r="EO132" s="131"/>
      <c r="EP132" s="131"/>
      <c r="EQ132" s="131"/>
      <c r="ER132" s="131"/>
      <c r="ES132" s="131"/>
      <c r="ET132" s="131"/>
      <c r="EU132" s="131"/>
      <c r="EV132" s="131"/>
      <c r="EW132" s="131"/>
      <c r="EX132" s="131"/>
      <c r="EY132" s="131"/>
      <c r="EZ132" s="131"/>
      <c r="FA132" s="131"/>
      <c r="FB132" s="131"/>
      <c r="FC132" s="131"/>
      <c r="FD132" s="131"/>
      <c r="FE132" s="131"/>
      <c r="FF132" s="131"/>
      <c r="FG132" s="131"/>
      <c r="FH132" s="131"/>
      <c r="FI132" s="131"/>
      <c r="FJ132" s="131"/>
      <c r="FK132" s="131"/>
      <c r="FL132" s="131"/>
      <c r="FM132" s="131"/>
      <c r="FN132" s="131"/>
      <c r="FO132" s="131"/>
      <c r="FP132" s="131">
        <v>10</v>
      </c>
      <c r="FQ132" s="131"/>
      <c r="FR132" s="131"/>
      <c r="FS132" s="131"/>
      <c r="FT132" s="131"/>
      <c r="FU132" s="131"/>
      <c r="FV132" s="131"/>
      <c r="FW132" s="131"/>
      <c r="FX132" s="131"/>
      <c r="FY132" s="131"/>
      <c r="FZ132" s="131"/>
      <c r="GA132" s="131"/>
      <c r="GB132" s="131"/>
      <c r="GC132" s="131"/>
      <c r="GD132" s="131"/>
      <c r="GE132" s="131"/>
      <c r="GF132" s="131"/>
      <c r="GG132" s="131"/>
      <c r="GH132" s="131"/>
      <c r="GI132" s="131"/>
      <c r="GJ132" s="131"/>
      <c r="GK132" s="131"/>
      <c r="GL132" s="131"/>
      <c r="GM132" s="131"/>
      <c r="GN132" s="131"/>
      <c r="GO132" s="131"/>
      <c r="GP132" s="131"/>
      <c r="GQ132" s="131"/>
      <c r="GR132" s="131"/>
      <c r="GS132" s="131"/>
      <c r="GT132" s="131"/>
      <c r="GU132" s="131"/>
      <c r="GV132" s="131"/>
      <c r="GW132" s="131"/>
      <c r="GX132" s="131"/>
      <c r="GY132" s="131"/>
      <c r="GZ132" s="131"/>
      <c r="HA132" s="131"/>
      <c r="HB132" s="131"/>
      <c r="HC132" s="131"/>
      <c r="HD132" s="131"/>
      <c r="HE132" s="131"/>
      <c r="HF132" s="131"/>
      <c r="HG132" s="131"/>
      <c r="HH132" s="131"/>
      <c r="HI132" s="131"/>
      <c r="HJ132" s="131"/>
      <c r="HK132" s="131"/>
      <c r="HL132" s="131"/>
      <c r="HM132" s="131"/>
      <c r="HN132" s="131"/>
      <c r="HO132" s="131"/>
      <c r="HP132" s="131"/>
      <c r="HQ132" s="131"/>
      <c r="HR132" s="131"/>
      <c r="HS132" s="131"/>
      <c r="HT132" s="131"/>
      <c r="HU132" s="131"/>
      <c r="HV132" s="131"/>
      <c r="HW132" s="131"/>
      <c r="HX132" s="131"/>
      <c r="HY132" s="131"/>
      <c r="HZ132" s="131"/>
      <c r="IA132" s="131"/>
      <c r="IB132" s="131"/>
      <c r="IC132" s="131"/>
      <c r="ID132" s="131"/>
      <c r="IE132" s="131"/>
      <c r="IF132" s="131"/>
      <c r="IG132" s="131"/>
      <c r="IH132" s="131"/>
      <c r="II132" s="131"/>
      <c r="IJ132" s="131"/>
      <c r="IK132" s="131"/>
      <c r="IL132" s="131"/>
      <c r="IM132" s="131"/>
      <c r="IN132" s="131"/>
      <c r="IO132" s="131"/>
      <c r="IP132" s="131"/>
      <c r="IQ132" s="131"/>
      <c r="IR132" s="131"/>
      <c r="IS132" s="131"/>
      <c r="IT132" s="131"/>
      <c r="IU132" s="131"/>
      <c r="IV132" s="131"/>
      <c r="IW132" s="131"/>
      <c r="IX132" s="131"/>
      <c r="IY132" s="131"/>
      <c r="IZ132" s="131"/>
      <c r="JA132" s="131"/>
      <c r="JB132" s="131"/>
      <c r="JC132" s="131"/>
      <c r="JD132" s="131"/>
      <c r="JE132" s="131"/>
      <c r="JF132" s="131"/>
      <c r="JG132" s="131"/>
      <c r="JH132" s="131"/>
      <c r="JI132" s="131"/>
      <c r="JJ132" s="131"/>
      <c r="JK132" s="131"/>
      <c r="JL132" s="131"/>
      <c r="JM132" s="131"/>
      <c r="JN132" s="131"/>
      <c r="JO132" s="131"/>
      <c r="JP132" s="131"/>
      <c r="JQ132" s="131"/>
      <c r="JR132" s="131"/>
      <c r="JS132" s="131"/>
      <c r="JT132" s="131"/>
      <c r="JU132" s="131"/>
      <c r="JV132" s="131"/>
      <c r="JW132" s="131"/>
      <c r="JX132" s="131"/>
      <c r="JY132" s="131"/>
      <c r="JZ132" s="131"/>
      <c r="KA132" s="131"/>
      <c r="KB132" s="131"/>
      <c r="KC132" s="131"/>
      <c r="KD132" s="131"/>
      <c r="KE132" s="131"/>
      <c r="KF132" s="131"/>
      <c r="KG132" s="131"/>
      <c r="KH132" s="131"/>
      <c r="KI132" s="131"/>
      <c r="KJ132" s="131"/>
      <c r="KK132" s="131"/>
      <c r="KL132" s="131"/>
      <c r="KM132" s="131"/>
      <c r="KN132" s="131"/>
      <c r="KO132" s="131"/>
      <c r="KP132" s="131"/>
      <c r="KQ132" s="131"/>
      <c r="KR132" s="131"/>
      <c r="KS132" s="131"/>
      <c r="KT132" s="131"/>
      <c r="KU132" s="131"/>
      <c r="KV132" s="131"/>
      <c r="KW132" s="131"/>
      <c r="KX132" s="131"/>
      <c r="KY132" s="131"/>
      <c r="KZ132" s="131"/>
      <c r="LA132" s="131"/>
      <c r="LB132" s="131"/>
      <c r="LC132" s="131"/>
      <c r="LD132" s="131"/>
      <c r="LE132" s="131"/>
      <c r="LF132" s="131"/>
      <c r="LG132" s="131"/>
      <c r="LH132" s="131"/>
      <c r="LI132" s="131"/>
      <c r="LJ132" s="131"/>
      <c r="LK132" s="131"/>
      <c r="LL132" s="131"/>
      <c r="LM132" s="131"/>
      <c r="LN132" s="131"/>
      <c r="LO132" s="131"/>
      <c r="LP132" s="131"/>
      <c r="LQ132" s="131"/>
      <c r="LR132" s="131"/>
      <c r="LS132" s="131"/>
      <c r="LT132" s="131"/>
      <c r="LU132" s="131"/>
      <c r="LV132" s="131"/>
      <c r="LW132" s="131"/>
      <c r="LX132" s="131"/>
      <c r="LY132" s="131"/>
      <c r="LZ132" s="131"/>
      <c r="MA132" s="131"/>
      <c r="MB132" s="131"/>
      <c r="MC132" s="131"/>
      <c r="MD132" s="131"/>
      <c r="ME132" s="131"/>
      <c r="MF132" s="131"/>
      <c r="MG132" s="131"/>
      <c r="MH132" s="131"/>
      <c r="MI132" s="131"/>
      <c r="MJ132" s="131"/>
      <c r="MK132" s="131"/>
      <c r="ML132" s="131"/>
      <c r="MM132" s="131"/>
      <c r="MN132" s="131"/>
      <c r="MO132" s="131"/>
      <c r="MP132" s="131"/>
      <c r="MQ132" s="131"/>
      <c r="MR132" s="131"/>
      <c r="MS132" s="131"/>
      <c r="MT132" s="131"/>
      <c r="MU132" s="131"/>
      <c r="MV132" s="131"/>
      <c r="MW132" s="131"/>
      <c r="MX132" s="131"/>
      <c r="MY132" s="131"/>
      <c r="MZ132" s="131"/>
      <c r="NA132" s="131"/>
      <c r="NB132" s="131"/>
      <c r="NC132" s="131"/>
      <c r="ND132" s="131"/>
      <c r="NE132" s="131"/>
      <c r="NF132" s="131"/>
      <c r="NG132" s="131"/>
      <c r="NH132" s="131"/>
      <c r="NI132" s="131"/>
      <c r="NJ132" s="131"/>
      <c r="NK132" s="131"/>
      <c r="NL132" s="131"/>
      <c r="NM132" s="131"/>
      <c r="NN132" s="131"/>
      <c r="NO132" s="131"/>
      <c r="NP132" s="131"/>
      <c r="NQ132" s="131"/>
      <c r="NR132" s="131"/>
      <c r="NS132" s="131"/>
      <c r="NT132" s="131"/>
      <c r="NU132" s="131"/>
      <c r="NV132" s="131"/>
      <c r="NW132" s="24">
        <f t="shared" si="17"/>
        <v>0</v>
      </c>
      <c r="NX132" s="56" t="s">
        <v>36</v>
      </c>
      <c r="NY132" s="127">
        <v>535.67999999999995</v>
      </c>
      <c r="NZ132" s="78">
        <f t="shared" si="18"/>
        <v>535.67999999999995</v>
      </c>
      <c r="OA132" s="78">
        <v>231.29999999999998</v>
      </c>
      <c r="OB132" s="127">
        <f t="shared" si="19"/>
        <v>0</v>
      </c>
      <c r="OC132" s="153">
        <v>535.67999999999995</v>
      </c>
      <c r="OD132" s="108">
        <f t="shared" si="15"/>
        <v>2.3159533073929959</v>
      </c>
      <c r="OE132" s="160" t="s">
        <v>569</v>
      </c>
    </row>
    <row r="133" spans="1:395" s="5" customFormat="1" ht="12.75" customHeight="1" x14ac:dyDescent="0.25">
      <c r="A133" s="62">
        <v>44572</v>
      </c>
      <c r="B133" s="106" t="s">
        <v>352</v>
      </c>
      <c r="C133" s="129"/>
      <c r="D133" s="129"/>
      <c r="E133" s="130"/>
      <c r="F133" s="130"/>
      <c r="G133" s="130"/>
      <c r="H133" s="130"/>
      <c r="I133" s="130"/>
      <c r="J133" s="130">
        <v>10</v>
      </c>
      <c r="K133" s="130"/>
      <c r="L133" s="130"/>
      <c r="M133" s="131"/>
      <c r="N133" s="131"/>
      <c r="O133" s="131"/>
      <c r="P133" s="131"/>
      <c r="Q133" s="131"/>
      <c r="R133" s="131"/>
      <c r="S133" s="131"/>
      <c r="T133" s="131"/>
      <c r="U133" s="131"/>
      <c r="V133" s="131"/>
      <c r="W133" s="131"/>
      <c r="X133" s="131"/>
      <c r="Y133" s="131"/>
      <c r="Z133" s="131"/>
      <c r="AA133" s="131"/>
      <c r="AB133" s="131"/>
      <c r="AC133" s="131"/>
      <c r="AD133" s="131"/>
      <c r="AE133" s="131"/>
      <c r="AF133" s="131"/>
      <c r="AG133" s="131"/>
      <c r="AH133" s="131"/>
      <c r="AI133" s="131"/>
      <c r="AJ133" s="131"/>
      <c r="AK133" s="131"/>
      <c r="AL133" s="131"/>
      <c r="AM133" s="131"/>
      <c r="AN133" s="131"/>
      <c r="AO133" s="131"/>
      <c r="AP133" s="131"/>
      <c r="AQ133" s="131"/>
      <c r="AR133" s="131"/>
      <c r="AS133" s="131"/>
      <c r="AT133" s="131"/>
      <c r="AU133" s="131"/>
      <c r="AV133" s="131"/>
      <c r="AW133" s="131"/>
      <c r="AX133" s="131"/>
      <c r="AY133" s="131"/>
      <c r="AZ133" s="131"/>
      <c r="BA133" s="131"/>
      <c r="BB133" s="131"/>
      <c r="BC133" s="131"/>
      <c r="BD133" s="131"/>
      <c r="BE133" s="131"/>
      <c r="BF133" s="131"/>
      <c r="BG133" s="131"/>
      <c r="BH133" s="131"/>
      <c r="BI133" s="131"/>
      <c r="BJ133" s="131"/>
      <c r="BK133" s="131"/>
      <c r="BL133" s="131"/>
      <c r="BM133" s="131"/>
      <c r="BN133" s="131"/>
      <c r="BO133" s="131"/>
      <c r="BP133" s="131"/>
      <c r="BQ133" s="131"/>
      <c r="BR133" s="131"/>
      <c r="BS133" s="131"/>
      <c r="BT133" s="131"/>
      <c r="BU133" s="131"/>
      <c r="BV133" s="131"/>
      <c r="BW133" s="131"/>
      <c r="BX133" s="131"/>
      <c r="BY133" s="131"/>
      <c r="BZ133" s="131"/>
      <c r="CA133" s="131"/>
      <c r="CB133" s="131"/>
      <c r="CC133" s="131"/>
      <c r="CD133" s="131"/>
      <c r="CE133" s="131"/>
      <c r="CF133" s="131"/>
      <c r="CG133" s="131"/>
      <c r="CH133" s="131"/>
      <c r="CI133" s="131"/>
      <c r="CJ133" s="131"/>
      <c r="CK133" s="131"/>
      <c r="CL133" s="131"/>
      <c r="CM133" s="131"/>
      <c r="CN133" s="131"/>
      <c r="CO133" s="131"/>
      <c r="CP133" s="131"/>
      <c r="CQ133" s="131"/>
      <c r="CR133" s="131"/>
      <c r="CS133" s="131"/>
      <c r="CT133" s="131"/>
      <c r="CU133" s="131"/>
      <c r="CV133" s="131"/>
      <c r="CW133" s="131"/>
      <c r="CX133" s="131"/>
      <c r="CY133" s="131"/>
      <c r="CZ133" s="131"/>
      <c r="DA133" s="131"/>
      <c r="DB133" s="131"/>
      <c r="DC133" s="131"/>
      <c r="DD133" s="131"/>
      <c r="DE133" s="131"/>
      <c r="DF133" s="131"/>
      <c r="DG133" s="131"/>
      <c r="DH133" s="131"/>
      <c r="DI133" s="131"/>
      <c r="DJ133" s="131"/>
      <c r="DK133" s="131"/>
      <c r="DL133" s="131"/>
      <c r="DM133" s="131"/>
      <c r="DN133" s="131"/>
      <c r="DO133" s="131"/>
      <c r="DP133" s="131"/>
      <c r="DQ133" s="131"/>
      <c r="DR133" s="131"/>
      <c r="DS133" s="131"/>
      <c r="DT133" s="131"/>
      <c r="DU133" s="131"/>
      <c r="DV133" s="131"/>
      <c r="DW133" s="131"/>
      <c r="DX133" s="131"/>
      <c r="DY133" s="131"/>
      <c r="DZ133" s="131"/>
      <c r="EA133" s="131"/>
      <c r="EB133" s="131"/>
      <c r="EC133" s="131"/>
      <c r="ED133" s="131"/>
      <c r="EE133" s="131"/>
      <c r="EF133" s="131"/>
      <c r="EG133" s="131"/>
      <c r="EH133" s="131"/>
      <c r="EI133" s="131"/>
      <c r="EJ133" s="131"/>
      <c r="EK133" s="131"/>
      <c r="EL133" s="131"/>
      <c r="EM133" s="131"/>
      <c r="EN133" s="131"/>
      <c r="EO133" s="131"/>
      <c r="EP133" s="131"/>
      <c r="EQ133" s="131"/>
      <c r="ER133" s="131"/>
      <c r="ES133" s="131"/>
      <c r="ET133" s="131"/>
      <c r="EU133" s="131"/>
      <c r="EV133" s="131"/>
      <c r="EW133" s="131"/>
      <c r="EX133" s="131"/>
      <c r="EY133" s="131"/>
      <c r="EZ133" s="131"/>
      <c r="FA133" s="131"/>
      <c r="FB133" s="131"/>
      <c r="FC133" s="131"/>
      <c r="FD133" s="131"/>
      <c r="FE133" s="131"/>
      <c r="FF133" s="131"/>
      <c r="FG133" s="131"/>
      <c r="FH133" s="131"/>
      <c r="FI133" s="131"/>
      <c r="FJ133" s="131"/>
      <c r="FK133" s="131"/>
      <c r="FL133" s="131"/>
      <c r="FM133" s="131"/>
      <c r="FN133" s="131"/>
      <c r="FO133" s="131"/>
      <c r="FP133" s="131"/>
      <c r="FQ133" s="131"/>
      <c r="FR133" s="131"/>
      <c r="FS133" s="131"/>
      <c r="FT133" s="131"/>
      <c r="FU133" s="131"/>
      <c r="FV133" s="131"/>
      <c r="FW133" s="131"/>
      <c r="FX133" s="131"/>
      <c r="FY133" s="131"/>
      <c r="FZ133" s="131"/>
      <c r="GA133" s="131"/>
      <c r="GB133" s="131"/>
      <c r="GC133" s="131"/>
      <c r="GD133" s="131"/>
      <c r="GE133" s="131"/>
      <c r="GF133" s="131"/>
      <c r="GG133" s="131"/>
      <c r="GH133" s="131"/>
      <c r="GI133" s="131"/>
      <c r="GJ133" s="131"/>
      <c r="GK133" s="131"/>
      <c r="GL133" s="131"/>
      <c r="GM133" s="131"/>
      <c r="GN133" s="131"/>
      <c r="GO133" s="131"/>
      <c r="GP133" s="131"/>
      <c r="GQ133" s="131"/>
      <c r="GR133" s="131"/>
      <c r="GS133" s="131"/>
      <c r="GT133" s="131"/>
      <c r="GU133" s="131"/>
      <c r="GV133" s="131"/>
      <c r="GW133" s="131"/>
      <c r="GX133" s="131"/>
      <c r="GY133" s="131"/>
      <c r="GZ133" s="131"/>
      <c r="HA133" s="131"/>
      <c r="HB133" s="131"/>
      <c r="HC133" s="131"/>
      <c r="HD133" s="131"/>
      <c r="HE133" s="131"/>
      <c r="HF133" s="131"/>
      <c r="HG133" s="131"/>
      <c r="HH133" s="131"/>
      <c r="HI133" s="131"/>
      <c r="HJ133" s="131"/>
      <c r="HK133" s="131"/>
      <c r="HL133" s="131"/>
      <c r="HM133" s="131"/>
      <c r="HN133" s="131"/>
      <c r="HO133" s="131"/>
      <c r="HP133" s="131"/>
      <c r="HQ133" s="131"/>
      <c r="HR133" s="131"/>
      <c r="HS133" s="131"/>
      <c r="HT133" s="131"/>
      <c r="HU133" s="131"/>
      <c r="HV133" s="131"/>
      <c r="HW133" s="131"/>
      <c r="HX133" s="131"/>
      <c r="HY133" s="131"/>
      <c r="HZ133" s="131"/>
      <c r="IA133" s="131"/>
      <c r="IB133" s="131"/>
      <c r="IC133" s="131"/>
      <c r="ID133" s="131"/>
      <c r="IE133" s="131"/>
      <c r="IF133" s="131"/>
      <c r="IG133" s="131"/>
      <c r="IH133" s="131"/>
      <c r="II133" s="131"/>
      <c r="IJ133" s="131"/>
      <c r="IK133" s="131"/>
      <c r="IL133" s="131"/>
      <c r="IM133" s="131"/>
      <c r="IN133" s="131"/>
      <c r="IO133" s="131"/>
      <c r="IP133" s="131"/>
      <c r="IQ133" s="131"/>
      <c r="IR133" s="131"/>
      <c r="IS133" s="131"/>
      <c r="IT133" s="131"/>
      <c r="IU133" s="131"/>
      <c r="IV133" s="131"/>
      <c r="IW133" s="131"/>
      <c r="IX133" s="131"/>
      <c r="IY133" s="131"/>
      <c r="IZ133" s="131"/>
      <c r="JA133" s="131"/>
      <c r="JB133" s="131"/>
      <c r="JC133" s="131"/>
      <c r="JD133" s="131"/>
      <c r="JE133" s="131"/>
      <c r="JF133" s="131"/>
      <c r="JG133" s="131"/>
      <c r="JH133" s="131"/>
      <c r="JI133" s="131"/>
      <c r="JJ133" s="131"/>
      <c r="JK133" s="131"/>
      <c r="JL133" s="131"/>
      <c r="JM133" s="131"/>
      <c r="JN133" s="131"/>
      <c r="JO133" s="131"/>
      <c r="JP133" s="131"/>
      <c r="JQ133" s="131"/>
      <c r="JR133" s="131"/>
      <c r="JS133" s="131"/>
      <c r="JT133" s="131"/>
      <c r="JU133" s="131"/>
      <c r="JV133" s="131"/>
      <c r="JW133" s="131"/>
      <c r="JX133" s="131"/>
      <c r="JY133" s="131"/>
      <c r="JZ133" s="131"/>
      <c r="KA133" s="131"/>
      <c r="KB133" s="131"/>
      <c r="KC133" s="131"/>
      <c r="KD133" s="131"/>
      <c r="KE133" s="131"/>
      <c r="KF133" s="131"/>
      <c r="KG133" s="131"/>
      <c r="KH133" s="131"/>
      <c r="KI133" s="131"/>
      <c r="KJ133" s="131"/>
      <c r="KK133" s="131"/>
      <c r="KL133" s="131"/>
      <c r="KM133" s="131"/>
      <c r="KN133" s="131"/>
      <c r="KO133" s="131"/>
      <c r="KP133" s="131"/>
      <c r="KQ133" s="131"/>
      <c r="KR133" s="131"/>
      <c r="KS133" s="131"/>
      <c r="KT133" s="131"/>
      <c r="KU133" s="131"/>
      <c r="KV133" s="131"/>
      <c r="KW133" s="131"/>
      <c r="KX133" s="131"/>
      <c r="KY133" s="131"/>
      <c r="KZ133" s="131"/>
      <c r="LA133" s="131"/>
      <c r="LB133" s="131"/>
      <c r="LC133" s="131"/>
      <c r="LD133" s="131"/>
      <c r="LE133" s="131"/>
      <c r="LF133" s="131"/>
      <c r="LG133" s="131"/>
      <c r="LH133" s="131"/>
      <c r="LI133" s="131"/>
      <c r="LJ133" s="131"/>
      <c r="LK133" s="131"/>
      <c r="LL133" s="131"/>
      <c r="LM133" s="131"/>
      <c r="LN133" s="131"/>
      <c r="LO133" s="131"/>
      <c r="LP133" s="131"/>
      <c r="LQ133" s="131"/>
      <c r="LR133" s="131"/>
      <c r="LS133" s="131"/>
      <c r="LT133" s="131"/>
      <c r="LU133" s="131"/>
      <c r="LV133" s="131"/>
      <c r="LW133" s="131"/>
      <c r="LX133" s="131"/>
      <c r="LY133" s="131"/>
      <c r="LZ133" s="131"/>
      <c r="MA133" s="131"/>
      <c r="MB133" s="131"/>
      <c r="MC133" s="131"/>
      <c r="MD133" s="131"/>
      <c r="ME133" s="131"/>
      <c r="MF133" s="131"/>
      <c r="MG133" s="131"/>
      <c r="MH133" s="131"/>
      <c r="MI133" s="131"/>
      <c r="MJ133" s="131"/>
      <c r="MK133" s="131"/>
      <c r="ML133" s="131"/>
      <c r="MM133" s="131"/>
      <c r="MN133" s="131"/>
      <c r="MO133" s="131"/>
      <c r="MP133" s="131"/>
      <c r="MQ133" s="131"/>
      <c r="MR133" s="131"/>
      <c r="MS133" s="131"/>
      <c r="MT133" s="131"/>
      <c r="MU133" s="131"/>
      <c r="MV133" s="131"/>
      <c r="MW133" s="131"/>
      <c r="MX133" s="131"/>
      <c r="MY133" s="131"/>
      <c r="MZ133" s="131"/>
      <c r="NA133" s="131"/>
      <c r="NB133" s="131"/>
      <c r="NC133" s="131"/>
      <c r="ND133" s="131"/>
      <c r="NE133" s="131"/>
      <c r="NF133" s="131"/>
      <c r="NG133" s="131"/>
      <c r="NH133" s="131"/>
      <c r="NI133" s="131"/>
      <c r="NJ133" s="131"/>
      <c r="NK133" s="131"/>
      <c r="NL133" s="131"/>
      <c r="NM133" s="131"/>
      <c r="NN133" s="131"/>
      <c r="NO133" s="131"/>
      <c r="NP133" s="131"/>
      <c r="NQ133" s="131"/>
      <c r="NR133" s="131"/>
      <c r="NS133" s="131"/>
      <c r="NT133" s="131"/>
      <c r="NU133" s="131"/>
      <c r="NV133" s="131"/>
      <c r="NW133" s="24">
        <f t="shared" si="17"/>
        <v>10</v>
      </c>
      <c r="NX133" s="56" t="s">
        <v>36</v>
      </c>
      <c r="NY133" s="127">
        <v>351.6</v>
      </c>
      <c r="NZ133" s="78">
        <f t="shared" si="18"/>
        <v>0</v>
      </c>
      <c r="OA133" s="78">
        <v>207.5</v>
      </c>
      <c r="OB133" s="127">
        <f t="shared" si="19"/>
        <v>351.6</v>
      </c>
      <c r="OC133" s="153"/>
      <c r="OD133" s="108">
        <f t="shared" si="15"/>
        <v>1.6944578313253014</v>
      </c>
      <c r="OE133" s="160" t="s">
        <v>567</v>
      </c>
    </row>
    <row r="134" spans="1:395" s="5" customFormat="1" ht="12.75" hidden="1" customHeight="1" x14ac:dyDescent="0.25">
      <c r="A134" s="62">
        <v>44572</v>
      </c>
      <c r="B134" s="106" t="s">
        <v>424</v>
      </c>
      <c r="C134" s="129"/>
      <c r="D134" s="129"/>
      <c r="E134" s="130"/>
      <c r="F134" s="130"/>
      <c r="G134" s="130"/>
      <c r="H134" s="130"/>
      <c r="I134" s="130"/>
      <c r="J134" s="130"/>
      <c r="K134" s="130"/>
      <c r="L134" s="130"/>
      <c r="M134" s="131"/>
      <c r="N134" s="131"/>
      <c r="O134" s="131"/>
      <c r="P134" s="131"/>
      <c r="Q134" s="131">
        <v>5</v>
      </c>
      <c r="R134" s="131"/>
      <c r="S134" s="131"/>
      <c r="T134" s="131">
        <v>30</v>
      </c>
      <c r="U134" s="131"/>
      <c r="V134" s="131"/>
      <c r="W134" s="131"/>
      <c r="X134" s="131"/>
      <c r="Y134" s="131"/>
      <c r="Z134" s="131"/>
      <c r="AA134" s="131"/>
      <c r="AB134" s="131"/>
      <c r="AC134" s="131"/>
      <c r="AD134" s="131"/>
      <c r="AE134" s="131"/>
      <c r="AF134" s="131"/>
      <c r="AG134" s="131"/>
      <c r="AH134" s="131"/>
      <c r="AI134" s="131"/>
      <c r="AJ134" s="131"/>
      <c r="AK134" s="131"/>
      <c r="AL134" s="131"/>
      <c r="AM134" s="131"/>
      <c r="AN134" s="131"/>
      <c r="AO134" s="131"/>
      <c r="AP134" s="131"/>
      <c r="AQ134" s="131"/>
      <c r="AR134" s="131"/>
      <c r="AS134" s="131"/>
      <c r="AT134" s="131"/>
      <c r="AU134" s="131"/>
      <c r="AV134" s="131"/>
      <c r="AW134" s="131"/>
      <c r="AX134" s="131"/>
      <c r="AY134" s="131"/>
      <c r="AZ134" s="131"/>
      <c r="BA134" s="131"/>
      <c r="BB134" s="131"/>
      <c r="BC134" s="131"/>
      <c r="BD134" s="131"/>
      <c r="BE134" s="131">
        <v>10</v>
      </c>
      <c r="BF134" s="131"/>
      <c r="BG134" s="131"/>
      <c r="BH134" s="131"/>
      <c r="BI134" s="131"/>
      <c r="BJ134" s="131"/>
      <c r="BK134" s="131"/>
      <c r="BL134" s="131"/>
      <c r="BM134" s="131"/>
      <c r="BN134" s="131">
        <v>4.5</v>
      </c>
      <c r="BO134" s="131"/>
      <c r="BP134" s="131"/>
      <c r="BQ134" s="131"/>
      <c r="BR134" s="131"/>
      <c r="BS134" s="131"/>
      <c r="BT134" s="131"/>
      <c r="BU134" s="131"/>
      <c r="BV134" s="131"/>
      <c r="BW134" s="131"/>
      <c r="BX134" s="131"/>
      <c r="BY134" s="131"/>
      <c r="BZ134" s="131"/>
      <c r="CA134" s="131"/>
      <c r="CB134" s="131"/>
      <c r="CC134" s="131"/>
      <c r="CD134" s="131"/>
      <c r="CE134" s="131"/>
      <c r="CF134" s="131"/>
      <c r="CG134" s="131"/>
      <c r="CH134" s="131"/>
      <c r="CI134" s="131"/>
      <c r="CJ134" s="131"/>
      <c r="CK134" s="131"/>
      <c r="CL134" s="131"/>
      <c r="CM134" s="131"/>
      <c r="CN134" s="131"/>
      <c r="CO134" s="131"/>
      <c r="CP134" s="131"/>
      <c r="CQ134" s="131"/>
      <c r="CR134" s="131"/>
      <c r="CS134" s="131"/>
      <c r="CT134" s="131"/>
      <c r="CU134" s="131"/>
      <c r="CV134" s="131"/>
      <c r="CW134" s="131"/>
      <c r="CX134" s="131"/>
      <c r="CY134" s="131"/>
      <c r="CZ134" s="131"/>
      <c r="DA134" s="131"/>
      <c r="DB134" s="131"/>
      <c r="DC134" s="131"/>
      <c r="DD134" s="131"/>
      <c r="DE134" s="131"/>
      <c r="DF134" s="131"/>
      <c r="DG134" s="131"/>
      <c r="DH134" s="131"/>
      <c r="DI134" s="131"/>
      <c r="DJ134" s="131"/>
      <c r="DK134" s="131"/>
      <c r="DL134" s="131"/>
      <c r="DM134" s="131"/>
      <c r="DN134" s="131"/>
      <c r="DO134" s="131"/>
      <c r="DP134" s="131"/>
      <c r="DQ134" s="131"/>
      <c r="DR134" s="131"/>
      <c r="DS134" s="131"/>
      <c r="DT134" s="131"/>
      <c r="DU134" s="131"/>
      <c r="DV134" s="131"/>
      <c r="DW134" s="131"/>
      <c r="DX134" s="131"/>
      <c r="DY134" s="131"/>
      <c r="DZ134" s="131"/>
      <c r="EA134" s="131"/>
      <c r="EB134" s="131"/>
      <c r="EC134" s="131"/>
      <c r="ED134" s="131"/>
      <c r="EE134" s="131"/>
      <c r="EF134" s="131"/>
      <c r="EG134" s="131"/>
      <c r="EH134" s="131"/>
      <c r="EI134" s="131"/>
      <c r="EJ134" s="131"/>
      <c r="EK134" s="131"/>
      <c r="EL134" s="131"/>
      <c r="EM134" s="131"/>
      <c r="EN134" s="131"/>
      <c r="EO134" s="131"/>
      <c r="EP134" s="131"/>
      <c r="EQ134" s="131"/>
      <c r="ER134" s="131"/>
      <c r="ES134" s="131"/>
      <c r="ET134" s="131"/>
      <c r="EU134" s="131"/>
      <c r="EV134" s="131"/>
      <c r="EW134" s="131"/>
      <c r="EX134" s="131"/>
      <c r="EY134" s="131"/>
      <c r="EZ134" s="131"/>
      <c r="FA134" s="131"/>
      <c r="FB134" s="131"/>
      <c r="FC134" s="131"/>
      <c r="FD134" s="131"/>
      <c r="FE134" s="131"/>
      <c r="FF134" s="131"/>
      <c r="FG134" s="131"/>
      <c r="FH134" s="131"/>
      <c r="FI134" s="131"/>
      <c r="FJ134" s="131"/>
      <c r="FK134" s="131"/>
      <c r="FL134" s="131">
        <v>5</v>
      </c>
      <c r="FM134" s="131"/>
      <c r="FN134" s="131"/>
      <c r="FO134" s="131"/>
      <c r="FP134" s="131"/>
      <c r="FQ134" s="131"/>
      <c r="FR134" s="131"/>
      <c r="FS134" s="131"/>
      <c r="FT134" s="131"/>
      <c r="FU134" s="131"/>
      <c r="FV134" s="131"/>
      <c r="FW134" s="131"/>
      <c r="FX134" s="131"/>
      <c r="FY134" s="131"/>
      <c r="FZ134" s="131"/>
      <c r="GA134" s="131"/>
      <c r="GB134" s="131"/>
      <c r="GC134" s="131"/>
      <c r="GD134" s="131"/>
      <c r="GE134" s="131"/>
      <c r="GF134" s="131"/>
      <c r="GG134" s="131"/>
      <c r="GH134" s="131"/>
      <c r="GI134" s="131"/>
      <c r="GJ134" s="131"/>
      <c r="GK134" s="131"/>
      <c r="GL134" s="131"/>
      <c r="GM134" s="131"/>
      <c r="GN134" s="131"/>
      <c r="GO134" s="131"/>
      <c r="GP134" s="131"/>
      <c r="GQ134" s="131"/>
      <c r="GR134" s="131"/>
      <c r="GS134" s="131"/>
      <c r="GT134" s="131"/>
      <c r="GU134" s="131"/>
      <c r="GV134" s="131"/>
      <c r="GW134" s="131"/>
      <c r="GX134" s="131"/>
      <c r="GY134" s="131"/>
      <c r="GZ134" s="131"/>
      <c r="HA134" s="131"/>
      <c r="HB134" s="131"/>
      <c r="HC134" s="131"/>
      <c r="HD134" s="131"/>
      <c r="HE134" s="131"/>
      <c r="HF134" s="131"/>
      <c r="HG134" s="131"/>
      <c r="HH134" s="131"/>
      <c r="HI134" s="131"/>
      <c r="HJ134" s="131"/>
      <c r="HK134" s="131"/>
      <c r="HL134" s="131"/>
      <c r="HM134" s="131"/>
      <c r="HN134" s="131"/>
      <c r="HO134" s="131"/>
      <c r="HP134" s="131"/>
      <c r="HQ134" s="131"/>
      <c r="HR134" s="131"/>
      <c r="HS134" s="131"/>
      <c r="HT134" s="131"/>
      <c r="HU134" s="131"/>
      <c r="HV134" s="131"/>
      <c r="HW134" s="131"/>
      <c r="HX134" s="131"/>
      <c r="HY134" s="131"/>
      <c r="HZ134" s="131"/>
      <c r="IA134" s="131"/>
      <c r="IB134" s="131"/>
      <c r="IC134" s="131"/>
      <c r="ID134" s="131"/>
      <c r="IE134" s="131"/>
      <c r="IF134" s="131"/>
      <c r="IG134" s="131"/>
      <c r="IH134" s="131"/>
      <c r="II134" s="131"/>
      <c r="IJ134" s="131"/>
      <c r="IK134" s="131"/>
      <c r="IL134" s="131"/>
      <c r="IM134" s="131"/>
      <c r="IN134" s="131"/>
      <c r="IO134" s="131"/>
      <c r="IP134" s="131"/>
      <c r="IQ134" s="131"/>
      <c r="IR134" s="131"/>
      <c r="IS134" s="131"/>
      <c r="IT134" s="131"/>
      <c r="IU134" s="131"/>
      <c r="IV134" s="131"/>
      <c r="IW134" s="131"/>
      <c r="IX134" s="131"/>
      <c r="IY134" s="131"/>
      <c r="IZ134" s="131"/>
      <c r="JA134" s="131"/>
      <c r="JB134" s="131"/>
      <c r="JC134" s="131"/>
      <c r="JD134" s="131"/>
      <c r="JE134" s="131"/>
      <c r="JF134" s="131"/>
      <c r="JG134" s="131"/>
      <c r="JH134" s="131"/>
      <c r="JI134" s="131"/>
      <c r="JJ134" s="131"/>
      <c r="JK134" s="131"/>
      <c r="JL134" s="131"/>
      <c r="JM134" s="131"/>
      <c r="JN134" s="131"/>
      <c r="JO134" s="131"/>
      <c r="JP134" s="131"/>
      <c r="JQ134" s="131"/>
      <c r="JR134" s="131"/>
      <c r="JS134" s="131"/>
      <c r="JT134" s="131"/>
      <c r="JU134" s="131"/>
      <c r="JV134" s="131"/>
      <c r="JW134" s="131"/>
      <c r="JX134" s="131"/>
      <c r="JY134" s="131"/>
      <c r="JZ134" s="131"/>
      <c r="KA134" s="131"/>
      <c r="KB134" s="131"/>
      <c r="KC134" s="131"/>
      <c r="KD134" s="131"/>
      <c r="KE134" s="131"/>
      <c r="KF134" s="131"/>
      <c r="KG134" s="131"/>
      <c r="KH134" s="131"/>
      <c r="KI134" s="131"/>
      <c r="KJ134" s="131"/>
      <c r="KK134" s="131"/>
      <c r="KL134" s="131"/>
      <c r="KM134" s="131"/>
      <c r="KN134" s="131"/>
      <c r="KO134" s="131"/>
      <c r="KP134" s="131"/>
      <c r="KQ134" s="131"/>
      <c r="KR134" s="131"/>
      <c r="KS134" s="131"/>
      <c r="KT134" s="131"/>
      <c r="KU134" s="131"/>
      <c r="KV134" s="131"/>
      <c r="KW134" s="131"/>
      <c r="KX134" s="131"/>
      <c r="KY134" s="131"/>
      <c r="KZ134" s="131"/>
      <c r="LA134" s="131"/>
      <c r="LB134" s="131"/>
      <c r="LC134" s="131"/>
      <c r="LD134" s="131"/>
      <c r="LE134" s="131"/>
      <c r="LF134" s="131"/>
      <c r="LG134" s="131"/>
      <c r="LH134" s="131"/>
      <c r="LI134" s="131"/>
      <c r="LJ134" s="131"/>
      <c r="LK134" s="131"/>
      <c r="LL134" s="131"/>
      <c r="LM134" s="131"/>
      <c r="LN134" s="131"/>
      <c r="LO134" s="131"/>
      <c r="LP134" s="131"/>
      <c r="LQ134" s="131"/>
      <c r="LR134" s="131"/>
      <c r="LS134" s="131"/>
      <c r="LT134" s="131"/>
      <c r="LU134" s="131"/>
      <c r="LV134" s="131"/>
      <c r="LW134" s="131"/>
      <c r="LX134" s="131"/>
      <c r="LY134" s="131"/>
      <c r="LZ134" s="131"/>
      <c r="MA134" s="131"/>
      <c r="MB134" s="131"/>
      <c r="MC134" s="131"/>
      <c r="MD134" s="131"/>
      <c r="ME134" s="131"/>
      <c r="MF134" s="131"/>
      <c r="MG134" s="131"/>
      <c r="MH134" s="131"/>
      <c r="MI134" s="131"/>
      <c r="MJ134" s="131"/>
      <c r="MK134" s="131">
        <v>25</v>
      </c>
      <c r="ML134" s="131">
        <v>125</v>
      </c>
      <c r="MM134" s="131"/>
      <c r="MN134" s="131"/>
      <c r="MO134" s="131"/>
      <c r="MP134" s="131"/>
      <c r="MQ134" s="131"/>
      <c r="MR134" s="131"/>
      <c r="MS134" s="131"/>
      <c r="MT134" s="131"/>
      <c r="MU134" s="131"/>
      <c r="MV134" s="131"/>
      <c r="MW134" s="131"/>
      <c r="MX134" s="131"/>
      <c r="MY134" s="131"/>
      <c r="MZ134" s="131"/>
      <c r="NA134" s="131"/>
      <c r="NB134" s="131"/>
      <c r="NC134" s="131"/>
      <c r="ND134" s="131"/>
      <c r="NE134" s="131"/>
      <c r="NF134" s="131"/>
      <c r="NG134" s="131"/>
      <c r="NH134" s="131"/>
      <c r="NI134" s="131"/>
      <c r="NJ134" s="131"/>
      <c r="NK134" s="131"/>
      <c r="NL134" s="131"/>
      <c r="NM134" s="131"/>
      <c r="NN134" s="131"/>
      <c r="NO134" s="131"/>
      <c r="NP134" s="131"/>
      <c r="NQ134" s="131"/>
      <c r="NR134" s="131"/>
      <c r="NS134" s="131"/>
      <c r="NT134" s="131"/>
      <c r="NU134" s="131"/>
      <c r="NV134" s="131"/>
      <c r="NW134" s="24">
        <f t="shared" si="17"/>
        <v>0</v>
      </c>
      <c r="NX134" s="56" t="s">
        <v>36</v>
      </c>
      <c r="NY134" s="127">
        <v>5604.05</v>
      </c>
      <c r="NZ134" s="78">
        <f t="shared" si="18"/>
        <v>5604.05</v>
      </c>
      <c r="OA134" s="78">
        <v>4109.1549999999997</v>
      </c>
      <c r="OB134" s="127">
        <f t="shared" si="19"/>
        <v>0</v>
      </c>
      <c r="OC134" s="153">
        <v>5604.05</v>
      </c>
      <c r="OD134" s="108">
        <f t="shared" si="15"/>
        <v>1.3637962062759863</v>
      </c>
      <c r="OE134" s="160" t="s">
        <v>568</v>
      </c>
    </row>
    <row r="135" spans="1:395" s="5" customFormat="1" ht="12.75" customHeight="1" x14ac:dyDescent="0.25">
      <c r="A135" s="62">
        <v>44572</v>
      </c>
      <c r="B135" s="116" t="s">
        <v>244</v>
      </c>
      <c r="C135" s="129"/>
      <c r="D135" s="129"/>
      <c r="E135" s="130"/>
      <c r="F135" s="130"/>
      <c r="G135" s="130"/>
      <c r="H135" s="130"/>
      <c r="I135" s="130"/>
      <c r="J135" s="130"/>
      <c r="K135" s="130"/>
      <c r="L135" s="130"/>
      <c r="M135" s="131"/>
      <c r="N135" s="131"/>
      <c r="O135" s="131"/>
      <c r="P135" s="131"/>
      <c r="Q135" s="131"/>
      <c r="R135" s="131"/>
      <c r="S135" s="131"/>
      <c r="T135" s="131"/>
      <c r="U135" s="131"/>
      <c r="V135" s="131"/>
      <c r="W135" s="131"/>
      <c r="X135" s="131"/>
      <c r="Y135" s="131"/>
      <c r="Z135" s="131"/>
      <c r="AA135" s="131"/>
      <c r="AB135" s="131"/>
      <c r="AC135" s="131"/>
      <c r="AD135" s="131"/>
      <c r="AE135" s="131"/>
      <c r="AF135" s="131"/>
      <c r="AG135" s="131"/>
      <c r="AH135" s="131"/>
      <c r="AI135" s="131"/>
      <c r="AJ135" s="131"/>
      <c r="AK135" s="131"/>
      <c r="AL135" s="131"/>
      <c r="AM135" s="131"/>
      <c r="AN135" s="131"/>
      <c r="AO135" s="131"/>
      <c r="AP135" s="131"/>
      <c r="AQ135" s="131"/>
      <c r="AR135" s="131"/>
      <c r="AS135" s="131"/>
      <c r="AT135" s="131"/>
      <c r="AU135" s="131"/>
      <c r="AV135" s="131"/>
      <c r="AW135" s="131"/>
      <c r="AX135" s="131"/>
      <c r="AY135" s="131"/>
      <c r="AZ135" s="131"/>
      <c r="BA135" s="131"/>
      <c r="BB135" s="131"/>
      <c r="BC135" s="131"/>
      <c r="BD135" s="131"/>
      <c r="BE135" s="131"/>
      <c r="BF135" s="131"/>
      <c r="BG135" s="131"/>
      <c r="BH135" s="131"/>
      <c r="BI135" s="131"/>
      <c r="BJ135" s="131"/>
      <c r="BK135" s="131"/>
      <c r="BL135" s="131"/>
      <c r="BM135" s="131"/>
      <c r="BN135" s="131"/>
      <c r="BO135" s="131"/>
      <c r="BP135" s="131"/>
      <c r="BQ135" s="131"/>
      <c r="BR135" s="131"/>
      <c r="BS135" s="131"/>
      <c r="BT135" s="131"/>
      <c r="BU135" s="131"/>
      <c r="BV135" s="131"/>
      <c r="BW135" s="131"/>
      <c r="BX135" s="131"/>
      <c r="BY135" s="131"/>
      <c r="BZ135" s="131"/>
      <c r="CA135" s="131"/>
      <c r="CB135" s="131"/>
      <c r="CC135" s="131"/>
      <c r="CD135" s="131"/>
      <c r="CE135" s="131"/>
      <c r="CF135" s="131"/>
      <c r="CG135" s="131"/>
      <c r="CH135" s="131"/>
      <c r="CI135" s="131"/>
      <c r="CJ135" s="131"/>
      <c r="CK135" s="131"/>
      <c r="CL135" s="131"/>
      <c r="CM135" s="131"/>
      <c r="CN135" s="131"/>
      <c r="CO135" s="131"/>
      <c r="CP135" s="131"/>
      <c r="CQ135" s="131"/>
      <c r="CR135" s="131"/>
      <c r="CS135" s="131"/>
      <c r="CT135" s="131"/>
      <c r="CU135" s="131"/>
      <c r="CV135" s="131"/>
      <c r="CW135" s="131"/>
      <c r="CX135" s="131"/>
      <c r="CY135" s="131"/>
      <c r="CZ135" s="131"/>
      <c r="DA135" s="131"/>
      <c r="DB135" s="131"/>
      <c r="DC135" s="131"/>
      <c r="DD135" s="131"/>
      <c r="DE135" s="131"/>
      <c r="DF135" s="131"/>
      <c r="DG135" s="131"/>
      <c r="DH135" s="131"/>
      <c r="DI135" s="131"/>
      <c r="DJ135" s="131"/>
      <c r="DK135" s="131"/>
      <c r="DL135" s="131"/>
      <c r="DM135" s="131"/>
      <c r="DN135" s="131"/>
      <c r="DO135" s="131"/>
      <c r="DP135" s="131"/>
      <c r="DQ135" s="131"/>
      <c r="DR135" s="131"/>
      <c r="DS135" s="131"/>
      <c r="DT135" s="131"/>
      <c r="DU135" s="131"/>
      <c r="DV135" s="131"/>
      <c r="DW135" s="131"/>
      <c r="DX135" s="131"/>
      <c r="DY135" s="131"/>
      <c r="DZ135" s="131"/>
      <c r="EA135" s="131"/>
      <c r="EB135" s="131"/>
      <c r="EC135" s="131"/>
      <c r="ED135" s="131"/>
      <c r="EE135" s="131"/>
      <c r="EF135" s="131"/>
      <c r="EG135" s="131"/>
      <c r="EH135" s="131"/>
      <c r="EI135" s="131"/>
      <c r="EJ135" s="131"/>
      <c r="EK135" s="131"/>
      <c r="EL135" s="131"/>
      <c r="EM135" s="131"/>
      <c r="EN135" s="131"/>
      <c r="EO135" s="131"/>
      <c r="EP135" s="131"/>
      <c r="EQ135" s="131"/>
      <c r="ER135" s="131"/>
      <c r="ES135" s="131"/>
      <c r="ET135" s="131"/>
      <c r="EU135" s="131"/>
      <c r="EV135" s="131"/>
      <c r="EW135" s="131"/>
      <c r="EX135" s="131"/>
      <c r="EY135" s="131"/>
      <c r="EZ135" s="131"/>
      <c r="FA135" s="131"/>
      <c r="FB135" s="131"/>
      <c r="FC135" s="131"/>
      <c r="FD135" s="131"/>
      <c r="FE135" s="131"/>
      <c r="FF135" s="131"/>
      <c r="FG135" s="131"/>
      <c r="FH135" s="131"/>
      <c r="FI135" s="131"/>
      <c r="FJ135" s="131"/>
      <c r="FK135" s="131"/>
      <c r="FL135" s="131"/>
      <c r="FM135" s="131"/>
      <c r="FN135" s="131"/>
      <c r="FO135" s="131"/>
      <c r="FP135" s="131"/>
      <c r="FQ135" s="131"/>
      <c r="FR135" s="131"/>
      <c r="FS135" s="131"/>
      <c r="FT135" s="131"/>
      <c r="FU135" s="131"/>
      <c r="FV135" s="131"/>
      <c r="FW135" s="131"/>
      <c r="FX135" s="131"/>
      <c r="FY135" s="131"/>
      <c r="FZ135" s="131"/>
      <c r="GA135" s="131"/>
      <c r="GB135" s="131"/>
      <c r="GC135" s="131"/>
      <c r="GD135" s="131"/>
      <c r="GE135" s="131"/>
      <c r="GF135" s="131"/>
      <c r="GG135" s="131"/>
      <c r="GH135" s="131"/>
      <c r="GI135" s="131"/>
      <c r="GJ135" s="131"/>
      <c r="GK135" s="131"/>
      <c r="GL135" s="131"/>
      <c r="GM135" s="131"/>
      <c r="GN135" s="131"/>
      <c r="GO135" s="131"/>
      <c r="GP135" s="131"/>
      <c r="GQ135" s="131"/>
      <c r="GR135" s="131"/>
      <c r="GS135" s="131"/>
      <c r="GT135" s="131"/>
      <c r="GU135" s="131"/>
      <c r="GV135" s="131"/>
      <c r="GW135" s="131"/>
      <c r="GX135" s="131"/>
      <c r="GY135" s="131"/>
      <c r="GZ135" s="131"/>
      <c r="HA135" s="131"/>
      <c r="HB135" s="131"/>
      <c r="HC135" s="131"/>
      <c r="HD135" s="131"/>
      <c r="HE135" s="131"/>
      <c r="HF135" s="131"/>
      <c r="HG135" s="131"/>
      <c r="HH135" s="131"/>
      <c r="HI135" s="131"/>
      <c r="HJ135" s="131"/>
      <c r="HK135" s="131"/>
      <c r="HL135" s="131"/>
      <c r="HM135" s="131"/>
      <c r="HN135" s="131"/>
      <c r="HO135" s="131"/>
      <c r="HP135" s="131"/>
      <c r="HQ135" s="131"/>
      <c r="HR135" s="131"/>
      <c r="HS135" s="131"/>
      <c r="HT135" s="131"/>
      <c r="HU135" s="131"/>
      <c r="HV135" s="131"/>
      <c r="HW135" s="131"/>
      <c r="HX135" s="131"/>
      <c r="HY135" s="131"/>
      <c r="HZ135" s="131"/>
      <c r="IA135" s="131"/>
      <c r="IB135" s="131"/>
      <c r="IC135" s="131"/>
      <c r="ID135" s="131"/>
      <c r="IE135" s="131"/>
      <c r="IF135" s="131"/>
      <c r="IG135" s="131"/>
      <c r="IH135" s="131"/>
      <c r="II135" s="131"/>
      <c r="IJ135" s="131"/>
      <c r="IK135" s="131"/>
      <c r="IL135" s="131"/>
      <c r="IM135" s="131"/>
      <c r="IN135" s="131"/>
      <c r="IO135" s="131"/>
      <c r="IP135" s="131"/>
      <c r="IQ135" s="131"/>
      <c r="IR135" s="131"/>
      <c r="IS135" s="131"/>
      <c r="IT135" s="131"/>
      <c r="IU135" s="131"/>
      <c r="IV135" s="131"/>
      <c r="IW135" s="131"/>
      <c r="IX135" s="131"/>
      <c r="IY135" s="131"/>
      <c r="IZ135" s="131"/>
      <c r="JA135" s="131"/>
      <c r="JB135" s="131"/>
      <c r="JC135" s="131"/>
      <c r="JD135" s="131"/>
      <c r="JE135" s="131"/>
      <c r="JF135" s="131"/>
      <c r="JG135" s="131"/>
      <c r="JH135" s="131"/>
      <c r="JI135" s="131"/>
      <c r="JJ135" s="131"/>
      <c r="JK135" s="131"/>
      <c r="JL135" s="131"/>
      <c r="JM135" s="131"/>
      <c r="JN135" s="131"/>
      <c r="JO135" s="131"/>
      <c r="JP135" s="131"/>
      <c r="JQ135" s="131"/>
      <c r="JR135" s="131"/>
      <c r="JS135" s="131"/>
      <c r="JT135" s="131"/>
      <c r="JU135" s="131"/>
      <c r="JV135" s="131"/>
      <c r="JW135" s="131"/>
      <c r="JX135" s="131"/>
      <c r="JY135" s="131"/>
      <c r="JZ135" s="131"/>
      <c r="KA135" s="131"/>
      <c r="KB135" s="131"/>
      <c r="KC135" s="131"/>
      <c r="KD135" s="131"/>
      <c r="KE135" s="131"/>
      <c r="KF135" s="131"/>
      <c r="KG135" s="131"/>
      <c r="KH135" s="131"/>
      <c r="KI135" s="131"/>
      <c r="KJ135" s="131"/>
      <c r="KK135" s="131"/>
      <c r="KL135" s="131"/>
      <c r="KM135" s="131"/>
      <c r="KN135" s="131"/>
      <c r="KO135" s="131"/>
      <c r="KP135" s="131"/>
      <c r="KQ135" s="131"/>
      <c r="KR135" s="131"/>
      <c r="KS135" s="131"/>
      <c r="KT135" s="131"/>
      <c r="KU135" s="131"/>
      <c r="KV135" s="131"/>
      <c r="KW135" s="131"/>
      <c r="KX135" s="131"/>
      <c r="KY135" s="131"/>
      <c r="KZ135" s="131"/>
      <c r="LA135" s="131"/>
      <c r="LB135" s="131"/>
      <c r="LC135" s="131"/>
      <c r="LD135" s="131"/>
      <c r="LE135" s="131"/>
      <c r="LF135" s="131"/>
      <c r="LG135" s="131"/>
      <c r="LH135" s="131"/>
      <c r="LI135" s="131"/>
      <c r="LJ135" s="131"/>
      <c r="LK135" s="131"/>
      <c r="LL135" s="131"/>
      <c r="LM135" s="131"/>
      <c r="LN135" s="131"/>
      <c r="LO135" s="131"/>
      <c r="LP135" s="131"/>
      <c r="LQ135" s="131"/>
      <c r="LR135" s="131"/>
      <c r="LS135" s="131"/>
      <c r="LT135" s="131"/>
      <c r="LU135" s="131"/>
      <c r="LV135" s="131"/>
      <c r="LW135" s="131"/>
      <c r="LX135" s="131"/>
      <c r="LY135" s="131"/>
      <c r="LZ135" s="131"/>
      <c r="MA135" s="131"/>
      <c r="MB135" s="131"/>
      <c r="MC135" s="131"/>
      <c r="MD135" s="131"/>
      <c r="ME135" s="131"/>
      <c r="MF135" s="131"/>
      <c r="MG135" s="131"/>
      <c r="MH135" s="131"/>
      <c r="MI135" s="131"/>
      <c r="MJ135" s="131"/>
      <c r="MK135" s="131"/>
      <c r="ML135" s="131"/>
      <c r="MM135" s="131"/>
      <c r="MN135" s="131"/>
      <c r="MO135" s="131"/>
      <c r="MP135" s="131"/>
      <c r="MQ135" s="131">
        <v>55</v>
      </c>
      <c r="MR135" s="131"/>
      <c r="MS135" s="131"/>
      <c r="MT135" s="131"/>
      <c r="MU135" s="131"/>
      <c r="MV135" s="131"/>
      <c r="MW135" s="131"/>
      <c r="MX135" s="131"/>
      <c r="MY135" s="131"/>
      <c r="MZ135" s="131"/>
      <c r="NA135" s="131"/>
      <c r="NB135" s="131"/>
      <c r="NC135" s="131"/>
      <c r="ND135" s="131"/>
      <c r="NE135" s="131"/>
      <c r="NF135" s="131"/>
      <c r="NG135" s="131"/>
      <c r="NH135" s="131"/>
      <c r="NI135" s="131"/>
      <c r="NJ135" s="131"/>
      <c r="NK135" s="131"/>
      <c r="NL135" s="131"/>
      <c r="NM135" s="131"/>
      <c r="NN135" s="131"/>
      <c r="NO135" s="131"/>
      <c r="NP135" s="131"/>
      <c r="NQ135" s="131"/>
      <c r="NR135" s="131"/>
      <c r="NS135" s="131"/>
      <c r="NT135" s="131"/>
      <c r="NU135" s="131"/>
      <c r="NV135" s="131"/>
      <c r="NW135" s="24">
        <f t="shared" si="17"/>
        <v>55</v>
      </c>
      <c r="NX135" s="56" t="s">
        <v>72</v>
      </c>
      <c r="NY135" s="127">
        <v>465.3</v>
      </c>
      <c r="NZ135" s="78">
        <f t="shared" si="18"/>
        <v>0</v>
      </c>
      <c r="OA135" s="78">
        <v>271.70000000000005</v>
      </c>
      <c r="OB135" s="127">
        <f t="shared" si="19"/>
        <v>465.3</v>
      </c>
      <c r="OC135" s="153"/>
      <c r="OD135" s="108">
        <f t="shared" si="15"/>
        <v>1.7125506072874492</v>
      </c>
      <c r="OE135" s="160" t="s">
        <v>567</v>
      </c>
    </row>
    <row r="136" spans="1:395" s="5" customFormat="1" ht="12.75" hidden="1" customHeight="1" x14ac:dyDescent="0.25">
      <c r="A136" s="62">
        <v>44573</v>
      </c>
      <c r="B136" s="106" t="s">
        <v>80</v>
      </c>
      <c r="C136" s="129"/>
      <c r="D136" s="129"/>
      <c r="E136" s="130"/>
      <c r="F136" s="130"/>
      <c r="G136" s="130"/>
      <c r="H136" s="130"/>
      <c r="I136" s="130"/>
      <c r="J136" s="130"/>
      <c r="K136" s="130"/>
      <c r="L136" s="130"/>
      <c r="M136" s="131"/>
      <c r="N136" s="131"/>
      <c r="O136" s="131"/>
      <c r="P136" s="131"/>
      <c r="Q136" s="131"/>
      <c r="R136" s="131"/>
      <c r="S136" s="131"/>
      <c r="T136" s="131"/>
      <c r="U136" s="131"/>
      <c r="V136" s="131"/>
      <c r="W136" s="131"/>
      <c r="X136" s="131"/>
      <c r="Y136" s="131"/>
      <c r="Z136" s="131"/>
      <c r="AA136" s="131"/>
      <c r="AB136" s="131"/>
      <c r="AC136" s="131"/>
      <c r="AD136" s="131"/>
      <c r="AE136" s="131"/>
      <c r="AF136" s="131"/>
      <c r="AG136" s="131"/>
      <c r="AH136" s="131"/>
      <c r="AI136" s="131"/>
      <c r="AJ136" s="131"/>
      <c r="AK136" s="131"/>
      <c r="AL136" s="131"/>
      <c r="AM136" s="131"/>
      <c r="AN136" s="131"/>
      <c r="AO136" s="131"/>
      <c r="AP136" s="131"/>
      <c r="AQ136" s="131"/>
      <c r="AR136" s="131"/>
      <c r="AS136" s="131"/>
      <c r="AT136" s="131"/>
      <c r="AU136" s="131"/>
      <c r="AV136" s="131"/>
      <c r="AW136" s="131"/>
      <c r="AX136" s="131"/>
      <c r="AY136" s="131"/>
      <c r="AZ136" s="131"/>
      <c r="BA136" s="131"/>
      <c r="BB136" s="131"/>
      <c r="BC136" s="131"/>
      <c r="BD136" s="131"/>
      <c r="BE136" s="131"/>
      <c r="BF136" s="131"/>
      <c r="BG136" s="131"/>
      <c r="BH136" s="131"/>
      <c r="BI136" s="131"/>
      <c r="BJ136" s="131"/>
      <c r="BK136" s="131"/>
      <c r="BL136" s="131"/>
      <c r="BM136" s="131"/>
      <c r="BN136" s="131"/>
      <c r="BO136" s="131"/>
      <c r="BP136" s="131"/>
      <c r="BQ136" s="131"/>
      <c r="BR136" s="131"/>
      <c r="BS136" s="131"/>
      <c r="BT136" s="131"/>
      <c r="BU136" s="131"/>
      <c r="BV136" s="131"/>
      <c r="BW136" s="131"/>
      <c r="BX136" s="131"/>
      <c r="BY136" s="131"/>
      <c r="BZ136" s="131"/>
      <c r="CA136" s="131"/>
      <c r="CB136" s="131"/>
      <c r="CC136" s="131"/>
      <c r="CD136" s="131"/>
      <c r="CE136" s="131"/>
      <c r="CF136" s="131"/>
      <c r="CG136" s="131"/>
      <c r="CH136" s="131"/>
      <c r="CI136" s="131"/>
      <c r="CJ136" s="131"/>
      <c r="CK136" s="131"/>
      <c r="CL136" s="131"/>
      <c r="CM136" s="131"/>
      <c r="CN136" s="131"/>
      <c r="CO136" s="131"/>
      <c r="CP136" s="131"/>
      <c r="CQ136" s="131"/>
      <c r="CR136" s="131"/>
      <c r="CS136" s="131"/>
      <c r="CT136" s="131"/>
      <c r="CU136" s="131"/>
      <c r="CV136" s="131"/>
      <c r="CW136" s="131"/>
      <c r="CX136" s="131"/>
      <c r="CY136" s="131"/>
      <c r="CZ136" s="131"/>
      <c r="DA136" s="131"/>
      <c r="DB136" s="131"/>
      <c r="DC136" s="131"/>
      <c r="DD136" s="131">
        <v>10</v>
      </c>
      <c r="DE136" s="131"/>
      <c r="DF136" s="131"/>
      <c r="DG136" s="131"/>
      <c r="DH136" s="131"/>
      <c r="DI136" s="131"/>
      <c r="DJ136" s="131"/>
      <c r="DK136" s="131"/>
      <c r="DL136" s="131"/>
      <c r="DM136" s="131"/>
      <c r="DN136" s="131"/>
      <c r="DO136" s="131"/>
      <c r="DP136" s="131"/>
      <c r="DQ136" s="131"/>
      <c r="DR136" s="131"/>
      <c r="DS136" s="131"/>
      <c r="DT136" s="131"/>
      <c r="DU136" s="131"/>
      <c r="DV136" s="131"/>
      <c r="DW136" s="131"/>
      <c r="DX136" s="131"/>
      <c r="DY136" s="131"/>
      <c r="DZ136" s="131"/>
      <c r="EA136" s="131"/>
      <c r="EB136" s="131"/>
      <c r="EC136" s="131"/>
      <c r="ED136" s="131"/>
      <c r="EE136" s="131"/>
      <c r="EF136" s="131"/>
      <c r="EG136" s="131"/>
      <c r="EH136" s="131"/>
      <c r="EI136" s="131"/>
      <c r="EJ136" s="131"/>
      <c r="EK136" s="131"/>
      <c r="EL136" s="131"/>
      <c r="EM136" s="131"/>
      <c r="EN136" s="131"/>
      <c r="EO136" s="131"/>
      <c r="EP136" s="131"/>
      <c r="EQ136" s="131"/>
      <c r="ER136" s="131"/>
      <c r="ES136" s="131"/>
      <c r="ET136" s="131"/>
      <c r="EU136" s="131"/>
      <c r="EV136" s="131"/>
      <c r="EW136" s="131"/>
      <c r="EX136" s="131"/>
      <c r="EY136" s="131"/>
      <c r="EZ136" s="131"/>
      <c r="FA136" s="131"/>
      <c r="FB136" s="131"/>
      <c r="FC136" s="131"/>
      <c r="FD136" s="131"/>
      <c r="FE136" s="131"/>
      <c r="FF136" s="131"/>
      <c r="FG136" s="131"/>
      <c r="FH136" s="131"/>
      <c r="FI136" s="131"/>
      <c r="FJ136" s="131"/>
      <c r="FK136" s="131"/>
      <c r="FL136" s="131"/>
      <c r="FM136" s="131"/>
      <c r="FN136" s="131"/>
      <c r="FO136" s="131"/>
      <c r="FP136" s="131"/>
      <c r="FQ136" s="131"/>
      <c r="FR136" s="131"/>
      <c r="FS136" s="131"/>
      <c r="FT136" s="131"/>
      <c r="FU136" s="131"/>
      <c r="FV136" s="131"/>
      <c r="FW136" s="131"/>
      <c r="FX136" s="131"/>
      <c r="FY136" s="131"/>
      <c r="FZ136" s="131"/>
      <c r="GA136" s="131"/>
      <c r="GB136" s="131"/>
      <c r="GC136" s="131"/>
      <c r="GD136" s="131"/>
      <c r="GE136" s="131"/>
      <c r="GF136" s="131"/>
      <c r="GG136" s="131"/>
      <c r="GH136" s="131"/>
      <c r="GI136" s="131"/>
      <c r="GJ136" s="131"/>
      <c r="GK136" s="131"/>
      <c r="GL136" s="131"/>
      <c r="GM136" s="131"/>
      <c r="GN136" s="131"/>
      <c r="GO136" s="131"/>
      <c r="GP136" s="131"/>
      <c r="GQ136" s="131"/>
      <c r="GR136" s="131"/>
      <c r="GS136" s="131"/>
      <c r="GT136" s="131"/>
      <c r="GU136" s="131"/>
      <c r="GV136" s="131"/>
      <c r="GW136" s="131"/>
      <c r="GX136" s="131"/>
      <c r="GY136" s="131"/>
      <c r="GZ136" s="131"/>
      <c r="HA136" s="131"/>
      <c r="HB136" s="131"/>
      <c r="HC136" s="131"/>
      <c r="HD136" s="131"/>
      <c r="HE136" s="131"/>
      <c r="HF136" s="131"/>
      <c r="HG136" s="131"/>
      <c r="HH136" s="131"/>
      <c r="HI136" s="131"/>
      <c r="HJ136" s="131"/>
      <c r="HK136" s="131"/>
      <c r="HL136" s="131"/>
      <c r="HM136" s="131"/>
      <c r="HN136" s="131"/>
      <c r="HO136" s="131"/>
      <c r="HP136" s="131"/>
      <c r="HQ136" s="131"/>
      <c r="HR136" s="131"/>
      <c r="HS136" s="131"/>
      <c r="HT136" s="131"/>
      <c r="HU136" s="131"/>
      <c r="HV136" s="131"/>
      <c r="HW136" s="131"/>
      <c r="HX136" s="131"/>
      <c r="HY136" s="131"/>
      <c r="HZ136" s="131"/>
      <c r="IA136" s="131"/>
      <c r="IB136" s="131"/>
      <c r="IC136" s="131"/>
      <c r="ID136" s="131"/>
      <c r="IE136" s="131"/>
      <c r="IF136" s="131"/>
      <c r="IG136" s="131"/>
      <c r="IH136" s="131"/>
      <c r="II136" s="131"/>
      <c r="IJ136" s="131"/>
      <c r="IK136" s="131"/>
      <c r="IL136" s="131"/>
      <c r="IM136" s="131"/>
      <c r="IN136" s="131"/>
      <c r="IO136" s="131"/>
      <c r="IP136" s="131"/>
      <c r="IQ136" s="131"/>
      <c r="IR136" s="131"/>
      <c r="IS136" s="131"/>
      <c r="IT136" s="131"/>
      <c r="IU136" s="131"/>
      <c r="IV136" s="131"/>
      <c r="IW136" s="131"/>
      <c r="IX136" s="131"/>
      <c r="IY136" s="131"/>
      <c r="IZ136" s="131"/>
      <c r="JA136" s="131"/>
      <c r="JB136" s="131"/>
      <c r="JC136" s="131"/>
      <c r="JD136" s="131"/>
      <c r="JE136" s="131"/>
      <c r="JF136" s="131"/>
      <c r="JG136" s="131"/>
      <c r="JH136" s="131"/>
      <c r="JI136" s="131"/>
      <c r="JJ136" s="131"/>
      <c r="JK136" s="131"/>
      <c r="JL136" s="131"/>
      <c r="JM136" s="131"/>
      <c r="JN136" s="131"/>
      <c r="JO136" s="131"/>
      <c r="JP136" s="131"/>
      <c r="JQ136" s="131"/>
      <c r="JR136" s="131"/>
      <c r="JS136" s="131"/>
      <c r="JT136" s="131"/>
      <c r="JU136" s="131"/>
      <c r="JV136" s="131"/>
      <c r="JW136" s="131"/>
      <c r="JX136" s="131"/>
      <c r="JY136" s="131"/>
      <c r="JZ136" s="131"/>
      <c r="KA136" s="131"/>
      <c r="KB136" s="131"/>
      <c r="KC136" s="131"/>
      <c r="KD136" s="131"/>
      <c r="KE136" s="131"/>
      <c r="KF136" s="131"/>
      <c r="KG136" s="131"/>
      <c r="KH136" s="131"/>
      <c r="KI136" s="131"/>
      <c r="KJ136" s="131"/>
      <c r="KK136" s="131"/>
      <c r="KL136" s="131"/>
      <c r="KM136" s="131"/>
      <c r="KN136" s="131"/>
      <c r="KO136" s="131"/>
      <c r="KP136" s="131"/>
      <c r="KQ136" s="131"/>
      <c r="KR136" s="131"/>
      <c r="KS136" s="131"/>
      <c r="KT136" s="131"/>
      <c r="KU136" s="131"/>
      <c r="KV136" s="131"/>
      <c r="KW136" s="131"/>
      <c r="KX136" s="131"/>
      <c r="KY136" s="131"/>
      <c r="KZ136" s="131"/>
      <c r="LA136" s="131"/>
      <c r="LB136" s="131"/>
      <c r="LC136" s="131"/>
      <c r="LD136" s="131"/>
      <c r="LE136" s="131"/>
      <c r="LF136" s="131"/>
      <c r="LG136" s="131"/>
      <c r="LH136" s="131"/>
      <c r="LI136" s="131"/>
      <c r="LJ136" s="131"/>
      <c r="LK136" s="131"/>
      <c r="LL136" s="131"/>
      <c r="LM136" s="131"/>
      <c r="LN136" s="131"/>
      <c r="LO136" s="131"/>
      <c r="LP136" s="131"/>
      <c r="LQ136" s="131"/>
      <c r="LR136" s="131"/>
      <c r="LS136" s="131"/>
      <c r="LT136" s="131"/>
      <c r="LU136" s="131"/>
      <c r="LV136" s="131"/>
      <c r="LW136" s="131"/>
      <c r="LX136" s="131"/>
      <c r="LY136" s="131"/>
      <c r="LZ136" s="131"/>
      <c r="MA136" s="131"/>
      <c r="MB136" s="131"/>
      <c r="MC136" s="131"/>
      <c r="MD136" s="131"/>
      <c r="ME136" s="131"/>
      <c r="MF136" s="131"/>
      <c r="MG136" s="131"/>
      <c r="MH136" s="131"/>
      <c r="MI136" s="131"/>
      <c r="MJ136" s="131"/>
      <c r="MK136" s="131"/>
      <c r="ML136" s="131"/>
      <c r="MM136" s="131"/>
      <c r="MN136" s="131"/>
      <c r="MO136" s="131"/>
      <c r="MP136" s="131"/>
      <c r="MQ136" s="131"/>
      <c r="MR136" s="131"/>
      <c r="MS136" s="131"/>
      <c r="MT136" s="131"/>
      <c r="MU136" s="131"/>
      <c r="MV136" s="131"/>
      <c r="MW136" s="131"/>
      <c r="MX136" s="131"/>
      <c r="MY136" s="131"/>
      <c r="MZ136" s="131"/>
      <c r="NA136" s="131"/>
      <c r="NB136" s="131"/>
      <c r="NC136" s="131"/>
      <c r="ND136" s="131"/>
      <c r="NE136" s="131"/>
      <c r="NF136" s="131"/>
      <c r="NG136" s="131"/>
      <c r="NH136" s="131"/>
      <c r="NI136" s="131"/>
      <c r="NJ136" s="131"/>
      <c r="NK136" s="131"/>
      <c r="NL136" s="131"/>
      <c r="NM136" s="131"/>
      <c r="NN136" s="131"/>
      <c r="NO136" s="131"/>
      <c r="NP136" s="131"/>
      <c r="NQ136" s="131"/>
      <c r="NR136" s="131"/>
      <c r="NS136" s="131"/>
      <c r="NT136" s="131"/>
      <c r="NU136" s="131"/>
      <c r="NV136" s="131"/>
      <c r="NW136" s="24">
        <f t="shared" si="17"/>
        <v>0</v>
      </c>
      <c r="NX136" s="56" t="s">
        <v>36</v>
      </c>
      <c r="NY136" s="127">
        <v>420</v>
      </c>
      <c r="NZ136" s="78">
        <f t="shared" si="18"/>
        <v>420</v>
      </c>
      <c r="OA136" s="78">
        <v>220.5</v>
      </c>
      <c r="OB136" s="127">
        <f t="shared" si="19"/>
        <v>0</v>
      </c>
      <c r="OC136" s="153">
        <v>420</v>
      </c>
      <c r="OD136" s="108">
        <f t="shared" si="15"/>
        <v>1.9047619047619047</v>
      </c>
      <c r="OE136" s="160" t="s">
        <v>562</v>
      </c>
    </row>
    <row r="137" spans="1:395" s="5" customFormat="1" ht="12.75" customHeight="1" x14ac:dyDescent="0.25">
      <c r="A137" s="62">
        <v>44573</v>
      </c>
      <c r="B137" s="156" t="s">
        <v>357</v>
      </c>
      <c r="C137" s="129"/>
      <c r="D137" s="129"/>
      <c r="E137" s="130"/>
      <c r="F137" s="130"/>
      <c r="G137" s="130"/>
      <c r="H137" s="130"/>
      <c r="I137" s="130"/>
      <c r="J137" s="130"/>
      <c r="K137" s="130"/>
      <c r="L137" s="130"/>
      <c r="M137" s="131"/>
      <c r="N137" s="131"/>
      <c r="O137" s="131"/>
      <c r="P137" s="131"/>
      <c r="Q137" s="131"/>
      <c r="R137" s="131"/>
      <c r="S137" s="131">
        <v>8.8000000000000007</v>
      </c>
      <c r="T137" s="131"/>
      <c r="U137" s="131"/>
      <c r="V137" s="131"/>
      <c r="W137" s="131"/>
      <c r="X137" s="131"/>
      <c r="Y137" s="131"/>
      <c r="Z137" s="131"/>
      <c r="AA137" s="131"/>
      <c r="AB137" s="131"/>
      <c r="AC137" s="131"/>
      <c r="AD137" s="131"/>
      <c r="AE137" s="131"/>
      <c r="AF137" s="131"/>
      <c r="AG137" s="131"/>
      <c r="AH137" s="131"/>
      <c r="AI137" s="131"/>
      <c r="AJ137" s="131"/>
      <c r="AK137" s="131"/>
      <c r="AL137" s="131"/>
      <c r="AM137" s="131"/>
      <c r="AN137" s="131"/>
      <c r="AO137" s="131"/>
      <c r="AP137" s="131"/>
      <c r="AQ137" s="131"/>
      <c r="AR137" s="131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131"/>
      <c r="BD137" s="131"/>
      <c r="BE137" s="131"/>
      <c r="BF137" s="131"/>
      <c r="BG137" s="131"/>
      <c r="BH137" s="131"/>
      <c r="BI137" s="131"/>
      <c r="BJ137" s="131"/>
      <c r="BK137" s="131"/>
      <c r="BL137" s="131"/>
      <c r="BM137" s="131"/>
      <c r="BN137" s="131"/>
      <c r="BO137" s="131"/>
      <c r="BP137" s="131"/>
      <c r="BQ137" s="131"/>
      <c r="BR137" s="131"/>
      <c r="BS137" s="131"/>
      <c r="BT137" s="131"/>
      <c r="BU137" s="131"/>
      <c r="BV137" s="131"/>
      <c r="BW137" s="131"/>
      <c r="BX137" s="131"/>
      <c r="BY137" s="131"/>
      <c r="BZ137" s="131"/>
      <c r="CA137" s="131"/>
      <c r="CB137" s="131"/>
      <c r="CC137" s="131"/>
      <c r="CD137" s="131"/>
      <c r="CE137" s="131"/>
      <c r="CF137" s="131"/>
      <c r="CG137" s="131"/>
      <c r="CH137" s="131"/>
      <c r="CI137" s="131"/>
      <c r="CJ137" s="131"/>
      <c r="CK137" s="131"/>
      <c r="CL137" s="131"/>
      <c r="CM137" s="131"/>
      <c r="CN137" s="131"/>
      <c r="CO137" s="131"/>
      <c r="CP137" s="131"/>
      <c r="CQ137" s="131"/>
      <c r="CR137" s="131"/>
      <c r="CS137" s="131"/>
      <c r="CT137" s="131"/>
      <c r="CU137" s="131"/>
      <c r="CV137" s="131"/>
      <c r="CW137" s="131"/>
      <c r="CX137" s="131"/>
      <c r="CY137" s="131"/>
      <c r="CZ137" s="131"/>
      <c r="DA137" s="131"/>
      <c r="DB137" s="131"/>
      <c r="DC137" s="131"/>
      <c r="DD137" s="131"/>
      <c r="DE137" s="131"/>
      <c r="DF137" s="131"/>
      <c r="DG137" s="131"/>
      <c r="DH137" s="131"/>
      <c r="DI137" s="131"/>
      <c r="DJ137" s="131"/>
      <c r="DK137" s="131"/>
      <c r="DL137" s="131"/>
      <c r="DM137" s="131"/>
      <c r="DN137" s="131"/>
      <c r="DO137" s="131"/>
      <c r="DP137" s="131"/>
      <c r="DQ137" s="131"/>
      <c r="DR137" s="131"/>
      <c r="DS137" s="131"/>
      <c r="DT137" s="131"/>
      <c r="DU137" s="131"/>
      <c r="DV137" s="131"/>
      <c r="DW137" s="131"/>
      <c r="DX137" s="131"/>
      <c r="DY137" s="131"/>
      <c r="DZ137" s="131"/>
      <c r="EA137" s="131"/>
      <c r="EB137" s="131"/>
      <c r="EC137" s="131"/>
      <c r="ED137" s="131"/>
      <c r="EE137" s="131"/>
      <c r="EF137" s="131"/>
      <c r="EG137" s="131"/>
      <c r="EH137" s="131"/>
      <c r="EI137" s="131"/>
      <c r="EJ137" s="131"/>
      <c r="EK137" s="131"/>
      <c r="EL137" s="131"/>
      <c r="EM137" s="131"/>
      <c r="EN137" s="131"/>
      <c r="EO137" s="131"/>
      <c r="EP137" s="131"/>
      <c r="EQ137" s="131"/>
      <c r="ER137" s="131"/>
      <c r="ES137" s="131"/>
      <c r="ET137" s="131"/>
      <c r="EU137" s="131"/>
      <c r="EV137" s="131"/>
      <c r="EW137" s="131"/>
      <c r="EX137" s="131"/>
      <c r="EY137" s="131"/>
      <c r="EZ137" s="131"/>
      <c r="FA137" s="131"/>
      <c r="FB137" s="131"/>
      <c r="FC137" s="131"/>
      <c r="FD137" s="131"/>
      <c r="FE137" s="131"/>
      <c r="FF137" s="131"/>
      <c r="FG137" s="131"/>
      <c r="FH137" s="131"/>
      <c r="FI137" s="131"/>
      <c r="FJ137" s="131"/>
      <c r="FK137" s="131"/>
      <c r="FL137" s="131"/>
      <c r="FM137" s="131"/>
      <c r="FN137" s="131"/>
      <c r="FO137" s="131"/>
      <c r="FP137" s="131"/>
      <c r="FQ137" s="131"/>
      <c r="FR137" s="131"/>
      <c r="FS137" s="131"/>
      <c r="FT137" s="131"/>
      <c r="FU137" s="131"/>
      <c r="FV137" s="131"/>
      <c r="FW137" s="131"/>
      <c r="FX137" s="131"/>
      <c r="FY137" s="131"/>
      <c r="FZ137" s="131"/>
      <c r="GA137" s="131"/>
      <c r="GB137" s="131"/>
      <c r="GC137" s="131"/>
      <c r="GD137" s="131"/>
      <c r="GE137" s="131"/>
      <c r="GF137" s="131"/>
      <c r="GG137" s="131"/>
      <c r="GH137" s="131"/>
      <c r="GI137" s="131"/>
      <c r="GJ137" s="131"/>
      <c r="GK137" s="131"/>
      <c r="GL137" s="131"/>
      <c r="GM137" s="131"/>
      <c r="GN137" s="131"/>
      <c r="GO137" s="131"/>
      <c r="GP137" s="131"/>
      <c r="GQ137" s="131"/>
      <c r="GR137" s="131"/>
      <c r="GS137" s="131"/>
      <c r="GT137" s="131"/>
      <c r="GU137" s="131"/>
      <c r="GV137" s="131"/>
      <c r="GW137" s="131"/>
      <c r="GX137" s="131"/>
      <c r="GY137" s="131"/>
      <c r="GZ137" s="131"/>
      <c r="HA137" s="131"/>
      <c r="HB137" s="131"/>
      <c r="HC137" s="131"/>
      <c r="HD137" s="131"/>
      <c r="HE137" s="131"/>
      <c r="HF137" s="131"/>
      <c r="HG137" s="131"/>
      <c r="HH137" s="131"/>
      <c r="HI137" s="131"/>
      <c r="HJ137" s="131"/>
      <c r="HK137" s="131"/>
      <c r="HL137" s="131"/>
      <c r="HM137" s="131"/>
      <c r="HN137" s="131"/>
      <c r="HO137" s="131"/>
      <c r="HP137" s="131"/>
      <c r="HQ137" s="131"/>
      <c r="HR137" s="131"/>
      <c r="HS137" s="131"/>
      <c r="HT137" s="131"/>
      <c r="HU137" s="131"/>
      <c r="HV137" s="131"/>
      <c r="HW137" s="131"/>
      <c r="HX137" s="131"/>
      <c r="HY137" s="131"/>
      <c r="HZ137" s="131"/>
      <c r="IA137" s="131"/>
      <c r="IB137" s="131"/>
      <c r="IC137" s="131"/>
      <c r="ID137" s="131"/>
      <c r="IE137" s="131"/>
      <c r="IF137" s="131"/>
      <c r="IG137" s="131"/>
      <c r="IH137" s="131"/>
      <c r="II137" s="131"/>
      <c r="IJ137" s="131"/>
      <c r="IK137" s="131"/>
      <c r="IL137" s="131"/>
      <c r="IM137" s="131"/>
      <c r="IN137" s="131"/>
      <c r="IO137" s="131"/>
      <c r="IP137" s="131"/>
      <c r="IQ137" s="131"/>
      <c r="IR137" s="131"/>
      <c r="IS137" s="131"/>
      <c r="IT137" s="131"/>
      <c r="IU137" s="131"/>
      <c r="IV137" s="131"/>
      <c r="IW137" s="131"/>
      <c r="IX137" s="131"/>
      <c r="IY137" s="131"/>
      <c r="IZ137" s="131"/>
      <c r="JA137" s="131"/>
      <c r="JB137" s="131"/>
      <c r="JC137" s="131"/>
      <c r="JD137" s="131"/>
      <c r="JE137" s="131"/>
      <c r="JF137" s="131"/>
      <c r="JG137" s="131"/>
      <c r="JH137" s="131"/>
      <c r="JI137" s="131"/>
      <c r="JJ137" s="131"/>
      <c r="JK137" s="131"/>
      <c r="JL137" s="131"/>
      <c r="JM137" s="131"/>
      <c r="JN137" s="131"/>
      <c r="JO137" s="131"/>
      <c r="JP137" s="131"/>
      <c r="JQ137" s="131"/>
      <c r="JR137" s="131"/>
      <c r="JS137" s="131"/>
      <c r="JT137" s="131"/>
      <c r="JU137" s="131"/>
      <c r="JV137" s="131"/>
      <c r="JW137" s="131"/>
      <c r="JX137" s="131"/>
      <c r="JY137" s="131"/>
      <c r="JZ137" s="131"/>
      <c r="KA137" s="131"/>
      <c r="KB137" s="131"/>
      <c r="KC137" s="131"/>
      <c r="KD137" s="131"/>
      <c r="KE137" s="131"/>
      <c r="KF137" s="131"/>
      <c r="KG137" s="131"/>
      <c r="KH137" s="131"/>
      <c r="KI137" s="131"/>
      <c r="KJ137" s="131"/>
      <c r="KK137" s="131"/>
      <c r="KL137" s="131"/>
      <c r="KM137" s="131"/>
      <c r="KN137" s="131"/>
      <c r="KO137" s="131"/>
      <c r="KP137" s="131"/>
      <c r="KQ137" s="131"/>
      <c r="KR137" s="131"/>
      <c r="KS137" s="131"/>
      <c r="KT137" s="131"/>
      <c r="KU137" s="131"/>
      <c r="KV137" s="131"/>
      <c r="KW137" s="131"/>
      <c r="KX137" s="131"/>
      <c r="KY137" s="131"/>
      <c r="KZ137" s="131"/>
      <c r="LA137" s="131"/>
      <c r="LB137" s="131"/>
      <c r="LC137" s="131"/>
      <c r="LD137" s="131"/>
      <c r="LE137" s="131"/>
      <c r="LF137" s="131"/>
      <c r="LG137" s="131"/>
      <c r="LH137" s="131"/>
      <c r="LI137" s="131"/>
      <c r="LJ137" s="131"/>
      <c r="LK137" s="131"/>
      <c r="LL137" s="131"/>
      <c r="LM137" s="131"/>
      <c r="LN137" s="131"/>
      <c r="LO137" s="131"/>
      <c r="LP137" s="131"/>
      <c r="LQ137" s="131"/>
      <c r="LR137" s="131"/>
      <c r="LS137" s="131"/>
      <c r="LT137" s="131"/>
      <c r="LU137" s="131"/>
      <c r="LV137" s="131"/>
      <c r="LW137" s="131"/>
      <c r="LX137" s="131"/>
      <c r="LY137" s="131"/>
      <c r="LZ137" s="131"/>
      <c r="MA137" s="131"/>
      <c r="MB137" s="131"/>
      <c r="MC137" s="131"/>
      <c r="MD137" s="131"/>
      <c r="ME137" s="131"/>
      <c r="MF137" s="131"/>
      <c r="MG137" s="131"/>
      <c r="MH137" s="131"/>
      <c r="MI137" s="131"/>
      <c r="MJ137" s="131"/>
      <c r="MK137" s="131"/>
      <c r="ML137" s="131"/>
      <c r="MM137" s="131"/>
      <c r="MN137" s="131"/>
      <c r="MO137" s="131"/>
      <c r="MP137" s="131"/>
      <c r="MQ137" s="131"/>
      <c r="MR137" s="131"/>
      <c r="MS137" s="131"/>
      <c r="MT137" s="131"/>
      <c r="MU137" s="131"/>
      <c r="MV137" s="131"/>
      <c r="MW137" s="131"/>
      <c r="MX137" s="131"/>
      <c r="MY137" s="131"/>
      <c r="MZ137" s="131"/>
      <c r="NA137" s="131"/>
      <c r="NB137" s="131"/>
      <c r="NC137" s="131"/>
      <c r="ND137" s="131"/>
      <c r="NE137" s="131"/>
      <c r="NF137" s="131"/>
      <c r="NG137" s="131"/>
      <c r="NH137" s="131"/>
      <c r="NI137" s="131"/>
      <c r="NJ137" s="131"/>
      <c r="NK137" s="131"/>
      <c r="NL137" s="131"/>
      <c r="NM137" s="131"/>
      <c r="NN137" s="131"/>
      <c r="NO137" s="131"/>
      <c r="NP137" s="131"/>
      <c r="NQ137" s="131"/>
      <c r="NR137" s="131"/>
      <c r="NS137" s="131"/>
      <c r="NT137" s="131"/>
      <c r="NU137" s="131"/>
      <c r="NV137" s="131"/>
      <c r="NW137" s="24">
        <f t="shared" si="17"/>
        <v>8.8000000000000007</v>
      </c>
      <c r="NX137" s="56" t="s">
        <v>36</v>
      </c>
      <c r="NY137" s="127">
        <v>800.09</v>
      </c>
      <c r="NZ137" s="78">
        <f t="shared" si="18"/>
        <v>0</v>
      </c>
      <c r="OA137" s="78">
        <v>500.72800000000001</v>
      </c>
      <c r="OB137" s="127">
        <f t="shared" si="19"/>
        <v>800.09</v>
      </c>
      <c r="OC137" s="153"/>
      <c r="OD137" s="108">
        <f t="shared" si="15"/>
        <v>1.597853525267211</v>
      </c>
      <c r="OE137" s="160" t="s">
        <v>562</v>
      </c>
    </row>
    <row r="138" spans="1:395" s="5" customFormat="1" ht="12.75" customHeight="1" x14ac:dyDescent="0.25">
      <c r="A138" s="62">
        <v>44573</v>
      </c>
      <c r="B138" s="156" t="s">
        <v>93</v>
      </c>
      <c r="C138" s="129"/>
      <c r="D138" s="129"/>
      <c r="E138" s="130"/>
      <c r="F138" s="130"/>
      <c r="G138" s="130"/>
      <c r="H138" s="130"/>
      <c r="I138" s="130"/>
      <c r="J138" s="130"/>
      <c r="K138" s="130"/>
      <c r="L138" s="130"/>
      <c r="M138" s="131"/>
      <c r="N138" s="131"/>
      <c r="O138" s="131"/>
      <c r="P138" s="131"/>
      <c r="Q138" s="131"/>
      <c r="R138" s="131"/>
      <c r="S138" s="131"/>
      <c r="T138" s="131"/>
      <c r="U138" s="131"/>
      <c r="V138" s="131"/>
      <c r="W138" s="131"/>
      <c r="X138" s="131"/>
      <c r="Y138" s="131"/>
      <c r="Z138" s="131"/>
      <c r="AA138" s="131"/>
      <c r="AB138" s="131"/>
      <c r="AC138" s="131"/>
      <c r="AD138" s="131"/>
      <c r="AE138" s="131"/>
      <c r="AF138" s="131"/>
      <c r="AG138" s="131"/>
      <c r="AH138" s="131"/>
      <c r="AI138" s="131"/>
      <c r="AJ138" s="131"/>
      <c r="AK138" s="131"/>
      <c r="AL138" s="131"/>
      <c r="AM138" s="131"/>
      <c r="AN138" s="131"/>
      <c r="AO138" s="131"/>
      <c r="AP138" s="131"/>
      <c r="AQ138" s="131"/>
      <c r="AR138" s="131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131"/>
      <c r="BD138" s="131"/>
      <c r="BE138" s="131"/>
      <c r="BF138" s="131"/>
      <c r="BG138" s="131"/>
      <c r="BH138" s="131"/>
      <c r="BI138" s="131"/>
      <c r="BJ138" s="131"/>
      <c r="BK138" s="131"/>
      <c r="BL138" s="131"/>
      <c r="BM138" s="131"/>
      <c r="BN138" s="131"/>
      <c r="BO138" s="131"/>
      <c r="BP138" s="131"/>
      <c r="BQ138" s="131"/>
      <c r="BR138" s="131"/>
      <c r="BS138" s="131"/>
      <c r="BT138" s="131"/>
      <c r="BU138" s="131"/>
      <c r="BV138" s="131"/>
      <c r="BW138" s="131"/>
      <c r="BX138" s="131"/>
      <c r="BY138" s="131"/>
      <c r="BZ138" s="131"/>
      <c r="CA138" s="131"/>
      <c r="CB138" s="131"/>
      <c r="CC138" s="131"/>
      <c r="CD138" s="131"/>
      <c r="CE138" s="131"/>
      <c r="CF138" s="131"/>
      <c r="CG138" s="131"/>
      <c r="CH138" s="131"/>
      <c r="CI138" s="131"/>
      <c r="CJ138" s="131"/>
      <c r="CK138" s="131"/>
      <c r="CL138" s="131"/>
      <c r="CM138" s="131"/>
      <c r="CN138" s="131"/>
      <c r="CO138" s="131"/>
      <c r="CP138" s="131"/>
      <c r="CQ138" s="131"/>
      <c r="CR138" s="131"/>
      <c r="CS138" s="131"/>
      <c r="CT138" s="131"/>
      <c r="CU138" s="131"/>
      <c r="CV138" s="131"/>
      <c r="CW138" s="131"/>
      <c r="CX138" s="131"/>
      <c r="CY138" s="131"/>
      <c r="CZ138" s="131"/>
      <c r="DA138" s="131"/>
      <c r="DB138" s="131"/>
      <c r="DC138" s="131"/>
      <c r="DD138" s="131"/>
      <c r="DE138" s="131"/>
      <c r="DF138" s="131"/>
      <c r="DG138" s="131"/>
      <c r="DH138" s="131"/>
      <c r="DI138" s="131"/>
      <c r="DJ138" s="131"/>
      <c r="DK138" s="131"/>
      <c r="DL138" s="131"/>
      <c r="DM138" s="131"/>
      <c r="DN138" s="131"/>
      <c r="DO138" s="131"/>
      <c r="DP138" s="131"/>
      <c r="DQ138" s="131"/>
      <c r="DR138" s="131"/>
      <c r="DS138" s="131"/>
      <c r="DT138" s="131"/>
      <c r="DU138" s="131"/>
      <c r="DV138" s="131"/>
      <c r="DW138" s="131"/>
      <c r="DX138" s="131"/>
      <c r="DY138" s="131"/>
      <c r="DZ138" s="131"/>
      <c r="EA138" s="131"/>
      <c r="EB138" s="131"/>
      <c r="EC138" s="131"/>
      <c r="ED138" s="131"/>
      <c r="EE138" s="131"/>
      <c r="EF138" s="131"/>
      <c r="EG138" s="131"/>
      <c r="EH138" s="131"/>
      <c r="EI138" s="131"/>
      <c r="EJ138" s="131"/>
      <c r="EK138" s="131"/>
      <c r="EL138" s="131"/>
      <c r="EM138" s="131"/>
      <c r="EN138" s="131"/>
      <c r="EO138" s="131"/>
      <c r="EP138" s="131"/>
      <c r="EQ138" s="131"/>
      <c r="ER138" s="131"/>
      <c r="ES138" s="131"/>
      <c r="ET138" s="131"/>
      <c r="EU138" s="131"/>
      <c r="EV138" s="131"/>
      <c r="EW138" s="131"/>
      <c r="EX138" s="131"/>
      <c r="EY138" s="131"/>
      <c r="EZ138" s="131"/>
      <c r="FA138" s="131"/>
      <c r="FB138" s="131"/>
      <c r="FC138" s="131"/>
      <c r="FD138" s="131"/>
      <c r="FE138" s="131"/>
      <c r="FF138" s="131"/>
      <c r="FG138" s="131"/>
      <c r="FH138" s="131"/>
      <c r="FI138" s="131"/>
      <c r="FJ138" s="131"/>
      <c r="FK138" s="131"/>
      <c r="FL138" s="131"/>
      <c r="FM138" s="131"/>
      <c r="FN138" s="131"/>
      <c r="FO138" s="131"/>
      <c r="FP138" s="131"/>
      <c r="FQ138" s="131"/>
      <c r="FR138" s="131"/>
      <c r="FS138" s="131"/>
      <c r="FT138" s="131"/>
      <c r="FU138" s="131"/>
      <c r="FV138" s="131"/>
      <c r="FW138" s="131"/>
      <c r="FX138" s="131"/>
      <c r="FY138" s="131"/>
      <c r="FZ138" s="131"/>
      <c r="GA138" s="131"/>
      <c r="GB138" s="131"/>
      <c r="GC138" s="131"/>
      <c r="GD138" s="131"/>
      <c r="GE138" s="131"/>
      <c r="GF138" s="131"/>
      <c r="GG138" s="131"/>
      <c r="GH138" s="131"/>
      <c r="GI138" s="131"/>
      <c r="GJ138" s="131"/>
      <c r="GK138" s="131"/>
      <c r="GL138" s="131"/>
      <c r="GM138" s="131"/>
      <c r="GN138" s="131"/>
      <c r="GO138" s="131"/>
      <c r="GP138" s="131"/>
      <c r="GQ138" s="131"/>
      <c r="GR138" s="131"/>
      <c r="GS138" s="131"/>
      <c r="GT138" s="131"/>
      <c r="GU138" s="131"/>
      <c r="GV138" s="131"/>
      <c r="GW138" s="131"/>
      <c r="GX138" s="131"/>
      <c r="GY138" s="131"/>
      <c r="GZ138" s="131"/>
      <c r="HA138" s="131"/>
      <c r="HB138" s="131"/>
      <c r="HC138" s="131"/>
      <c r="HD138" s="131"/>
      <c r="HE138" s="131"/>
      <c r="HF138" s="131"/>
      <c r="HG138" s="131"/>
      <c r="HH138" s="131"/>
      <c r="HI138" s="131"/>
      <c r="HJ138" s="131"/>
      <c r="HK138" s="131"/>
      <c r="HL138" s="131"/>
      <c r="HM138" s="131"/>
      <c r="HN138" s="131"/>
      <c r="HO138" s="131"/>
      <c r="HP138" s="131"/>
      <c r="HQ138" s="131"/>
      <c r="HR138" s="131">
        <v>2</v>
      </c>
      <c r="HS138" s="131"/>
      <c r="HT138" s="131"/>
      <c r="HU138" s="131"/>
      <c r="HV138" s="131"/>
      <c r="HW138" s="131"/>
      <c r="HX138" s="131"/>
      <c r="HY138" s="131"/>
      <c r="HZ138" s="131"/>
      <c r="IA138" s="131"/>
      <c r="IB138" s="131"/>
      <c r="IC138" s="131"/>
      <c r="ID138" s="131"/>
      <c r="IE138" s="131"/>
      <c r="IF138" s="131"/>
      <c r="IG138" s="131"/>
      <c r="IH138" s="131"/>
      <c r="II138" s="131"/>
      <c r="IJ138" s="131"/>
      <c r="IK138" s="131"/>
      <c r="IL138" s="131"/>
      <c r="IM138" s="131"/>
      <c r="IN138" s="131"/>
      <c r="IO138" s="131"/>
      <c r="IP138" s="131"/>
      <c r="IQ138" s="131"/>
      <c r="IR138" s="131"/>
      <c r="IS138" s="131"/>
      <c r="IT138" s="131"/>
      <c r="IU138" s="131"/>
      <c r="IV138" s="131"/>
      <c r="IW138" s="131"/>
      <c r="IX138" s="131"/>
      <c r="IY138" s="131"/>
      <c r="IZ138" s="131">
        <v>1.8</v>
      </c>
      <c r="JA138" s="131"/>
      <c r="JB138" s="131"/>
      <c r="JC138" s="131"/>
      <c r="JD138" s="131"/>
      <c r="JE138" s="131"/>
      <c r="JF138" s="131"/>
      <c r="JG138" s="131"/>
      <c r="JH138" s="131"/>
      <c r="JI138" s="131"/>
      <c r="JJ138" s="131"/>
      <c r="JK138" s="131"/>
      <c r="JL138" s="131"/>
      <c r="JM138" s="131"/>
      <c r="JN138" s="131"/>
      <c r="JO138" s="131"/>
      <c r="JP138" s="131"/>
      <c r="JQ138" s="131"/>
      <c r="JR138" s="131"/>
      <c r="JS138" s="131"/>
      <c r="JT138" s="131"/>
      <c r="JU138" s="131"/>
      <c r="JV138" s="131"/>
      <c r="JW138" s="131"/>
      <c r="JX138" s="131"/>
      <c r="JY138" s="131"/>
      <c r="JZ138" s="131"/>
      <c r="KA138" s="131"/>
      <c r="KB138" s="131"/>
      <c r="KC138" s="131"/>
      <c r="KD138" s="131"/>
      <c r="KE138" s="131"/>
      <c r="KF138" s="131"/>
      <c r="KG138" s="131"/>
      <c r="KH138" s="131"/>
      <c r="KI138" s="131"/>
      <c r="KJ138" s="131"/>
      <c r="KK138" s="131"/>
      <c r="KL138" s="131"/>
      <c r="KM138" s="131"/>
      <c r="KN138" s="131"/>
      <c r="KO138" s="131"/>
      <c r="KP138" s="131"/>
      <c r="KQ138" s="131"/>
      <c r="KR138" s="131"/>
      <c r="KS138" s="131"/>
      <c r="KT138" s="131"/>
      <c r="KU138" s="131"/>
      <c r="KV138" s="131"/>
      <c r="KW138" s="131"/>
      <c r="KX138" s="131"/>
      <c r="KY138" s="131"/>
      <c r="KZ138" s="131"/>
      <c r="LA138" s="131"/>
      <c r="LB138" s="131"/>
      <c r="LC138" s="131"/>
      <c r="LD138" s="131"/>
      <c r="LE138" s="131"/>
      <c r="LF138" s="131"/>
      <c r="LG138" s="131"/>
      <c r="LH138" s="131"/>
      <c r="LI138" s="131"/>
      <c r="LJ138" s="131"/>
      <c r="LK138" s="131"/>
      <c r="LL138" s="131"/>
      <c r="LM138" s="131"/>
      <c r="LN138" s="131"/>
      <c r="LO138" s="131"/>
      <c r="LP138" s="131"/>
      <c r="LQ138" s="131"/>
      <c r="LR138" s="131"/>
      <c r="LS138" s="131"/>
      <c r="LT138" s="131"/>
      <c r="LU138" s="131"/>
      <c r="LV138" s="131"/>
      <c r="LW138" s="131"/>
      <c r="LX138" s="131"/>
      <c r="LY138" s="131"/>
      <c r="LZ138" s="131"/>
      <c r="MA138" s="131"/>
      <c r="MB138" s="131"/>
      <c r="MC138" s="131"/>
      <c r="MD138" s="131"/>
      <c r="ME138" s="131"/>
      <c r="MF138" s="131"/>
      <c r="MG138" s="131"/>
      <c r="MH138" s="131"/>
      <c r="MI138" s="131"/>
      <c r="MJ138" s="131"/>
      <c r="MK138" s="131"/>
      <c r="ML138" s="131"/>
      <c r="MM138" s="131"/>
      <c r="MN138" s="131"/>
      <c r="MO138" s="131"/>
      <c r="MP138" s="131"/>
      <c r="MQ138" s="131"/>
      <c r="MR138" s="131"/>
      <c r="MS138" s="131"/>
      <c r="MT138" s="131"/>
      <c r="MU138" s="131"/>
      <c r="MV138" s="131"/>
      <c r="MW138" s="131"/>
      <c r="MX138" s="131"/>
      <c r="MY138" s="131"/>
      <c r="MZ138" s="131"/>
      <c r="NA138" s="131"/>
      <c r="NB138" s="131"/>
      <c r="NC138" s="131"/>
      <c r="ND138" s="131"/>
      <c r="NE138" s="131"/>
      <c r="NF138" s="131"/>
      <c r="NG138" s="131"/>
      <c r="NH138" s="131"/>
      <c r="NI138" s="131"/>
      <c r="NJ138" s="131"/>
      <c r="NK138" s="131"/>
      <c r="NL138" s="131"/>
      <c r="NM138" s="131"/>
      <c r="NN138" s="131"/>
      <c r="NO138" s="131"/>
      <c r="NP138" s="131"/>
      <c r="NQ138" s="131"/>
      <c r="NR138" s="131"/>
      <c r="NS138" s="131"/>
      <c r="NT138" s="131"/>
      <c r="NU138" s="131"/>
      <c r="NV138" s="131"/>
      <c r="NW138" s="24">
        <f t="shared" si="17"/>
        <v>3.8</v>
      </c>
      <c r="NX138" s="56" t="s">
        <v>36</v>
      </c>
      <c r="NY138" s="127">
        <v>254.97</v>
      </c>
      <c r="NZ138" s="78">
        <f t="shared" si="18"/>
        <v>0</v>
      </c>
      <c r="OA138" s="78">
        <v>146.44399999999999</v>
      </c>
      <c r="OB138" s="127">
        <f t="shared" si="19"/>
        <v>254.97</v>
      </c>
      <c r="OC138" s="153"/>
      <c r="OD138" s="108">
        <f t="shared" si="15"/>
        <v>1.7410750867225699</v>
      </c>
      <c r="OE138" s="160" t="s">
        <v>562</v>
      </c>
    </row>
    <row r="139" spans="1:395" s="5" customFormat="1" ht="12.75" customHeight="1" x14ac:dyDescent="0.25">
      <c r="A139" s="62">
        <v>44573</v>
      </c>
      <c r="B139" s="106" t="s">
        <v>143</v>
      </c>
      <c r="C139" s="129"/>
      <c r="D139" s="129"/>
      <c r="E139" s="130"/>
      <c r="F139" s="130"/>
      <c r="G139" s="130"/>
      <c r="H139" s="130"/>
      <c r="I139" s="130"/>
      <c r="J139" s="130"/>
      <c r="K139" s="130"/>
      <c r="L139" s="130"/>
      <c r="M139" s="131"/>
      <c r="N139" s="131"/>
      <c r="O139" s="131"/>
      <c r="P139" s="131"/>
      <c r="Q139" s="131"/>
      <c r="R139" s="131"/>
      <c r="S139" s="131"/>
      <c r="T139" s="131"/>
      <c r="U139" s="131"/>
      <c r="V139" s="131"/>
      <c r="W139" s="131"/>
      <c r="X139" s="131"/>
      <c r="Y139" s="131"/>
      <c r="Z139" s="131"/>
      <c r="AA139" s="131"/>
      <c r="AB139" s="131"/>
      <c r="AC139" s="131"/>
      <c r="AD139" s="131"/>
      <c r="AE139" s="131"/>
      <c r="AF139" s="131"/>
      <c r="AG139" s="131"/>
      <c r="AH139" s="131"/>
      <c r="AI139" s="131"/>
      <c r="AJ139" s="131"/>
      <c r="AK139" s="131"/>
      <c r="AL139" s="131"/>
      <c r="AM139" s="131"/>
      <c r="AN139" s="131"/>
      <c r="AO139" s="131"/>
      <c r="AP139" s="131"/>
      <c r="AQ139" s="131"/>
      <c r="AR139" s="131"/>
      <c r="AS139" s="131"/>
      <c r="AT139" s="131"/>
      <c r="AU139" s="131"/>
      <c r="AV139" s="131"/>
      <c r="AW139" s="131"/>
      <c r="AX139" s="131"/>
      <c r="AY139" s="131"/>
      <c r="AZ139" s="131"/>
      <c r="BA139" s="131"/>
      <c r="BB139" s="131"/>
      <c r="BC139" s="131"/>
      <c r="BD139" s="131"/>
      <c r="BE139" s="131"/>
      <c r="BF139" s="131"/>
      <c r="BG139" s="131"/>
      <c r="BH139" s="131"/>
      <c r="BI139" s="131"/>
      <c r="BJ139" s="131"/>
      <c r="BK139" s="131"/>
      <c r="BL139" s="131"/>
      <c r="BM139" s="131"/>
      <c r="BN139" s="131"/>
      <c r="BO139" s="131"/>
      <c r="BP139" s="131"/>
      <c r="BQ139" s="131"/>
      <c r="BR139" s="131"/>
      <c r="BS139" s="131"/>
      <c r="BT139" s="131"/>
      <c r="BU139" s="131"/>
      <c r="BV139" s="131"/>
      <c r="BW139" s="131"/>
      <c r="BX139" s="131"/>
      <c r="BY139" s="131"/>
      <c r="BZ139" s="131"/>
      <c r="CA139" s="131"/>
      <c r="CB139" s="131"/>
      <c r="CC139" s="131"/>
      <c r="CD139" s="131"/>
      <c r="CE139" s="131"/>
      <c r="CF139" s="131"/>
      <c r="CG139" s="131"/>
      <c r="CH139" s="131"/>
      <c r="CI139" s="131"/>
      <c r="CJ139" s="131"/>
      <c r="CK139" s="131"/>
      <c r="CL139" s="131"/>
      <c r="CM139" s="131"/>
      <c r="CN139" s="131"/>
      <c r="CO139" s="131"/>
      <c r="CP139" s="131"/>
      <c r="CQ139" s="131"/>
      <c r="CR139" s="131"/>
      <c r="CS139" s="131"/>
      <c r="CT139" s="131"/>
      <c r="CU139" s="131"/>
      <c r="CV139" s="131"/>
      <c r="CW139" s="131"/>
      <c r="CX139" s="131"/>
      <c r="CY139" s="131"/>
      <c r="CZ139" s="131"/>
      <c r="DA139" s="131"/>
      <c r="DB139" s="131"/>
      <c r="DC139" s="131"/>
      <c r="DD139" s="131"/>
      <c r="DE139" s="131"/>
      <c r="DF139" s="131"/>
      <c r="DG139" s="131"/>
      <c r="DH139" s="131"/>
      <c r="DI139" s="131"/>
      <c r="DJ139" s="131"/>
      <c r="DK139" s="131"/>
      <c r="DL139" s="131"/>
      <c r="DM139" s="131"/>
      <c r="DN139" s="131"/>
      <c r="DO139" s="131"/>
      <c r="DP139" s="131"/>
      <c r="DQ139" s="131"/>
      <c r="DR139" s="131"/>
      <c r="DS139" s="131"/>
      <c r="DT139" s="131"/>
      <c r="DU139" s="131"/>
      <c r="DV139" s="131"/>
      <c r="DW139" s="131"/>
      <c r="DX139" s="131"/>
      <c r="DY139" s="131"/>
      <c r="DZ139" s="131"/>
      <c r="EA139" s="131"/>
      <c r="EB139" s="131"/>
      <c r="EC139" s="131"/>
      <c r="ED139" s="131"/>
      <c r="EE139" s="131"/>
      <c r="EF139" s="131"/>
      <c r="EG139" s="131"/>
      <c r="EH139" s="131"/>
      <c r="EI139" s="131"/>
      <c r="EJ139" s="131"/>
      <c r="EK139" s="131"/>
      <c r="EL139" s="131"/>
      <c r="EM139" s="131"/>
      <c r="EN139" s="131"/>
      <c r="EO139" s="131"/>
      <c r="EP139" s="131"/>
      <c r="EQ139" s="131"/>
      <c r="ER139" s="131"/>
      <c r="ES139" s="131"/>
      <c r="ET139" s="131"/>
      <c r="EU139" s="131"/>
      <c r="EV139" s="131"/>
      <c r="EW139" s="131"/>
      <c r="EX139" s="131"/>
      <c r="EY139" s="131"/>
      <c r="EZ139" s="131"/>
      <c r="FA139" s="131"/>
      <c r="FB139" s="131"/>
      <c r="FC139" s="131"/>
      <c r="FD139" s="131"/>
      <c r="FE139" s="131"/>
      <c r="FF139" s="131"/>
      <c r="FG139" s="131"/>
      <c r="FH139" s="131"/>
      <c r="FI139" s="131"/>
      <c r="FJ139" s="131"/>
      <c r="FK139" s="131"/>
      <c r="FL139" s="131"/>
      <c r="FM139" s="131"/>
      <c r="FN139" s="131"/>
      <c r="FO139" s="131">
        <v>30</v>
      </c>
      <c r="FP139" s="131"/>
      <c r="FQ139" s="131"/>
      <c r="FR139" s="131"/>
      <c r="FS139" s="131"/>
      <c r="FT139" s="131"/>
      <c r="FU139" s="131"/>
      <c r="FV139" s="131"/>
      <c r="FW139" s="131"/>
      <c r="FX139" s="131"/>
      <c r="FY139" s="131"/>
      <c r="FZ139" s="131"/>
      <c r="GA139" s="131"/>
      <c r="GB139" s="131"/>
      <c r="GC139" s="131"/>
      <c r="GD139" s="131"/>
      <c r="GE139" s="131"/>
      <c r="GF139" s="131"/>
      <c r="GG139" s="131"/>
      <c r="GH139" s="131"/>
      <c r="GI139" s="131"/>
      <c r="GJ139" s="131"/>
      <c r="GK139" s="131"/>
      <c r="GL139" s="131"/>
      <c r="GM139" s="131"/>
      <c r="GN139" s="131"/>
      <c r="GO139" s="131"/>
      <c r="GP139" s="131"/>
      <c r="GQ139" s="131"/>
      <c r="GR139" s="131"/>
      <c r="GS139" s="131"/>
      <c r="GT139" s="131"/>
      <c r="GU139" s="131"/>
      <c r="GV139" s="131"/>
      <c r="GW139" s="131"/>
      <c r="GX139" s="131"/>
      <c r="GY139" s="131"/>
      <c r="GZ139" s="131"/>
      <c r="HA139" s="131"/>
      <c r="HB139" s="131"/>
      <c r="HC139" s="131"/>
      <c r="HD139" s="131"/>
      <c r="HE139" s="131"/>
      <c r="HF139" s="131"/>
      <c r="HG139" s="131"/>
      <c r="HH139" s="131"/>
      <c r="HI139" s="131"/>
      <c r="HJ139" s="131"/>
      <c r="HK139" s="131"/>
      <c r="HL139" s="131"/>
      <c r="HM139" s="131"/>
      <c r="HN139" s="131"/>
      <c r="HO139" s="131"/>
      <c r="HP139" s="131"/>
      <c r="HQ139" s="131"/>
      <c r="HR139" s="131"/>
      <c r="HS139" s="131"/>
      <c r="HT139" s="131"/>
      <c r="HU139" s="131"/>
      <c r="HV139" s="131"/>
      <c r="HW139" s="131"/>
      <c r="HX139" s="131"/>
      <c r="HY139" s="131"/>
      <c r="HZ139" s="131"/>
      <c r="IA139" s="131"/>
      <c r="IB139" s="131"/>
      <c r="IC139" s="131"/>
      <c r="ID139" s="131"/>
      <c r="IE139" s="131"/>
      <c r="IF139" s="131"/>
      <c r="IG139" s="131"/>
      <c r="IH139" s="131"/>
      <c r="II139" s="131"/>
      <c r="IJ139" s="131"/>
      <c r="IK139" s="131"/>
      <c r="IL139" s="131"/>
      <c r="IM139" s="131"/>
      <c r="IN139" s="131"/>
      <c r="IO139" s="131"/>
      <c r="IP139" s="131"/>
      <c r="IQ139" s="131"/>
      <c r="IR139" s="131"/>
      <c r="IS139" s="131"/>
      <c r="IT139" s="131"/>
      <c r="IU139" s="131"/>
      <c r="IV139" s="131"/>
      <c r="IW139" s="131"/>
      <c r="IX139" s="131"/>
      <c r="IY139" s="131"/>
      <c r="IZ139" s="131"/>
      <c r="JA139" s="131"/>
      <c r="JB139" s="131"/>
      <c r="JC139" s="131"/>
      <c r="JD139" s="131"/>
      <c r="JE139" s="131"/>
      <c r="JF139" s="131"/>
      <c r="JG139" s="131"/>
      <c r="JH139" s="131"/>
      <c r="JI139" s="131"/>
      <c r="JJ139" s="131"/>
      <c r="JK139" s="131"/>
      <c r="JL139" s="131"/>
      <c r="JM139" s="131"/>
      <c r="JN139" s="131"/>
      <c r="JO139" s="131"/>
      <c r="JP139" s="131"/>
      <c r="JQ139" s="131"/>
      <c r="JR139" s="131"/>
      <c r="JS139" s="131"/>
      <c r="JT139" s="131"/>
      <c r="JU139" s="131"/>
      <c r="JV139" s="131"/>
      <c r="JW139" s="131"/>
      <c r="JX139" s="131"/>
      <c r="JY139" s="131"/>
      <c r="JZ139" s="131"/>
      <c r="KA139" s="131"/>
      <c r="KB139" s="131"/>
      <c r="KC139" s="131"/>
      <c r="KD139" s="131"/>
      <c r="KE139" s="131"/>
      <c r="KF139" s="131"/>
      <c r="KG139" s="131"/>
      <c r="KH139" s="131"/>
      <c r="KI139" s="131"/>
      <c r="KJ139" s="131"/>
      <c r="KK139" s="131"/>
      <c r="KL139" s="131"/>
      <c r="KM139" s="131"/>
      <c r="KN139" s="131"/>
      <c r="KO139" s="131"/>
      <c r="KP139" s="131"/>
      <c r="KQ139" s="131"/>
      <c r="KR139" s="131"/>
      <c r="KS139" s="131"/>
      <c r="KT139" s="131"/>
      <c r="KU139" s="131"/>
      <c r="KV139" s="131"/>
      <c r="KW139" s="131"/>
      <c r="KX139" s="131"/>
      <c r="KY139" s="131"/>
      <c r="KZ139" s="131"/>
      <c r="LA139" s="131"/>
      <c r="LB139" s="131"/>
      <c r="LC139" s="131"/>
      <c r="LD139" s="131"/>
      <c r="LE139" s="131"/>
      <c r="LF139" s="131"/>
      <c r="LG139" s="131"/>
      <c r="LH139" s="131"/>
      <c r="LI139" s="131"/>
      <c r="LJ139" s="131"/>
      <c r="LK139" s="131"/>
      <c r="LL139" s="131"/>
      <c r="LM139" s="131"/>
      <c r="LN139" s="131"/>
      <c r="LO139" s="131"/>
      <c r="LP139" s="131"/>
      <c r="LQ139" s="131"/>
      <c r="LR139" s="131"/>
      <c r="LS139" s="131"/>
      <c r="LT139" s="131"/>
      <c r="LU139" s="131"/>
      <c r="LV139" s="131"/>
      <c r="LW139" s="131"/>
      <c r="LX139" s="131"/>
      <c r="LY139" s="131"/>
      <c r="LZ139" s="131"/>
      <c r="MA139" s="131"/>
      <c r="MB139" s="131"/>
      <c r="MC139" s="131"/>
      <c r="MD139" s="131"/>
      <c r="ME139" s="131"/>
      <c r="MF139" s="131"/>
      <c r="MG139" s="131"/>
      <c r="MH139" s="131"/>
      <c r="MI139" s="131"/>
      <c r="MJ139" s="131"/>
      <c r="MK139" s="131"/>
      <c r="ML139" s="131"/>
      <c r="MM139" s="131"/>
      <c r="MN139" s="131"/>
      <c r="MO139" s="131"/>
      <c r="MP139" s="131"/>
      <c r="MQ139" s="131"/>
      <c r="MR139" s="131"/>
      <c r="MS139" s="131"/>
      <c r="MT139" s="131"/>
      <c r="MU139" s="131"/>
      <c r="MV139" s="131"/>
      <c r="MW139" s="131"/>
      <c r="MX139" s="131"/>
      <c r="MY139" s="131"/>
      <c r="MZ139" s="131"/>
      <c r="NA139" s="131"/>
      <c r="NB139" s="131"/>
      <c r="NC139" s="131"/>
      <c r="ND139" s="131"/>
      <c r="NE139" s="131"/>
      <c r="NF139" s="131"/>
      <c r="NG139" s="131"/>
      <c r="NH139" s="131"/>
      <c r="NI139" s="131"/>
      <c r="NJ139" s="131"/>
      <c r="NK139" s="131"/>
      <c r="NL139" s="131"/>
      <c r="NM139" s="131"/>
      <c r="NN139" s="131"/>
      <c r="NO139" s="131"/>
      <c r="NP139" s="131"/>
      <c r="NQ139" s="131"/>
      <c r="NR139" s="131"/>
      <c r="NS139" s="131"/>
      <c r="NT139" s="131"/>
      <c r="NU139" s="131"/>
      <c r="NV139" s="131"/>
      <c r="NW139" s="24">
        <f t="shared" si="17"/>
        <v>30</v>
      </c>
      <c r="NX139" s="56" t="s">
        <v>36</v>
      </c>
      <c r="NY139" s="127">
        <v>770.4</v>
      </c>
      <c r="NZ139" s="78">
        <f t="shared" si="18"/>
        <v>0</v>
      </c>
      <c r="OA139" s="78">
        <v>479.7</v>
      </c>
      <c r="OB139" s="127">
        <f t="shared" si="19"/>
        <v>770.4</v>
      </c>
      <c r="OC139" s="153"/>
      <c r="OD139" s="108">
        <f t="shared" si="15"/>
        <v>1.6060037523452158</v>
      </c>
      <c r="OE139" s="160" t="s">
        <v>560</v>
      </c>
    </row>
    <row r="140" spans="1:395" s="5" customFormat="1" ht="12.75" customHeight="1" x14ac:dyDescent="0.25">
      <c r="A140" s="62">
        <v>44573</v>
      </c>
      <c r="B140" s="116" t="s">
        <v>81</v>
      </c>
      <c r="C140" s="129"/>
      <c r="D140" s="129"/>
      <c r="E140" s="130"/>
      <c r="F140" s="130"/>
      <c r="G140" s="130"/>
      <c r="H140" s="130"/>
      <c r="I140" s="130"/>
      <c r="J140" s="130"/>
      <c r="K140" s="130"/>
      <c r="L140" s="130"/>
      <c r="M140" s="131"/>
      <c r="N140" s="131"/>
      <c r="O140" s="131"/>
      <c r="P140" s="131"/>
      <c r="Q140" s="131"/>
      <c r="R140" s="131"/>
      <c r="S140" s="131"/>
      <c r="T140" s="131">
        <v>20</v>
      </c>
      <c r="U140" s="131"/>
      <c r="V140" s="131"/>
      <c r="W140" s="131"/>
      <c r="X140" s="131"/>
      <c r="Y140" s="131"/>
      <c r="Z140" s="131"/>
      <c r="AA140" s="131"/>
      <c r="AB140" s="131"/>
      <c r="AC140" s="131"/>
      <c r="AD140" s="131"/>
      <c r="AE140" s="131"/>
      <c r="AF140" s="131"/>
      <c r="AG140" s="131"/>
      <c r="AH140" s="131"/>
      <c r="AI140" s="131"/>
      <c r="AJ140" s="131"/>
      <c r="AK140" s="131"/>
      <c r="AL140" s="131"/>
      <c r="AM140" s="131"/>
      <c r="AN140" s="131"/>
      <c r="AO140" s="131"/>
      <c r="AP140" s="131"/>
      <c r="AQ140" s="131"/>
      <c r="AR140" s="131"/>
      <c r="AS140" s="131"/>
      <c r="AT140" s="131"/>
      <c r="AU140" s="131"/>
      <c r="AV140" s="131"/>
      <c r="AW140" s="131"/>
      <c r="AX140" s="131"/>
      <c r="AY140" s="131"/>
      <c r="AZ140" s="131"/>
      <c r="BA140" s="131"/>
      <c r="BB140" s="131"/>
      <c r="BC140" s="131"/>
      <c r="BD140" s="131"/>
      <c r="BE140" s="131"/>
      <c r="BF140" s="131"/>
      <c r="BG140" s="131"/>
      <c r="BH140" s="131"/>
      <c r="BI140" s="131"/>
      <c r="BJ140" s="131"/>
      <c r="BK140" s="131"/>
      <c r="BL140" s="131"/>
      <c r="BM140" s="131"/>
      <c r="BN140" s="131"/>
      <c r="BO140" s="131"/>
      <c r="BP140" s="131"/>
      <c r="BQ140" s="131"/>
      <c r="BR140" s="131"/>
      <c r="BS140" s="131"/>
      <c r="BT140" s="131"/>
      <c r="BU140" s="131"/>
      <c r="BV140" s="131"/>
      <c r="BW140" s="131"/>
      <c r="BX140" s="131"/>
      <c r="BY140" s="131"/>
      <c r="BZ140" s="131"/>
      <c r="CA140" s="131"/>
      <c r="CB140" s="131"/>
      <c r="CC140" s="131"/>
      <c r="CD140" s="131"/>
      <c r="CE140" s="131"/>
      <c r="CF140" s="131"/>
      <c r="CG140" s="131"/>
      <c r="CH140" s="131"/>
      <c r="CI140" s="131"/>
      <c r="CJ140" s="131"/>
      <c r="CK140" s="131"/>
      <c r="CL140" s="131"/>
      <c r="CM140" s="131"/>
      <c r="CN140" s="131"/>
      <c r="CO140" s="131"/>
      <c r="CP140" s="131"/>
      <c r="CQ140" s="131"/>
      <c r="CR140" s="131"/>
      <c r="CS140" s="131"/>
      <c r="CT140" s="131"/>
      <c r="CU140" s="131"/>
      <c r="CV140" s="131"/>
      <c r="CW140" s="131"/>
      <c r="CX140" s="131"/>
      <c r="CY140" s="131"/>
      <c r="CZ140" s="131"/>
      <c r="DA140" s="131"/>
      <c r="DB140" s="131"/>
      <c r="DC140" s="131"/>
      <c r="DD140" s="131"/>
      <c r="DE140" s="131"/>
      <c r="DF140" s="131"/>
      <c r="DG140" s="131"/>
      <c r="DH140" s="131"/>
      <c r="DI140" s="131"/>
      <c r="DJ140" s="131"/>
      <c r="DK140" s="131"/>
      <c r="DL140" s="131"/>
      <c r="DM140" s="131"/>
      <c r="DN140" s="131"/>
      <c r="DO140" s="131"/>
      <c r="DP140" s="131"/>
      <c r="DQ140" s="131"/>
      <c r="DR140" s="131"/>
      <c r="DS140" s="131"/>
      <c r="DT140" s="131"/>
      <c r="DU140" s="131"/>
      <c r="DV140" s="131"/>
      <c r="DW140" s="131"/>
      <c r="DX140" s="131"/>
      <c r="DY140" s="131"/>
      <c r="DZ140" s="131"/>
      <c r="EA140" s="131">
        <v>10</v>
      </c>
      <c r="EB140" s="131"/>
      <c r="EC140" s="131"/>
      <c r="ED140" s="131"/>
      <c r="EE140" s="131"/>
      <c r="EF140" s="131"/>
      <c r="EG140" s="131"/>
      <c r="EH140" s="131"/>
      <c r="EI140" s="131"/>
      <c r="EJ140" s="131"/>
      <c r="EK140" s="131"/>
      <c r="EL140" s="131"/>
      <c r="EM140" s="131"/>
      <c r="EN140" s="131"/>
      <c r="EO140" s="131"/>
      <c r="EP140" s="131"/>
      <c r="EQ140" s="131"/>
      <c r="ER140" s="131"/>
      <c r="ES140" s="131"/>
      <c r="ET140" s="131">
        <v>10</v>
      </c>
      <c r="EU140" s="131"/>
      <c r="EV140" s="131"/>
      <c r="EW140" s="131"/>
      <c r="EX140" s="131"/>
      <c r="EY140" s="131"/>
      <c r="EZ140" s="131"/>
      <c r="FA140" s="131"/>
      <c r="FB140" s="131"/>
      <c r="FC140" s="131"/>
      <c r="FD140" s="131"/>
      <c r="FE140" s="131"/>
      <c r="FF140" s="131"/>
      <c r="FG140" s="131"/>
      <c r="FH140" s="131"/>
      <c r="FI140" s="131"/>
      <c r="FJ140" s="131"/>
      <c r="FK140" s="131"/>
      <c r="FL140" s="131"/>
      <c r="FM140" s="131"/>
      <c r="FN140" s="131"/>
      <c r="FO140" s="131"/>
      <c r="FP140" s="131"/>
      <c r="FQ140" s="131"/>
      <c r="FR140" s="131"/>
      <c r="FS140" s="131"/>
      <c r="FT140" s="131"/>
      <c r="FU140" s="131"/>
      <c r="FV140" s="131"/>
      <c r="FW140" s="131"/>
      <c r="FX140" s="131"/>
      <c r="FY140" s="131"/>
      <c r="FZ140" s="131"/>
      <c r="GA140" s="131"/>
      <c r="GB140" s="131"/>
      <c r="GC140" s="131"/>
      <c r="GD140" s="131"/>
      <c r="GE140" s="131"/>
      <c r="GF140" s="131"/>
      <c r="GG140" s="131"/>
      <c r="GH140" s="131"/>
      <c r="GI140" s="131"/>
      <c r="GJ140" s="131"/>
      <c r="GK140" s="131"/>
      <c r="GL140" s="131"/>
      <c r="GM140" s="131"/>
      <c r="GN140" s="131"/>
      <c r="GO140" s="131"/>
      <c r="GP140" s="131"/>
      <c r="GQ140" s="131"/>
      <c r="GR140" s="131"/>
      <c r="GS140" s="131"/>
      <c r="GT140" s="131"/>
      <c r="GU140" s="131">
        <v>20</v>
      </c>
      <c r="GV140" s="131"/>
      <c r="GW140" s="131"/>
      <c r="GX140" s="131"/>
      <c r="GY140" s="131"/>
      <c r="GZ140" s="131"/>
      <c r="HA140" s="131"/>
      <c r="HB140" s="131"/>
      <c r="HC140" s="131"/>
      <c r="HD140" s="131"/>
      <c r="HE140" s="131"/>
      <c r="HF140" s="131"/>
      <c r="HG140" s="131"/>
      <c r="HH140" s="131"/>
      <c r="HI140" s="131"/>
      <c r="HJ140" s="131"/>
      <c r="HK140" s="131"/>
      <c r="HL140" s="131"/>
      <c r="HM140" s="131"/>
      <c r="HN140" s="131"/>
      <c r="HO140" s="131"/>
      <c r="HP140" s="131"/>
      <c r="HQ140" s="131"/>
      <c r="HR140" s="131"/>
      <c r="HS140" s="131"/>
      <c r="HT140" s="131"/>
      <c r="HU140" s="131"/>
      <c r="HV140" s="131"/>
      <c r="HW140" s="131"/>
      <c r="HX140" s="131"/>
      <c r="HY140" s="131"/>
      <c r="HZ140" s="131"/>
      <c r="IA140" s="131"/>
      <c r="IB140" s="131"/>
      <c r="IC140" s="131"/>
      <c r="ID140" s="131"/>
      <c r="IE140" s="131"/>
      <c r="IF140" s="131"/>
      <c r="IG140" s="131"/>
      <c r="IH140" s="131"/>
      <c r="II140" s="131"/>
      <c r="IJ140" s="131"/>
      <c r="IK140" s="131"/>
      <c r="IL140" s="131"/>
      <c r="IM140" s="131"/>
      <c r="IN140" s="131"/>
      <c r="IO140" s="131"/>
      <c r="IP140" s="131"/>
      <c r="IQ140" s="131"/>
      <c r="IR140" s="131"/>
      <c r="IS140" s="131"/>
      <c r="IT140" s="131"/>
      <c r="IU140" s="131"/>
      <c r="IV140" s="131"/>
      <c r="IW140" s="131"/>
      <c r="IX140" s="131"/>
      <c r="IY140" s="131"/>
      <c r="IZ140" s="131"/>
      <c r="JA140" s="131"/>
      <c r="JB140" s="131"/>
      <c r="JC140" s="131"/>
      <c r="JD140" s="131"/>
      <c r="JE140" s="131"/>
      <c r="JF140" s="131"/>
      <c r="JG140" s="131"/>
      <c r="JH140" s="131"/>
      <c r="JI140" s="131"/>
      <c r="JJ140" s="131"/>
      <c r="JK140" s="131"/>
      <c r="JL140" s="131"/>
      <c r="JM140" s="131"/>
      <c r="JN140" s="131"/>
      <c r="JO140" s="131"/>
      <c r="JP140" s="131"/>
      <c r="JQ140" s="131">
        <v>10</v>
      </c>
      <c r="JR140" s="131"/>
      <c r="JS140" s="131"/>
      <c r="JT140" s="131"/>
      <c r="JU140" s="131"/>
      <c r="JV140" s="131"/>
      <c r="JW140" s="131">
        <v>2</v>
      </c>
      <c r="JX140" s="131"/>
      <c r="JY140" s="131"/>
      <c r="JZ140" s="131"/>
      <c r="KA140" s="131"/>
      <c r="KB140" s="131"/>
      <c r="KC140" s="131"/>
      <c r="KD140" s="131"/>
      <c r="KE140" s="131"/>
      <c r="KF140" s="131"/>
      <c r="KG140" s="131"/>
      <c r="KH140" s="131"/>
      <c r="KI140" s="131"/>
      <c r="KJ140" s="131"/>
      <c r="KK140" s="131"/>
      <c r="KL140" s="131"/>
      <c r="KM140" s="131"/>
      <c r="KN140" s="131"/>
      <c r="KO140" s="131"/>
      <c r="KP140" s="131"/>
      <c r="KQ140" s="131"/>
      <c r="KR140" s="131"/>
      <c r="KS140" s="131"/>
      <c r="KT140" s="131"/>
      <c r="KU140" s="131"/>
      <c r="KV140" s="131"/>
      <c r="KW140" s="131"/>
      <c r="KX140" s="131"/>
      <c r="KY140" s="131"/>
      <c r="KZ140" s="131"/>
      <c r="LA140" s="131"/>
      <c r="LB140" s="131"/>
      <c r="LC140" s="131"/>
      <c r="LD140" s="131"/>
      <c r="LE140" s="131"/>
      <c r="LF140" s="131"/>
      <c r="LG140" s="131"/>
      <c r="LH140" s="131"/>
      <c r="LI140" s="131"/>
      <c r="LJ140" s="131"/>
      <c r="LK140" s="131"/>
      <c r="LL140" s="131"/>
      <c r="LM140" s="131"/>
      <c r="LN140" s="131"/>
      <c r="LO140" s="131"/>
      <c r="LP140" s="131"/>
      <c r="LQ140" s="131"/>
      <c r="LR140" s="131"/>
      <c r="LS140" s="131"/>
      <c r="LT140" s="131"/>
      <c r="LU140" s="131"/>
      <c r="LV140" s="131"/>
      <c r="LW140" s="131"/>
      <c r="LX140" s="131"/>
      <c r="LY140" s="131"/>
      <c r="LZ140" s="131"/>
      <c r="MA140" s="131"/>
      <c r="MB140" s="131"/>
      <c r="MC140" s="131"/>
      <c r="MD140" s="131"/>
      <c r="ME140" s="131"/>
      <c r="MF140" s="131"/>
      <c r="MG140" s="131"/>
      <c r="MH140" s="131"/>
      <c r="MI140" s="131"/>
      <c r="MJ140" s="131"/>
      <c r="MK140" s="131"/>
      <c r="ML140" s="131"/>
      <c r="MM140" s="131"/>
      <c r="MN140" s="131"/>
      <c r="MO140" s="131"/>
      <c r="MP140" s="131"/>
      <c r="MQ140" s="131"/>
      <c r="MR140" s="131"/>
      <c r="MS140" s="131"/>
      <c r="MT140" s="131"/>
      <c r="MU140" s="131"/>
      <c r="MV140" s="131"/>
      <c r="MW140" s="131"/>
      <c r="MX140" s="131"/>
      <c r="MY140" s="131"/>
      <c r="MZ140" s="131"/>
      <c r="NA140" s="131"/>
      <c r="NB140" s="131"/>
      <c r="NC140" s="131"/>
      <c r="ND140" s="131"/>
      <c r="NE140" s="131"/>
      <c r="NF140" s="131"/>
      <c r="NG140" s="131"/>
      <c r="NH140" s="131"/>
      <c r="NI140" s="131"/>
      <c r="NJ140" s="131"/>
      <c r="NK140" s="131"/>
      <c r="NL140" s="131"/>
      <c r="NM140" s="131"/>
      <c r="NN140" s="131"/>
      <c r="NO140" s="131"/>
      <c r="NP140" s="131"/>
      <c r="NQ140" s="131"/>
      <c r="NR140" s="131"/>
      <c r="NS140" s="131">
        <v>200</v>
      </c>
      <c r="NT140" s="131"/>
      <c r="NU140" s="131"/>
      <c r="NV140" s="131"/>
      <c r="NW140" s="24">
        <f t="shared" si="17"/>
        <v>272</v>
      </c>
      <c r="NX140" s="56" t="s">
        <v>36</v>
      </c>
      <c r="NY140" s="127">
        <v>11843.3</v>
      </c>
      <c r="NZ140" s="78">
        <f t="shared" si="18"/>
        <v>0</v>
      </c>
      <c r="OA140" s="78">
        <v>7706.49</v>
      </c>
      <c r="OB140" s="127">
        <f t="shared" si="19"/>
        <v>11843.3</v>
      </c>
      <c r="OC140" s="153"/>
      <c r="OD140" s="108">
        <f t="shared" si="15"/>
        <v>1.5367956099339648</v>
      </c>
      <c r="OE140" s="160" t="s">
        <v>562</v>
      </c>
    </row>
    <row r="141" spans="1:395" s="5" customFormat="1" ht="12.75" customHeight="1" x14ac:dyDescent="0.25">
      <c r="A141" s="62">
        <v>44574</v>
      </c>
      <c r="B141" s="116" t="s">
        <v>129</v>
      </c>
      <c r="C141" s="129"/>
      <c r="D141" s="129"/>
      <c r="E141" s="130"/>
      <c r="F141" s="130"/>
      <c r="G141" s="130"/>
      <c r="H141" s="130"/>
      <c r="I141" s="130"/>
      <c r="J141" s="130"/>
      <c r="K141" s="130"/>
      <c r="L141" s="130"/>
      <c r="M141" s="131"/>
      <c r="N141" s="131"/>
      <c r="O141" s="131"/>
      <c r="P141" s="131"/>
      <c r="Q141" s="131"/>
      <c r="R141" s="131"/>
      <c r="S141" s="131"/>
      <c r="T141" s="131"/>
      <c r="U141" s="131"/>
      <c r="V141" s="131"/>
      <c r="W141" s="131"/>
      <c r="X141" s="131">
        <v>36</v>
      </c>
      <c r="Y141" s="131"/>
      <c r="Z141" s="131"/>
      <c r="AA141" s="131"/>
      <c r="AB141" s="131"/>
      <c r="AC141" s="131"/>
      <c r="AD141" s="131"/>
      <c r="AE141" s="131"/>
      <c r="AF141" s="131"/>
      <c r="AG141" s="131"/>
      <c r="AH141" s="131"/>
      <c r="AI141" s="131"/>
      <c r="AJ141" s="131"/>
      <c r="AK141" s="131"/>
      <c r="AL141" s="131"/>
      <c r="AM141" s="131"/>
      <c r="AN141" s="131"/>
      <c r="AO141" s="131"/>
      <c r="AP141" s="131"/>
      <c r="AQ141" s="131"/>
      <c r="AR141" s="131"/>
      <c r="AS141" s="131"/>
      <c r="AT141" s="131"/>
      <c r="AU141" s="131"/>
      <c r="AV141" s="131"/>
      <c r="AW141" s="131"/>
      <c r="AX141" s="131"/>
      <c r="AY141" s="131"/>
      <c r="AZ141" s="131"/>
      <c r="BA141" s="131"/>
      <c r="BB141" s="131"/>
      <c r="BC141" s="131"/>
      <c r="BD141" s="131"/>
      <c r="BE141" s="131"/>
      <c r="BF141" s="131"/>
      <c r="BG141" s="131"/>
      <c r="BH141" s="131"/>
      <c r="BI141" s="131"/>
      <c r="BJ141" s="131"/>
      <c r="BK141" s="131"/>
      <c r="BL141" s="131"/>
      <c r="BM141" s="131"/>
      <c r="BN141" s="131"/>
      <c r="BO141" s="131"/>
      <c r="BP141" s="131"/>
      <c r="BQ141" s="131"/>
      <c r="BR141" s="131"/>
      <c r="BS141" s="131"/>
      <c r="BT141" s="131"/>
      <c r="BU141" s="131"/>
      <c r="BV141" s="131"/>
      <c r="BW141" s="131"/>
      <c r="BX141" s="131"/>
      <c r="BY141" s="131"/>
      <c r="BZ141" s="131"/>
      <c r="CA141" s="131"/>
      <c r="CB141" s="131"/>
      <c r="CC141" s="131"/>
      <c r="CD141" s="131"/>
      <c r="CE141" s="131"/>
      <c r="CF141" s="131"/>
      <c r="CG141" s="131"/>
      <c r="CH141" s="131"/>
      <c r="CI141" s="131"/>
      <c r="CJ141" s="131"/>
      <c r="CK141" s="131"/>
      <c r="CL141" s="131"/>
      <c r="CM141" s="131"/>
      <c r="CN141" s="131"/>
      <c r="CO141" s="131"/>
      <c r="CP141" s="131"/>
      <c r="CQ141" s="131"/>
      <c r="CR141" s="131"/>
      <c r="CS141" s="131"/>
      <c r="CT141" s="131"/>
      <c r="CU141" s="131"/>
      <c r="CV141" s="131"/>
      <c r="CW141" s="131"/>
      <c r="CX141" s="131"/>
      <c r="CY141" s="131"/>
      <c r="CZ141" s="131"/>
      <c r="DA141" s="131"/>
      <c r="DB141" s="131"/>
      <c r="DC141" s="131"/>
      <c r="DD141" s="131"/>
      <c r="DE141" s="131"/>
      <c r="DF141" s="131"/>
      <c r="DG141" s="131"/>
      <c r="DH141" s="131"/>
      <c r="DI141" s="131"/>
      <c r="DJ141" s="131"/>
      <c r="DK141" s="131"/>
      <c r="DL141" s="131"/>
      <c r="DM141" s="131"/>
      <c r="DN141" s="131"/>
      <c r="DO141" s="131"/>
      <c r="DP141" s="131"/>
      <c r="DQ141" s="131"/>
      <c r="DR141" s="131"/>
      <c r="DS141" s="131"/>
      <c r="DT141" s="131"/>
      <c r="DU141" s="131"/>
      <c r="DV141" s="131"/>
      <c r="DW141" s="131"/>
      <c r="DX141" s="131"/>
      <c r="DY141" s="131"/>
      <c r="DZ141" s="131"/>
      <c r="EA141" s="131"/>
      <c r="EB141" s="131"/>
      <c r="EC141" s="131"/>
      <c r="ED141" s="131"/>
      <c r="EE141" s="131"/>
      <c r="EF141" s="131"/>
      <c r="EG141" s="131"/>
      <c r="EH141" s="131"/>
      <c r="EI141" s="131"/>
      <c r="EJ141" s="131"/>
      <c r="EK141" s="131"/>
      <c r="EL141" s="131"/>
      <c r="EM141" s="131"/>
      <c r="EN141" s="131"/>
      <c r="EO141" s="131"/>
      <c r="EP141" s="131"/>
      <c r="EQ141" s="131"/>
      <c r="ER141" s="131"/>
      <c r="ES141" s="131"/>
      <c r="ET141" s="131"/>
      <c r="EU141" s="131"/>
      <c r="EV141" s="131"/>
      <c r="EW141" s="131"/>
      <c r="EX141" s="131"/>
      <c r="EY141" s="131"/>
      <c r="EZ141" s="131"/>
      <c r="FA141" s="131"/>
      <c r="FB141" s="131"/>
      <c r="FC141" s="131"/>
      <c r="FD141" s="131"/>
      <c r="FE141" s="131"/>
      <c r="FF141" s="131"/>
      <c r="FG141" s="131"/>
      <c r="FH141" s="131"/>
      <c r="FI141" s="131"/>
      <c r="FJ141" s="131"/>
      <c r="FK141" s="131"/>
      <c r="FL141" s="131"/>
      <c r="FM141" s="131"/>
      <c r="FN141" s="131"/>
      <c r="FO141" s="131"/>
      <c r="FP141" s="131"/>
      <c r="FQ141" s="131"/>
      <c r="FR141" s="131"/>
      <c r="FS141" s="131"/>
      <c r="FT141" s="131"/>
      <c r="FU141" s="131"/>
      <c r="FV141" s="131"/>
      <c r="FW141" s="131"/>
      <c r="FX141" s="131"/>
      <c r="FY141" s="131"/>
      <c r="FZ141" s="131"/>
      <c r="GA141" s="131"/>
      <c r="GB141" s="131"/>
      <c r="GC141" s="131"/>
      <c r="GD141" s="131"/>
      <c r="GE141" s="131"/>
      <c r="GF141" s="131"/>
      <c r="GG141" s="131"/>
      <c r="GH141" s="131"/>
      <c r="GI141" s="131"/>
      <c r="GJ141" s="131"/>
      <c r="GK141" s="131"/>
      <c r="GL141" s="131"/>
      <c r="GM141" s="131"/>
      <c r="GN141" s="131"/>
      <c r="GO141" s="131"/>
      <c r="GP141" s="131"/>
      <c r="GQ141" s="131"/>
      <c r="GR141" s="131"/>
      <c r="GS141" s="131"/>
      <c r="GT141" s="131"/>
      <c r="GU141" s="131"/>
      <c r="GV141" s="131"/>
      <c r="GW141" s="131"/>
      <c r="GX141" s="131"/>
      <c r="GY141" s="131"/>
      <c r="GZ141" s="131"/>
      <c r="HA141" s="131"/>
      <c r="HB141" s="131"/>
      <c r="HC141" s="131"/>
      <c r="HD141" s="131"/>
      <c r="HE141" s="131"/>
      <c r="HF141" s="131"/>
      <c r="HG141" s="131"/>
      <c r="HH141" s="131"/>
      <c r="HI141" s="131"/>
      <c r="HJ141" s="131"/>
      <c r="HK141" s="131"/>
      <c r="HL141" s="131"/>
      <c r="HM141" s="131"/>
      <c r="HN141" s="131"/>
      <c r="HO141" s="131"/>
      <c r="HP141" s="131"/>
      <c r="HQ141" s="131"/>
      <c r="HR141" s="131"/>
      <c r="HS141" s="131"/>
      <c r="HT141" s="131"/>
      <c r="HU141" s="131"/>
      <c r="HV141" s="131"/>
      <c r="HW141" s="131"/>
      <c r="HX141" s="131"/>
      <c r="HY141" s="131"/>
      <c r="HZ141" s="131"/>
      <c r="IA141" s="131"/>
      <c r="IB141" s="131"/>
      <c r="IC141" s="131"/>
      <c r="ID141" s="131"/>
      <c r="IE141" s="131"/>
      <c r="IF141" s="131"/>
      <c r="IG141" s="131"/>
      <c r="IH141" s="131"/>
      <c r="II141" s="131"/>
      <c r="IJ141" s="131"/>
      <c r="IK141" s="131"/>
      <c r="IL141" s="131"/>
      <c r="IM141" s="131"/>
      <c r="IN141" s="131"/>
      <c r="IO141" s="131"/>
      <c r="IP141" s="131"/>
      <c r="IQ141" s="131"/>
      <c r="IR141" s="131"/>
      <c r="IS141" s="131"/>
      <c r="IT141" s="131"/>
      <c r="IU141" s="131"/>
      <c r="IV141" s="131"/>
      <c r="IW141" s="131"/>
      <c r="IX141" s="131"/>
      <c r="IY141" s="131"/>
      <c r="IZ141" s="131"/>
      <c r="JA141" s="131"/>
      <c r="JB141" s="131"/>
      <c r="JC141" s="131"/>
      <c r="JD141" s="131"/>
      <c r="JE141" s="131"/>
      <c r="JF141" s="131"/>
      <c r="JG141" s="131"/>
      <c r="JH141" s="131"/>
      <c r="JI141" s="131"/>
      <c r="JJ141" s="131"/>
      <c r="JK141" s="131"/>
      <c r="JL141" s="131"/>
      <c r="JM141" s="131"/>
      <c r="JN141" s="131"/>
      <c r="JO141" s="131"/>
      <c r="JP141" s="131"/>
      <c r="JQ141" s="131"/>
      <c r="JR141" s="131"/>
      <c r="JS141" s="131"/>
      <c r="JT141" s="131"/>
      <c r="JU141" s="131"/>
      <c r="JV141" s="131"/>
      <c r="JW141" s="131"/>
      <c r="JX141" s="131"/>
      <c r="JY141" s="131"/>
      <c r="JZ141" s="131"/>
      <c r="KA141" s="131"/>
      <c r="KB141" s="131"/>
      <c r="KC141" s="131"/>
      <c r="KD141" s="131"/>
      <c r="KE141" s="131"/>
      <c r="KF141" s="131"/>
      <c r="KG141" s="131"/>
      <c r="KH141" s="131"/>
      <c r="KI141" s="131"/>
      <c r="KJ141" s="131"/>
      <c r="KK141" s="131"/>
      <c r="KL141" s="131"/>
      <c r="KM141" s="131"/>
      <c r="KN141" s="131"/>
      <c r="KO141" s="131"/>
      <c r="KP141" s="131"/>
      <c r="KQ141" s="131"/>
      <c r="KR141" s="131"/>
      <c r="KS141" s="131"/>
      <c r="KT141" s="131"/>
      <c r="KU141" s="131"/>
      <c r="KV141" s="131"/>
      <c r="KW141" s="131"/>
      <c r="KX141" s="131"/>
      <c r="KY141" s="131"/>
      <c r="KZ141" s="131"/>
      <c r="LA141" s="131"/>
      <c r="LB141" s="131"/>
      <c r="LC141" s="131"/>
      <c r="LD141" s="131"/>
      <c r="LE141" s="131"/>
      <c r="LF141" s="131"/>
      <c r="LG141" s="131"/>
      <c r="LH141" s="131"/>
      <c r="LI141" s="131"/>
      <c r="LJ141" s="131"/>
      <c r="LK141" s="131"/>
      <c r="LL141" s="131"/>
      <c r="LM141" s="131"/>
      <c r="LN141" s="131"/>
      <c r="LO141" s="131"/>
      <c r="LP141" s="131"/>
      <c r="LQ141" s="131"/>
      <c r="LR141" s="131"/>
      <c r="LS141" s="131"/>
      <c r="LT141" s="131"/>
      <c r="LU141" s="131"/>
      <c r="LV141" s="131"/>
      <c r="LW141" s="131"/>
      <c r="LX141" s="131"/>
      <c r="LY141" s="131"/>
      <c r="LZ141" s="131"/>
      <c r="MA141" s="131"/>
      <c r="MB141" s="131"/>
      <c r="MC141" s="131"/>
      <c r="MD141" s="131"/>
      <c r="ME141" s="131"/>
      <c r="MF141" s="131"/>
      <c r="MG141" s="131"/>
      <c r="MH141" s="131"/>
      <c r="MI141" s="131"/>
      <c r="MJ141" s="131"/>
      <c r="MK141" s="131"/>
      <c r="ML141" s="131"/>
      <c r="MM141" s="131"/>
      <c r="MN141" s="131"/>
      <c r="MO141" s="131"/>
      <c r="MP141" s="131"/>
      <c r="MQ141" s="131"/>
      <c r="MR141" s="131"/>
      <c r="MS141" s="131"/>
      <c r="MT141" s="131"/>
      <c r="MU141" s="131"/>
      <c r="MV141" s="131"/>
      <c r="MW141" s="131"/>
      <c r="MX141" s="131"/>
      <c r="MY141" s="131"/>
      <c r="MZ141" s="131"/>
      <c r="NA141" s="131"/>
      <c r="NB141" s="131"/>
      <c r="NC141" s="131"/>
      <c r="ND141" s="131"/>
      <c r="NE141" s="131"/>
      <c r="NF141" s="131"/>
      <c r="NG141" s="131"/>
      <c r="NH141" s="131"/>
      <c r="NI141" s="131"/>
      <c r="NJ141" s="131"/>
      <c r="NK141" s="131"/>
      <c r="NL141" s="131"/>
      <c r="NM141" s="131"/>
      <c r="NN141" s="131"/>
      <c r="NO141" s="131"/>
      <c r="NP141" s="131"/>
      <c r="NQ141" s="131"/>
      <c r="NR141" s="131"/>
      <c r="NS141" s="131"/>
      <c r="NT141" s="131"/>
      <c r="NU141" s="131"/>
      <c r="NV141" s="131"/>
      <c r="NW141" s="24">
        <f t="shared" si="17"/>
        <v>36</v>
      </c>
      <c r="NX141" s="56" t="s">
        <v>36</v>
      </c>
      <c r="NY141" s="127">
        <v>1043.28</v>
      </c>
      <c r="NZ141" s="78">
        <f t="shared" si="18"/>
        <v>0</v>
      </c>
      <c r="OA141" s="78">
        <v>677.52</v>
      </c>
      <c r="OB141" s="127">
        <f t="shared" si="19"/>
        <v>1043.28</v>
      </c>
      <c r="OC141" s="153"/>
      <c r="OD141" s="108">
        <f t="shared" si="15"/>
        <v>1.5398512221041445</v>
      </c>
      <c r="OE141" s="160" t="s">
        <v>570</v>
      </c>
    </row>
    <row r="142" spans="1:395" s="5" customFormat="1" ht="12.75" customHeight="1" x14ac:dyDescent="0.25">
      <c r="A142" s="62">
        <v>44574</v>
      </c>
      <c r="B142" s="106" t="s">
        <v>487</v>
      </c>
      <c r="C142" s="129"/>
      <c r="D142" s="129"/>
      <c r="E142" s="130"/>
      <c r="F142" s="130"/>
      <c r="G142" s="130"/>
      <c r="H142" s="130"/>
      <c r="I142" s="130"/>
      <c r="J142" s="130"/>
      <c r="K142" s="130"/>
      <c r="L142" s="130"/>
      <c r="M142" s="131"/>
      <c r="N142" s="131"/>
      <c r="O142" s="131"/>
      <c r="P142" s="131"/>
      <c r="Q142" s="131"/>
      <c r="R142" s="131"/>
      <c r="S142" s="131"/>
      <c r="T142" s="131"/>
      <c r="U142" s="131"/>
      <c r="V142" s="131"/>
      <c r="W142" s="131"/>
      <c r="X142" s="131"/>
      <c r="Y142" s="131"/>
      <c r="Z142" s="131"/>
      <c r="AA142" s="131"/>
      <c r="AB142" s="131"/>
      <c r="AC142" s="131"/>
      <c r="AD142" s="131"/>
      <c r="AE142" s="131"/>
      <c r="AF142" s="131"/>
      <c r="AG142" s="131"/>
      <c r="AH142" s="131"/>
      <c r="AI142" s="131"/>
      <c r="AJ142" s="131"/>
      <c r="AK142" s="131"/>
      <c r="AL142" s="131"/>
      <c r="AM142" s="131"/>
      <c r="AN142" s="131"/>
      <c r="AO142" s="131"/>
      <c r="AP142" s="131"/>
      <c r="AQ142" s="131"/>
      <c r="AR142" s="131"/>
      <c r="AS142" s="131"/>
      <c r="AT142" s="131"/>
      <c r="AU142" s="131"/>
      <c r="AV142" s="131"/>
      <c r="AW142" s="131"/>
      <c r="AX142" s="131"/>
      <c r="AY142" s="131"/>
      <c r="AZ142" s="131"/>
      <c r="BA142" s="131"/>
      <c r="BB142" s="131"/>
      <c r="BC142" s="131"/>
      <c r="BD142" s="131"/>
      <c r="BE142" s="131"/>
      <c r="BF142" s="131"/>
      <c r="BG142" s="131"/>
      <c r="BH142" s="131"/>
      <c r="BI142" s="131"/>
      <c r="BJ142" s="131"/>
      <c r="BK142" s="131"/>
      <c r="BL142" s="131"/>
      <c r="BM142" s="131"/>
      <c r="BN142" s="131"/>
      <c r="BO142" s="131"/>
      <c r="BP142" s="131"/>
      <c r="BQ142" s="131"/>
      <c r="BR142" s="131">
        <v>50</v>
      </c>
      <c r="BS142" s="131"/>
      <c r="BT142" s="131"/>
      <c r="BU142" s="131"/>
      <c r="BV142" s="131"/>
      <c r="BW142" s="131"/>
      <c r="BX142" s="131"/>
      <c r="BY142" s="131"/>
      <c r="BZ142" s="131"/>
      <c r="CA142" s="131"/>
      <c r="CB142" s="131"/>
      <c r="CC142" s="131"/>
      <c r="CD142" s="131"/>
      <c r="CE142" s="131"/>
      <c r="CF142" s="131"/>
      <c r="CG142" s="131"/>
      <c r="CH142" s="131"/>
      <c r="CI142" s="131"/>
      <c r="CJ142" s="131"/>
      <c r="CK142" s="131"/>
      <c r="CL142" s="131"/>
      <c r="CM142" s="131"/>
      <c r="CN142" s="131"/>
      <c r="CO142" s="131"/>
      <c r="CP142" s="131"/>
      <c r="CQ142" s="131"/>
      <c r="CR142" s="131"/>
      <c r="CS142" s="131"/>
      <c r="CT142" s="131"/>
      <c r="CU142" s="131"/>
      <c r="CV142" s="131"/>
      <c r="CW142" s="131"/>
      <c r="CX142" s="131"/>
      <c r="CY142" s="131"/>
      <c r="CZ142" s="131"/>
      <c r="DA142" s="131"/>
      <c r="DB142" s="131"/>
      <c r="DC142" s="131"/>
      <c r="DD142" s="131"/>
      <c r="DE142" s="131"/>
      <c r="DF142" s="131"/>
      <c r="DG142" s="131"/>
      <c r="DH142" s="131"/>
      <c r="DI142" s="131"/>
      <c r="DJ142" s="131"/>
      <c r="DK142" s="131"/>
      <c r="DL142" s="131"/>
      <c r="DM142" s="131"/>
      <c r="DN142" s="131"/>
      <c r="DO142" s="131"/>
      <c r="DP142" s="131"/>
      <c r="DQ142" s="131"/>
      <c r="DR142" s="131"/>
      <c r="DS142" s="131"/>
      <c r="DT142" s="131"/>
      <c r="DU142" s="131"/>
      <c r="DV142" s="131"/>
      <c r="DW142" s="131"/>
      <c r="DX142" s="131"/>
      <c r="DY142" s="131"/>
      <c r="DZ142" s="131"/>
      <c r="EA142" s="131"/>
      <c r="EB142" s="131"/>
      <c r="EC142" s="131"/>
      <c r="ED142" s="131"/>
      <c r="EE142" s="131"/>
      <c r="EF142" s="131"/>
      <c r="EG142" s="131"/>
      <c r="EH142" s="131"/>
      <c r="EI142" s="131"/>
      <c r="EJ142" s="131"/>
      <c r="EK142" s="131"/>
      <c r="EL142" s="131"/>
      <c r="EM142" s="131"/>
      <c r="EN142" s="131"/>
      <c r="EO142" s="131"/>
      <c r="EP142" s="131"/>
      <c r="EQ142" s="131"/>
      <c r="ER142" s="131"/>
      <c r="ES142" s="131"/>
      <c r="ET142" s="131"/>
      <c r="EU142" s="131"/>
      <c r="EV142" s="131"/>
      <c r="EW142" s="131"/>
      <c r="EX142" s="131"/>
      <c r="EY142" s="131"/>
      <c r="EZ142" s="131"/>
      <c r="FA142" s="131"/>
      <c r="FB142" s="131"/>
      <c r="FC142" s="131"/>
      <c r="FD142" s="131"/>
      <c r="FE142" s="131"/>
      <c r="FF142" s="131"/>
      <c r="FG142" s="131"/>
      <c r="FH142" s="131"/>
      <c r="FI142" s="131"/>
      <c r="FJ142" s="131"/>
      <c r="FK142" s="131"/>
      <c r="FL142" s="131"/>
      <c r="FM142" s="131"/>
      <c r="FN142" s="131"/>
      <c r="FO142" s="131"/>
      <c r="FP142" s="131"/>
      <c r="FQ142" s="131"/>
      <c r="FR142" s="131"/>
      <c r="FS142" s="131"/>
      <c r="FT142" s="131"/>
      <c r="FU142" s="131"/>
      <c r="FV142" s="131"/>
      <c r="FW142" s="131"/>
      <c r="FX142" s="131"/>
      <c r="FY142" s="131"/>
      <c r="FZ142" s="131"/>
      <c r="GA142" s="131"/>
      <c r="GB142" s="131"/>
      <c r="GC142" s="131"/>
      <c r="GD142" s="131"/>
      <c r="GE142" s="131"/>
      <c r="GF142" s="131"/>
      <c r="GG142" s="131"/>
      <c r="GH142" s="131"/>
      <c r="GI142" s="131"/>
      <c r="GJ142" s="131"/>
      <c r="GK142" s="131"/>
      <c r="GL142" s="131"/>
      <c r="GM142" s="131"/>
      <c r="GN142" s="131"/>
      <c r="GO142" s="131"/>
      <c r="GP142" s="131"/>
      <c r="GQ142" s="131"/>
      <c r="GR142" s="131"/>
      <c r="GS142" s="131"/>
      <c r="GT142" s="131"/>
      <c r="GU142" s="131"/>
      <c r="GV142" s="131"/>
      <c r="GW142" s="131"/>
      <c r="GX142" s="131"/>
      <c r="GY142" s="131"/>
      <c r="GZ142" s="131"/>
      <c r="HA142" s="131"/>
      <c r="HB142" s="131"/>
      <c r="HC142" s="131"/>
      <c r="HD142" s="131"/>
      <c r="HE142" s="131"/>
      <c r="HF142" s="131"/>
      <c r="HG142" s="131"/>
      <c r="HH142" s="131"/>
      <c r="HI142" s="131"/>
      <c r="HJ142" s="131"/>
      <c r="HK142" s="131"/>
      <c r="HL142" s="131"/>
      <c r="HM142" s="131"/>
      <c r="HN142" s="131"/>
      <c r="HO142" s="131"/>
      <c r="HP142" s="131"/>
      <c r="HQ142" s="131"/>
      <c r="HR142" s="131"/>
      <c r="HS142" s="131"/>
      <c r="HT142" s="131"/>
      <c r="HU142" s="131"/>
      <c r="HV142" s="131"/>
      <c r="HW142" s="131"/>
      <c r="HX142" s="131"/>
      <c r="HY142" s="131"/>
      <c r="HZ142" s="131"/>
      <c r="IA142" s="131"/>
      <c r="IB142" s="131"/>
      <c r="IC142" s="131"/>
      <c r="ID142" s="131"/>
      <c r="IE142" s="131"/>
      <c r="IF142" s="131"/>
      <c r="IG142" s="131"/>
      <c r="IH142" s="131"/>
      <c r="II142" s="131"/>
      <c r="IJ142" s="131"/>
      <c r="IK142" s="131"/>
      <c r="IL142" s="131"/>
      <c r="IM142" s="131"/>
      <c r="IN142" s="131"/>
      <c r="IO142" s="131"/>
      <c r="IP142" s="131"/>
      <c r="IQ142" s="131"/>
      <c r="IR142" s="131"/>
      <c r="IS142" s="131"/>
      <c r="IT142" s="131"/>
      <c r="IU142" s="131"/>
      <c r="IV142" s="131"/>
      <c r="IW142" s="131"/>
      <c r="IX142" s="131"/>
      <c r="IY142" s="131"/>
      <c r="IZ142" s="131"/>
      <c r="JA142" s="131"/>
      <c r="JB142" s="131"/>
      <c r="JC142" s="131"/>
      <c r="JD142" s="131"/>
      <c r="JE142" s="131"/>
      <c r="JF142" s="131"/>
      <c r="JG142" s="131"/>
      <c r="JH142" s="131"/>
      <c r="JI142" s="131"/>
      <c r="JJ142" s="131"/>
      <c r="JK142" s="131"/>
      <c r="JL142" s="131"/>
      <c r="JM142" s="131"/>
      <c r="JN142" s="131"/>
      <c r="JO142" s="131"/>
      <c r="JP142" s="131"/>
      <c r="JQ142" s="131"/>
      <c r="JR142" s="131"/>
      <c r="JS142" s="131"/>
      <c r="JT142" s="131"/>
      <c r="JU142" s="131"/>
      <c r="JV142" s="131"/>
      <c r="JW142" s="131"/>
      <c r="JX142" s="131"/>
      <c r="JY142" s="131"/>
      <c r="JZ142" s="131"/>
      <c r="KA142" s="131"/>
      <c r="KB142" s="131"/>
      <c r="KC142" s="131"/>
      <c r="KD142" s="131"/>
      <c r="KE142" s="131"/>
      <c r="KF142" s="131"/>
      <c r="KG142" s="131"/>
      <c r="KH142" s="131"/>
      <c r="KI142" s="131"/>
      <c r="KJ142" s="131"/>
      <c r="KK142" s="131"/>
      <c r="KL142" s="131"/>
      <c r="KM142" s="131"/>
      <c r="KN142" s="131"/>
      <c r="KO142" s="131"/>
      <c r="KP142" s="131"/>
      <c r="KQ142" s="131"/>
      <c r="KR142" s="131"/>
      <c r="KS142" s="131"/>
      <c r="KT142" s="131"/>
      <c r="KU142" s="131"/>
      <c r="KV142" s="131"/>
      <c r="KW142" s="131"/>
      <c r="KX142" s="131"/>
      <c r="KY142" s="131"/>
      <c r="KZ142" s="131"/>
      <c r="LA142" s="131"/>
      <c r="LB142" s="131"/>
      <c r="LC142" s="131"/>
      <c r="LD142" s="131"/>
      <c r="LE142" s="131"/>
      <c r="LF142" s="131"/>
      <c r="LG142" s="131"/>
      <c r="LH142" s="131"/>
      <c r="LI142" s="131"/>
      <c r="LJ142" s="131"/>
      <c r="LK142" s="131"/>
      <c r="LL142" s="131"/>
      <c r="LM142" s="131"/>
      <c r="LN142" s="131"/>
      <c r="LO142" s="131"/>
      <c r="LP142" s="131"/>
      <c r="LQ142" s="131"/>
      <c r="LR142" s="131"/>
      <c r="LS142" s="131"/>
      <c r="LT142" s="131"/>
      <c r="LU142" s="131"/>
      <c r="LV142" s="131"/>
      <c r="LW142" s="131"/>
      <c r="LX142" s="131"/>
      <c r="LY142" s="131"/>
      <c r="LZ142" s="131"/>
      <c r="MA142" s="131"/>
      <c r="MB142" s="131"/>
      <c r="MC142" s="131"/>
      <c r="MD142" s="131"/>
      <c r="ME142" s="131"/>
      <c r="MF142" s="131"/>
      <c r="MG142" s="131"/>
      <c r="MH142" s="131"/>
      <c r="MI142" s="131"/>
      <c r="MJ142" s="131"/>
      <c r="MK142" s="131"/>
      <c r="ML142" s="131"/>
      <c r="MM142" s="131"/>
      <c r="MN142" s="131"/>
      <c r="MO142" s="131"/>
      <c r="MP142" s="131"/>
      <c r="MQ142" s="131"/>
      <c r="MR142" s="131"/>
      <c r="MS142" s="131"/>
      <c r="MT142" s="131"/>
      <c r="MU142" s="131"/>
      <c r="MV142" s="131"/>
      <c r="MW142" s="131"/>
      <c r="MX142" s="131"/>
      <c r="MY142" s="131"/>
      <c r="MZ142" s="131"/>
      <c r="NA142" s="131"/>
      <c r="NB142" s="131"/>
      <c r="NC142" s="131"/>
      <c r="ND142" s="131"/>
      <c r="NE142" s="131"/>
      <c r="NF142" s="131"/>
      <c r="NG142" s="131"/>
      <c r="NH142" s="131"/>
      <c r="NI142" s="131"/>
      <c r="NJ142" s="131"/>
      <c r="NK142" s="131"/>
      <c r="NL142" s="131"/>
      <c r="NM142" s="131"/>
      <c r="NN142" s="131"/>
      <c r="NO142" s="131"/>
      <c r="NP142" s="131"/>
      <c r="NQ142" s="131"/>
      <c r="NR142" s="131"/>
      <c r="NS142" s="131"/>
      <c r="NT142" s="131"/>
      <c r="NU142" s="131"/>
      <c r="NV142" s="131"/>
      <c r="NW142" s="24">
        <f t="shared" si="17"/>
        <v>50</v>
      </c>
      <c r="NX142" s="56" t="s">
        <v>36</v>
      </c>
      <c r="NY142" s="127">
        <v>2022</v>
      </c>
      <c r="NZ142" s="78">
        <f t="shared" si="18"/>
        <v>0</v>
      </c>
      <c r="OA142" s="78">
        <v>852</v>
      </c>
      <c r="OB142" s="127">
        <f t="shared" si="19"/>
        <v>2022</v>
      </c>
      <c r="OC142" s="153"/>
      <c r="OD142" s="108">
        <f t="shared" si="15"/>
        <v>2.3732394366197185</v>
      </c>
      <c r="OE142" s="160" t="s">
        <v>561</v>
      </c>
    </row>
    <row r="143" spans="1:395" s="5" customFormat="1" ht="12.75" customHeight="1" x14ac:dyDescent="0.25">
      <c r="A143" s="62">
        <v>44574</v>
      </c>
      <c r="B143" s="106" t="s">
        <v>301</v>
      </c>
      <c r="C143" s="129"/>
      <c r="D143" s="129"/>
      <c r="E143" s="130"/>
      <c r="F143" s="130"/>
      <c r="G143" s="130"/>
      <c r="H143" s="130"/>
      <c r="I143" s="130"/>
      <c r="J143" s="130"/>
      <c r="K143" s="130"/>
      <c r="L143" s="130"/>
      <c r="M143" s="131"/>
      <c r="N143" s="131"/>
      <c r="O143" s="131"/>
      <c r="P143" s="131"/>
      <c r="Q143" s="131"/>
      <c r="R143" s="131"/>
      <c r="S143" s="131"/>
      <c r="T143" s="131"/>
      <c r="U143" s="131"/>
      <c r="V143" s="131"/>
      <c r="W143" s="131"/>
      <c r="X143" s="131"/>
      <c r="Y143" s="131"/>
      <c r="Z143" s="131"/>
      <c r="AA143" s="131"/>
      <c r="AB143" s="131"/>
      <c r="AC143" s="131"/>
      <c r="AD143" s="131"/>
      <c r="AE143" s="131"/>
      <c r="AF143" s="131"/>
      <c r="AG143" s="131"/>
      <c r="AH143" s="131"/>
      <c r="AI143" s="131"/>
      <c r="AJ143" s="131"/>
      <c r="AK143" s="131"/>
      <c r="AL143" s="131"/>
      <c r="AM143" s="131"/>
      <c r="AN143" s="131"/>
      <c r="AO143" s="131"/>
      <c r="AP143" s="131"/>
      <c r="AQ143" s="131"/>
      <c r="AR143" s="131"/>
      <c r="AS143" s="131"/>
      <c r="AT143" s="131"/>
      <c r="AU143" s="131"/>
      <c r="AV143" s="131"/>
      <c r="AW143" s="131"/>
      <c r="AX143" s="131"/>
      <c r="AY143" s="131"/>
      <c r="AZ143" s="131"/>
      <c r="BA143" s="131"/>
      <c r="BB143" s="131"/>
      <c r="BC143" s="131"/>
      <c r="BD143" s="131"/>
      <c r="BE143" s="131"/>
      <c r="BF143" s="131"/>
      <c r="BG143" s="131"/>
      <c r="BH143" s="131"/>
      <c r="BI143" s="131"/>
      <c r="BJ143" s="131"/>
      <c r="BK143" s="131"/>
      <c r="BL143" s="131"/>
      <c r="BM143" s="131"/>
      <c r="BN143" s="131"/>
      <c r="BO143" s="131"/>
      <c r="BP143" s="131"/>
      <c r="BQ143" s="131"/>
      <c r="BR143" s="131">
        <v>160</v>
      </c>
      <c r="BS143" s="131"/>
      <c r="BT143" s="131"/>
      <c r="BU143" s="131"/>
      <c r="BV143" s="131"/>
      <c r="BW143" s="131"/>
      <c r="BX143" s="131"/>
      <c r="BY143" s="131"/>
      <c r="BZ143" s="131"/>
      <c r="CA143" s="131"/>
      <c r="CB143" s="131"/>
      <c r="CC143" s="131"/>
      <c r="CD143" s="131"/>
      <c r="CE143" s="131"/>
      <c r="CF143" s="131"/>
      <c r="CG143" s="131"/>
      <c r="CH143" s="131"/>
      <c r="CI143" s="131"/>
      <c r="CJ143" s="131"/>
      <c r="CK143" s="131"/>
      <c r="CL143" s="131"/>
      <c r="CM143" s="131"/>
      <c r="CN143" s="131"/>
      <c r="CO143" s="131"/>
      <c r="CP143" s="131"/>
      <c r="CQ143" s="131"/>
      <c r="CR143" s="131"/>
      <c r="CS143" s="131"/>
      <c r="CT143" s="131"/>
      <c r="CU143" s="131"/>
      <c r="CV143" s="131"/>
      <c r="CW143" s="131"/>
      <c r="CX143" s="131"/>
      <c r="CY143" s="131"/>
      <c r="CZ143" s="131"/>
      <c r="DA143" s="131"/>
      <c r="DB143" s="131"/>
      <c r="DC143" s="131"/>
      <c r="DD143" s="131"/>
      <c r="DE143" s="131"/>
      <c r="DF143" s="131"/>
      <c r="DG143" s="131"/>
      <c r="DH143" s="131"/>
      <c r="DI143" s="131"/>
      <c r="DJ143" s="131"/>
      <c r="DK143" s="131"/>
      <c r="DL143" s="131"/>
      <c r="DM143" s="131"/>
      <c r="DN143" s="131"/>
      <c r="DO143" s="131"/>
      <c r="DP143" s="131"/>
      <c r="DQ143" s="131"/>
      <c r="DR143" s="131"/>
      <c r="DS143" s="131"/>
      <c r="DT143" s="131"/>
      <c r="DU143" s="131"/>
      <c r="DV143" s="131"/>
      <c r="DW143" s="131"/>
      <c r="DX143" s="131"/>
      <c r="DY143" s="131"/>
      <c r="DZ143" s="131"/>
      <c r="EA143" s="131"/>
      <c r="EB143" s="131"/>
      <c r="EC143" s="131"/>
      <c r="ED143" s="131"/>
      <c r="EE143" s="131"/>
      <c r="EF143" s="131"/>
      <c r="EG143" s="131"/>
      <c r="EH143" s="131"/>
      <c r="EI143" s="131"/>
      <c r="EJ143" s="131"/>
      <c r="EK143" s="131"/>
      <c r="EL143" s="131"/>
      <c r="EM143" s="131"/>
      <c r="EN143" s="131"/>
      <c r="EO143" s="131"/>
      <c r="EP143" s="131"/>
      <c r="EQ143" s="131"/>
      <c r="ER143" s="131"/>
      <c r="ES143" s="131"/>
      <c r="ET143" s="131"/>
      <c r="EU143" s="131"/>
      <c r="EV143" s="131"/>
      <c r="EW143" s="131"/>
      <c r="EX143" s="131"/>
      <c r="EY143" s="131"/>
      <c r="EZ143" s="131"/>
      <c r="FA143" s="131"/>
      <c r="FB143" s="131"/>
      <c r="FC143" s="131"/>
      <c r="FD143" s="131"/>
      <c r="FE143" s="131"/>
      <c r="FF143" s="131"/>
      <c r="FG143" s="131"/>
      <c r="FH143" s="131"/>
      <c r="FI143" s="131"/>
      <c r="FJ143" s="131"/>
      <c r="FK143" s="131"/>
      <c r="FL143" s="131"/>
      <c r="FM143" s="131"/>
      <c r="FN143" s="131"/>
      <c r="FO143" s="131"/>
      <c r="FP143" s="131"/>
      <c r="FQ143" s="131"/>
      <c r="FR143" s="131"/>
      <c r="FS143" s="131"/>
      <c r="FT143" s="131"/>
      <c r="FU143" s="131"/>
      <c r="FV143" s="131"/>
      <c r="FW143" s="131"/>
      <c r="FX143" s="131"/>
      <c r="FY143" s="131"/>
      <c r="FZ143" s="131"/>
      <c r="GA143" s="131"/>
      <c r="GB143" s="131"/>
      <c r="GC143" s="131"/>
      <c r="GD143" s="131"/>
      <c r="GE143" s="131"/>
      <c r="GF143" s="131"/>
      <c r="GG143" s="131"/>
      <c r="GH143" s="131"/>
      <c r="GI143" s="131"/>
      <c r="GJ143" s="131"/>
      <c r="GK143" s="131"/>
      <c r="GL143" s="131"/>
      <c r="GM143" s="131"/>
      <c r="GN143" s="131"/>
      <c r="GO143" s="131"/>
      <c r="GP143" s="131"/>
      <c r="GQ143" s="131"/>
      <c r="GR143" s="131"/>
      <c r="GS143" s="131"/>
      <c r="GT143" s="131"/>
      <c r="GU143" s="131"/>
      <c r="GV143" s="131"/>
      <c r="GW143" s="131"/>
      <c r="GX143" s="131"/>
      <c r="GY143" s="131"/>
      <c r="GZ143" s="131"/>
      <c r="HA143" s="131"/>
      <c r="HB143" s="131"/>
      <c r="HC143" s="131"/>
      <c r="HD143" s="131"/>
      <c r="HE143" s="131"/>
      <c r="HF143" s="131"/>
      <c r="HG143" s="131"/>
      <c r="HH143" s="131"/>
      <c r="HI143" s="131"/>
      <c r="HJ143" s="131"/>
      <c r="HK143" s="131"/>
      <c r="HL143" s="131"/>
      <c r="HM143" s="131"/>
      <c r="HN143" s="131"/>
      <c r="HO143" s="131"/>
      <c r="HP143" s="131"/>
      <c r="HQ143" s="131"/>
      <c r="HR143" s="131"/>
      <c r="HS143" s="131"/>
      <c r="HT143" s="131"/>
      <c r="HU143" s="131"/>
      <c r="HV143" s="131"/>
      <c r="HW143" s="131"/>
      <c r="HX143" s="131"/>
      <c r="HY143" s="131"/>
      <c r="HZ143" s="131"/>
      <c r="IA143" s="131"/>
      <c r="IB143" s="131"/>
      <c r="IC143" s="131"/>
      <c r="ID143" s="131"/>
      <c r="IE143" s="131"/>
      <c r="IF143" s="131"/>
      <c r="IG143" s="131"/>
      <c r="IH143" s="131"/>
      <c r="II143" s="131"/>
      <c r="IJ143" s="131"/>
      <c r="IK143" s="131"/>
      <c r="IL143" s="131"/>
      <c r="IM143" s="131"/>
      <c r="IN143" s="131"/>
      <c r="IO143" s="131"/>
      <c r="IP143" s="131"/>
      <c r="IQ143" s="131"/>
      <c r="IR143" s="131"/>
      <c r="IS143" s="131"/>
      <c r="IT143" s="131"/>
      <c r="IU143" s="131"/>
      <c r="IV143" s="131"/>
      <c r="IW143" s="131"/>
      <c r="IX143" s="131"/>
      <c r="IY143" s="131"/>
      <c r="IZ143" s="131"/>
      <c r="JA143" s="131"/>
      <c r="JB143" s="131"/>
      <c r="JC143" s="131"/>
      <c r="JD143" s="131"/>
      <c r="JE143" s="131"/>
      <c r="JF143" s="131"/>
      <c r="JG143" s="131"/>
      <c r="JH143" s="131"/>
      <c r="JI143" s="131"/>
      <c r="JJ143" s="131"/>
      <c r="JK143" s="131"/>
      <c r="JL143" s="131"/>
      <c r="JM143" s="131"/>
      <c r="JN143" s="131"/>
      <c r="JO143" s="131"/>
      <c r="JP143" s="131"/>
      <c r="JQ143" s="131"/>
      <c r="JR143" s="131"/>
      <c r="JS143" s="131"/>
      <c r="JT143" s="131"/>
      <c r="JU143" s="131"/>
      <c r="JV143" s="131"/>
      <c r="JW143" s="131"/>
      <c r="JX143" s="131"/>
      <c r="JY143" s="131"/>
      <c r="JZ143" s="131"/>
      <c r="KA143" s="131"/>
      <c r="KB143" s="131"/>
      <c r="KC143" s="131"/>
      <c r="KD143" s="131"/>
      <c r="KE143" s="131"/>
      <c r="KF143" s="131"/>
      <c r="KG143" s="131"/>
      <c r="KH143" s="131"/>
      <c r="KI143" s="131"/>
      <c r="KJ143" s="131"/>
      <c r="KK143" s="131"/>
      <c r="KL143" s="131"/>
      <c r="KM143" s="131"/>
      <c r="KN143" s="131"/>
      <c r="KO143" s="131"/>
      <c r="KP143" s="131"/>
      <c r="KQ143" s="131"/>
      <c r="KR143" s="131"/>
      <c r="KS143" s="131"/>
      <c r="KT143" s="131"/>
      <c r="KU143" s="131"/>
      <c r="KV143" s="131"/>
      <c r="KW143" s="131"/>
      <c r="KX143" s="131"/>
      <c r="KY143" s="131"/>
      <c r="KZ143" s="131"/>
      <c r="LA143" s="131"/>
      <c r="LB143" s="131"/>
      <c r="LC143" s="131"/>
      <c r="LD143" s="131"/>
      <c r="LE143" s="131"/>
      <c r="LF143" s="131"/>
      <c r="LG143" s="131"/>
      <c r="LH143" s="131"/>
      <c r="LI143" s="131"/>
      <c r="LJ143" s="131"/>
      <c r="LK143" s="131"/>
      <c r="LL143" s="131"/>
      <c r="LM143" s="131"/>
      <c r="LN143" s="131"/>
      <c r="LO143" s="131"/>
      <c r="LP143" s="131"/>
      <c r="LQ143" s="131"/>
      <c r="LR143" s="131"/>
      <c r="LS143" s="131"/>
      <c r="LT143" s="131"/>
      <c r="LU143" s="131"/>
      <c r="LV143" s="131"/>
      <c r="LW143" s="131"/>
      <c r="LX143" s="131"/>
      <c r="LY143" s="131"/>
      <c r="LZ143" s="131"/>
      <c r="MA143" s="131"/>
      <c r="MB143" s="131"/>
      <c r="MC143" s="131"/>
      <c r="MD143" s="131"/>
      <c r="ME143" s="131"/>
      <c r="MF143" s="131"/>
      <c r="MG143" s="131"/>
      <c r="MH143" s="131"/>
      <c r="MI143" s="131"/>
      <c r="MJ143" s="131"/>
      <c r="MK143" s="131"/>
      <c r="ML143" s="131"/>
      <c r="MM143" s="131"/>
      <c r="MN143" s="131"/>
      <c r="MO143" s="131"/>
      <c r="MP143" s="131"/>
      <c r="MQ143" s="131"/>
      <c r="MR143" s="131"/>
      <c r="MS143" s="131"/>
      <c r="MT143" s="131"/>
      <c r="MU143" s="131"/>
      <c r="MV143" s="131"/>
      <c r="MW143" s="131"/>
      <c r="MX143" s="131"/>
      <c r="MY143" s="131"/>
      <c r="MZ143" s="131"/>
      <c r="NA143" s="131"/>
      <c r="NB143" s="131"/>
      <c r="NC143" s="131"/>
      <c r="ND143" s="131"/>
      <c r="NE143" s="131"/>
      <c r="NF143" s="131"/>
      <c r="NG143" s="131"/>
      <c r="NH143" s="131"/>
      <c r="NI143" s="131"/>
      <c r="NJ143" s="131"/>
      <c r="NK143" s="131"/>
      <c r="NL143" s="131"/>
      <c r="NM143" s="131"/>
      <c r="NN143" s="131"/>
      <c r="NO143" s="131"/>
      <c r="NP143" s="131"/>
      <c r="NQ143" s="131"/>
      <c r="NR143" s="131"/>
      <c r="NS143" s="131"/>
      <c r="NT143" s="131"/>
      <c r="NU143" s="131"/>
      <c r="NV143" s="131"/>
      <c r="NW143" s="24">
        <f t="shared" si="17"/>
        <v>160</v>
      </c>
      <c r="NX143" s="56" t="s">
        <v>36</v>
      </c>
      <c r="NY143" s="127">
        <v>4704</v>
      </c>
      <c r="NZ143" s="78">
        <f t="shared" si="18"/>
        <v>0</v>
      </c>
      <c r="OA143" s="78">
        <v>2726.3999999999996</v>
      </c>
      <c r="OB143" s="127">
        <f t="shared" si="19"/>
        <v>4704</v>
      </c>
      <c r="OC143" s="153"/>
      <c r="OD143" s="108">
        <f t="shared" si="15"/>
        <v>1.7253521126760565</v>
      </c>
      <c r="OE143" s="160" t="s">
        <v>533</v>
      </c>
    </row>
    <row r="144" spans="1:395" s="5" customFormat="1" ht="12.75" customHeight="1" x14ac:dyDescent="0.25">
      <c r="A144" s="62">
        <v>44574</v>
      </c>
      <c r="B144" s="106" t="s">
        <v>301</v>
      </c>
      <c r="C144" s="129"/>
      <c r="D144" s="129"/>
      <c r="E144" s="130"/>
      <c r="F144" s="130"/>
      <c r="G144" s="130"/>
      <c r="H144" s="130"/>
      <c r="I144" s="130"/>
      <c r="J144" s="130"/>
      <c r="K144" s="130"/>
      <c r="L144" s="130"/>
      <c r="M144" s="131"/>
      <c r="N144" s="131"/>
      <c r="O144" s="131"/>
      <c r="P144" s="131"/>
      <c r="Q144" s="131"/>
      <c r="R144" s="131"/>
      <c r="S144" s="131"/>
      <c r="T144" s="131"/>
      <c r="U144" s="131"/>
      <c r="V144" s="131"/>
      <c r="W144" s="131"/>
      <c r="X144" s="131"/>
      <c r="Y144" s="131"/>
      <c r="Z144" s="131"/>
      <c r="AA144" s="131"/>
      <c r="AB144" s="131"/>
      <c r="AC144" s="131"/>
      <c r="AD144" s="131"/>
      <c r="AE144" s="131"/>
      <c r="AF144" s="131"/>
      <c r="AG144" s="131"/>
      <c r="AH144" s="131"/>
      <c r="AI144" s="131"/>
      <c r="AJ144" s="131"/>
      <c r="AK144" s="131"/>
      <c r="AL144" s="131"/>
      <c r="AM144" s="131"/>
      <c r="AN144" s="131"/>
      <c r="AO144" s="131"/>
      <c r="AP144" s="131"/>
      <c r="AQ144" s="131"/>
      <c r="AR144" s="131"/>
      <c r="AS144" s="131"/>
      <c r="AT144" s="131"/>
      <c r="AU144" s="131"/>
      <c r="AV144" s="131"/>
      <c r="AW144" s="131"/>
      <c r="AX144" s="131"/>
      <c r="AY144" s="131"/>
      <c r="AZ144" s="131"/>
      <c r="BA144" s="131"/>
      <c r="BB144" s="131"/>
      <c r="BC144" s="131"/>
      <c r="BD144" s="131"/>
      <c r="BE144" s="131"/>
      <c r="BF144" s="131"/>
      <c r="BG144" s="131"/>
      <c r="BH144" s="131"/>
      <c r="BI144" s="131"/>
      <c r="BJ144" s="131"/>
      <c r="BK144" s="131"/>
      <c r="BL144" s="131"/>
      <c r="BM144" s="131"/>
      <c r="BN144" s="131"/>
      <c r="BO144" s="131"/>
      <c r="BP144" s="131"/>
      <c r="BQ144" s="131"/>
      <c r="BR144" s="131"/>
      <c r="BS144" s="131"/>
      <c r="BT144" s="131"/>
      <c r="BU144" s="131"/>
      <c r="BV144" s="131"/>
      <c r="BW144" s="131"/>
      <c r="BX144" s="131"/>
      <c r="BY144" s="131"/>
      <c r="BZ144" s="131"/>
      <c r="CA144" s="131"/>
      <c r="CB144" s="131"/>
      <c r="CC144" s="131"/>
      <c r="CD144" s="131"/>
      <c r="CE144" s="131"/>
      <c r="CF144" s="131"/>
      <c r="CG144" s="131"/>
      <c r="CH144" s="131"/>
      <c r="CI144" s="131"/>
      <c r="CJ144" s="131"/>
      <c r="CK144" s="131"/>
      <c r="CL144" s="131"/>
      <c r="CM144" s="131"/>
      <c r="CN144" s="131"/>
      <c r="CO144" s="131"/>
      <c r="CP144" s="131"/>
      <c r="CQ144" s="131"/>
      <c r="CR144" s="131"/>
      <c r="CS144" s="131"/>
      <c r="CT144" s="131"/>
      <c r="CU144" s="131"/>
      <c r="CV144" s="131"/>
      <c r="CW144" s="131"/>
      <c r="CX144" s="131"/>
      <c r="CY144" s="131"/>
      <c r="CZ144" s="131"/>
      <c r="DA144" s="131"/>
      <c r="DB144" s="131"/>
      <c r="DC144" s="131"/>
      <c r="DD144" s="131"/>
      <c r="DE144" s="131"/>
      <c r="DF144" s="131"/>
      <c r="DG144" s="131"/>
      <c r="DH144" s="131"/>
      <c r="DI144" s="131"/>
      <c r="DJ144" s="131"/>
      <c r="DK144" s="131"/>
      <c r="DL144" s="131"/>
      <c r="DM144" s="131"/>
      <c r="DN144" s="131"/>
      <c r="DO144" s="131"/>
      <c r="DP144" s="131"/>
      <c r="DQ144" s="131"/>
      <c r="DR144" s="131"/>
      <c r="DS144" s="131"/>
      <c r="DT144" s="131"/>
      <c r="DU144" s="131"/>
      <c r="DV144" s="131"/>
      <c r="DW144" s="131"/>
      <c r="DX144" s="131"/>
      <c r="DY144" s="131"/>
      <c r="DZ144" s="131"/>
      <c r="EA144" s="131"/>
      <c r="EB144" s="131"/>
      <c r="EC144" s="131"/>
      <c r="ED144" s="131"/>
      <c r="EE144" s="131"/>
      <c r="EF144" s="131"/>
      <c r="EG144" s="131"/>
      <c r="EH144" s="131"/>
      <c r="EI144" s="131"/>
      <c r="EJ144" s="131"/>
      <c r="EK144" s="131"/>
      <c r="EL144" s="131"/>
      <c r="EM144" s="131"/>
      <c r="EN144" s="131"/>
      <c r="EO144" s="131"/>
      <c r="EP144" s="131"/>
      <c r="EQ144" s="131"/>
      <c r="ER144" s="131"/>
      <c r="ES144" s="131"/>
      <c r="ET144" s="131"/>
      <c r="EU144" s="131"/>
      <c r="EV144" s="131"/>
      <c r="EW144" s="131"/>
      <c r="EX144" s="131"/>
      <c r="EY144" s="131"/>
      <c r="EZ144" s="131"/>
      <c r="FA144" s="131"/>
      <c r="FB144" s="131"/>
      <c r="FC144" s="131"/>
      <c r="FD144" s="131"/>
      <c r="FE144" s="131"/>
      <c r="FF144" s="131"/>
      <c r="FG144" s="131"/>
      <c r="FH144" s="131"/>
      <c r="FI144" s="131"/>
      <c r="FJ144" s="131"/>
      <c r="FK144" s="131"/>
      <c r="FL144" s="131"/>
      <c r="FM144" s="131"/>
      <c r="FN144" s="131"/>
      <c r="FO144" s="131"/>
      <c r="FP144" s="131"/>
      <c r="FQ144" s="131"/>
      <c r="FR144" s="131"/>
      <c r="FS144" s="131"/>
      <c r="FT144" s="131"/>
      <c r="FU144" s="131"/>
      <c r="FV144" s="131"/>
      <c r="FW144" s="131"/>
      <c r="FX144" s="131"/>
      <c r="FY144" s="131"/>
      <c r="FZ144" s="131"/>
      <c r="GA144" s="131"/>
      <c r="GB144" s="131"/>
      <c r="GC144" s="131"/>
      <c r="GD144" s="131"/>
      <c r="GE144" s="131"/>
      <c r="GF144" s="131"/>
      <c r="GG144" s="131"/>
      <c r="GH144" s="131"/>
      <c r="GI144" s="131"/>
      <c r="GJ144" s="131"/>
      <c r="GK144" s="131"/>
      <c r="GL144" s="131"/>
      <c r="GM144" s="131"/>
      <c r="GN144" s="131"/>
      <c r="GO144" s="131"/>
      <c r="GP144" s="131"/>
      <c r="GQ144" s="131"/>
      <c r="GR144" s="131"/>
      <c r="GS144" s="131"/>
      <c r="GT144" s="131"/>
      <c r="GU144" s="131"/>
      <c r="GV144" s="131"/>
      <c r="GW144" s="131"/>
      <c r="GX144" s="131"/>
      <c r="GY144" s="131"/>
      <c r="GZ144" s="131"/>
      <c r="HA144" s="131"/>
      <c r="HB144" s="131"/>
      <c r="HC144" s="131"/>
      <c r="HD144" s="131"/>
      <c r="HE144" s="131"/>
      <c r="HF144" s="131"/>
      <c r="HG144" s="131"/>
      <c r="HH144" s="131"/>
      <c r="HI144" s="131"/>
      <c r="HJ144" s="131">
        <v>33</v>
      </c>
      <c r="HK144" s="131"/>
      <c r="HL144" s="131"/>
      <c r="HM144" s="131"/>
      <c r="HN144" s="131"/>
      <c r="HO144" s="131"/>
      <c r="HP144" s="131"/>
      <c r="HQ144" s="131"/>
      <c r="HR144" s="131"/>
      <c r="HS144" s="131"/>
      <c r="HT144" s="131"/>
      <c r="HU144" s="131"/>
      <c r="HV144" s="131"/>
      <c r="HW144" s="131"/>
      <c r="HX144" s="131"/>
      <c r="HY144" s="131"/>
      <c r="HZ144" s="131"/>
      <c r="IA144" s="131"/>
      <c r="IB144" s="131"/>
      <c r="IC144" s="131"/>
      <c r="ID144" s="131"/>
      <c r="IE144" s="131"/>
      <c r="IF144" s="131"/>
      <c r="IG144" s="131"/>
      <c r="IH144" s="131"/>
      <c r="II144" s="131"/>
      <c r="IJ144" s="131"/>
      <c r="IK144" s="131"/>
      <c r="IL144" s="131"/>
      <c r="IM144" s="131"/>
      <c r="IN144" s="131"/>
      <c r="IO144" s="131"/>
      <c r="IP144" s="131"/>
      <c r="IQ144" s="131"/>
      <c r="IR144" s="131"/>
      <c r="IS144" s="131"/>
      <c r="IT144" s="131"/>
      <c r="IU144" s="131"/>
      <c r="IV144" s="131"/>
      <c r="IW144" s="131"/>
      <c r="IX144" s="131"/>
      <c r="IY144" s="131"/>
      <c r="IZ144" s="131"/>
      <c r="JA144" s="131"/>
      <c r="JB144" s="131"/>
      <c r="JC144" s="131"/>
      <c r="JD144" s="131"/>
      <c r="JE144" s="131"/>
      <c r="JF144" s="131"/>
      <c r="JG144" s="131"/>
      <c r="JH144" s="131"/>
      <c r="JI144" s="131"/>
      <c r="JJ144" s="131"/>
      <c r="JK144" s="131"/>
      <c r="JL144" s="131"/>
      <c r="JM144" s="131"/>
      <c r="JN144" s="131"/>
      <c r="JO144" s="131"/>
      <c r="JP144" s="131"/>
      <c r="JQ144" s="131"/>
      <c r="JR144" s="131"/>
      <c r="JS144" s="131"/>
      <c r="JT144" s="131"/>
      <c r="JU144" s="131"/>
      <c r="JV144" s="131"/>
      <c r="JW144" s="131"/>
      <c r="JX144" s="131"/>
      <c r="JY144" s="131"/>
      <c r="JZ144" s="131"/>
      <c r="KA144" s="131"/>
      <c r="KB144" s="131"/>
      <c r="KC144" s="131"/>
      <c r="KD144" s="131"/>
      <c r="KE144" s="131"/>
      <c r="KF144" s="131"/>
      <c r="KG144" s="131"/>
      <c r="KH144" s="131"/>
      <c r="KI144" s="131"/>
      <c r="KJ144" s="131"/>
      <c r="KK144" s="131"/>
      <c r="KL144" s="131"/>
      <c r="KM144" s="131"/>
      <c r="KN144" s="131"/>
      <c r="KO144" s="131"/>
      <c r="KP144" s="131"/>
      <c r="KQ144" s="131"/>
      <c r="KR144" s="131"/>
      <c r="KS144" s="131"/>
      <c r="KT144" s="131"/>
      <c r="KU144" s="131"/>
      <c r="KV144" s="131"/>
      <c r="KW144" s="131"/>
      <c r="KX144" s="131"/>
      <c r="KY144" s="131"/>
      <c r="KZ144" s="131"/>
      <c r="LA144" s="131"/>
      <c r="LB144" s="131"/>
      <c r="LC144" s="131"/>
      <c r="LD144" s="131"/>
      <c r="LE144" s="131"/>
      <c r="LF144" s="131"/>
      <c r="LG144" s="131"/>
      <c r="LH144" s="131"/>
      <c r="LI144" s="131"/>
      <c r="LJ144" s="131"/>
      <c r="LK144" s="131"/>
      <c r="LL144" s="131"/>
      <c r="LM144" s="131"/>
      <c r="LN144" s="131"/>
      <c r="LO144" s="131"/>
      <c r="LP144" s="131"/>
      <c r="LQ144" s="131"/>
      <c r="LR144" s="131"/>
      <c r="LS144" s="131"/>
      <c r="LT144" s="131"/>
      <c r="LU144" s="131"/>
      <c r="LV144" s="131"/>
      <c r="LW144" s="131"/>
      <c r="LX144" s="131"/>
      <c r="LY144" s="131"/>
      <c r="LZ144" s="131"/>
      <c r="MA144" s="131"/>
      <c r="MB144" s="131"/>
      <c r="MC144" s="131"/>
      <c r="MD144" s="131"/>
      <c r="ME144" s="131"/>
      <c r="MF144" s="131"/>
      <c r="MG144" s="131"/>
      <c r="MH144" s="131"/>
      <c r="MI144" s="131"/>
      <c r="MJ144" s="131"/>
      <c r="MK144" s="131"/>
      <c r="ML144" s="131"/>
      <c r="MM144" s="131"/>
      <c r="MN144" s="131"/>
      <c r="MO144" s="131"/>
      <c r="MP144" s="131"/>
      <c r="MQ144" s="131"/>
      <c r="MR144" s="131"/>
      <c r="MS144" s="131"/>
      <c r="MT144" s="131"/>
      <c r="MU144" s="131"/>
      <c r="MV144" s="131"/>
      <c r="MW144" s="131"/>
      <c r="MX144" s="131"/>
      <c r="MY144" s="131"/>
      <c r="MZ144" s="131"/>
      <c r="NA144" s="131"/>
      <c r="NB144" s="131"/>
      <c r="NC144" s="131"/>
      <c r="ND144" s="131"/>
      <c r="NE144" s="131"/>
      <c r="NF144" s="131"/>
      <c r="NG144" s="131"/>
      <c r="NH144" s="131"/>
      <c r="NI144" s="131"/>
      <c r="NJ144" s="131"/>
      <c r="NK144" s="131"/>
      <c r="NL144" s="131"/>
      <c r="NM144" s="131"/>
      <c r="NN144" s="131"/>
      <c r="NO144" s="131"/>
      <c r="NP144" s="131"/>
      <c r="NQ144" s="131"/>
      <c r="NR144" s="131"/>
      <c r="NS144" s="131"/>
      <c r="NT144" s="131"/>
      <c r="NU144" s="131"/>
      <c r="NV144" s="131"/>
      <c r="NW144" s="24">
        <f t="shared" si="17"/>
        <v>33</v>
      </c>
      <c r="NX144" s="56" t="s">
        <v>36</v>
      </c>
      <c r="NY144" s="127">
        <v>1199.8800000000001</v>
      </c>
      <c r="NZ144" s="78">
        <f t="shared" si="18"/>
        <v>0</v>
      </c>
      <c r="OA144" s="78">
        <v>790.35</v>
      </c>
      <c r="OB144" s="127">
        <f t="shared" si="19"/>
        <v>1199.8800000000001</v>
      </c>
      <c r="OC144" s="153"/>
      <c r="OD144" s="108">
        <f t="shared" si="15"/>
        <v>1.5181628392484343</v>
      </c>
      <c r="OE144" s="160" t="s">
        <v>533</v>
      </c>
    </row>
    <row r="145" spans="1:395" s="5" customFormat="1" ht="12.75" customHeight="1" x14ac:dyDescent="0.25">
      <c r="A145" s="62">
        <v>44574</v>
      </c>
      <c r="B145" s="106" t="s">
        <v>301</v>
      </c>
      <c r="C145" s="129"/>
      <c r="D145" s="129"/>
      <c r="E145" s="130"/>
      <c r="F145" s="130"/>
      <c r="G145" s="130"/>
      <c r="H145" s="130"/>
      <c r="I145" s="130"/>
      <c r="J145" s="130"/>
      <c r="K145" s="130"/>
      <c r="L145" s="130"/>
      <c r="M145" s="131"/>
      <c r="N145" s="131"/>
      <c r="O145" s="131"/>
      <c r="P145" s="131"/>
      <c r="Q145" s="131"/>
      <c r="R145" s="131"/>
      <c r="S145" s="131"/>
      <c r="T145" s="131"/>
      <c r="U145" s="131"/>
      <c r="V145" s="131"/>
      <c r="W145" s="131"/>
      <c r="X145" s="131"/>
      <c r="Y145" s="131"/>
      <c r="Z145" s="131"/>
      <c r="AA145" s="131"/>
      <c r="AB145" s="131"/>
      <c r="AC145" s="131"/>
      <c r="AD145" s="131"/>
      <c r="AE145" s="131"/>
      <c r="AF145" s="131"/>
      <c r="AG145" s="131"/>
      <c r="AH145" s="131"/>
      <c r="AI145" s="131"/>
      <c r="AJ145" s="131"/>
      <c r="AK145" s="131"/>
      <c r="AL145" s="131"/>
      <c r="AM145" s="131"/>
      <c r="AN145" s="131"/>
      <c r="AO145" s="131"/>
      <c r="AP145" s="131"/>
      <c r="AQ145" s="131"/>
      <c r="AR145" s="131"/>
      <c r="AS145" s="131"/>
      <c r="AT145" s="131"/>
      <c r="AU145" s="131"/>
      <c r="AV145" s="131"/>
      <c r="AW145" s="131"/>
      <c r="AX145" s="131"/>
      <c r="AY145" s="131"/>
      <c r="AZ145" s="131"/>
      <c r="BA145" s="131"/>
      <c r="BB145" s="131"/>
      <c r="BC145" s="131"/>
      <c r="BD145" s="131"/>
      <c r="BE145" s="131"/>
      <c r="BF145" s="131"/>
      <c r="BG145" s="131"/>
      <c r="BH145" s="131"/>
      <c r="BI145" s="131"/>
      <c r="BJ145" s="131"/>
      <c r="BK145" s="131"/>
      <c r="BL145" s="131"/>
      <c r="BM145" s="131"/>
      <c r="BN145" s="131"/>
      <c r="BO145" s="131"/>
      <c r="BP145" s="131"/>
      <c r="BQ145" s="131"/>
      <c r="BR145" s="131"/>
      <c r="BS145" s="131"/>
      <c r="BT145" s="131"/>
      <c r="BU145" s="131"/>
      <c r="BV145" s="131"/>
      <c r="BW145" s="131"/>
      <c r="BX145" s="131"/>
      <c r="BY145" s="131"/>
      <c r="BZ145" s="131"/>
      <c r="CA145" s="131"/>
      <c r="CB145" s="131"/>
      <c r="CC145" s="131"/>
      <c r="CD145" s="131"/>
      <c r="CE145" s="131"/>
      <c r="CF145" s="131"/>
      <c r="CG145" s="131"/>
      <c r="CH145" s="131"/>
      <c r="CI145" s="131"/>
      <c r="CJ145" s="131"/>
      <c r="CK145" s="131"/>
      <c r="CL145" s="131"/>
      <c r="CM145" s="131"/>
      <c r="CN145" s="131"/>
      <c r="CO145" s="131"/>
      <c r="CP145" s="131"/>
      <c r="CQ145" s="131"/>
      <c r="CR145" s="131"/>
      <c r="CS145" s="131"/>
      <c r="CT145" s="131"/>
      <c r="CU145" s="131"/>
      <c r="CV145" s="131"/>
      <c r="CW145" s="131"/>
      <c r="CX145" s="131"/>
      <c r="CY145" s="131"/>
      <c r="CZ145" s="131"/>
      <c r="DA145" s="131"/>
      <c r="DB145" s="131"/>
      <c r="DC145" s="131"/>
      <c r="DD145" s="131"/>
      <c r="DE145" s="131"/>
      <c r="DF145" s="131"/>
      <c r="DG145" s="131"/>
      <c r="DH145" s="131"/>
      <c r="DI145" s="131"/>
      <c r="DJ145" s="131"/>
      <c r="DK145" s="131"/>
      <c r="DL145" s="131"/>
      <c r="DM145" s="131"/>
      <c r="DN145" s="131"/>
      <c r="DO145" s="131"/>
      <c r="DP145" s="131"/>
      <c r="DQ145" s="131"/>
      <c r="DR145" s="131"/>
      <c r="DS145" s="131"/>
      <c r="DT145" s="131"/>
      <c r="DU145" s="131"/>
      <c r="DV145" s="131"/>
      <c r="DW145" s="131"/>
      <c r="DX145" s="131"/>
      <c r="DY145" s="131"/>
      <c r="DZ145" s="131"/>
      <c r="EA145" s="131"/>
      <c r="EB145" s="131"/>
      <c r="EC145" s="131"/>
      <c r="ED145" s="131"/>
      <c r="EE145" s="131"/>
      <c r="EF145" s="131"/>
      <c r="EG145" s="131"/>
      <c r="EH145" s="131"/>
      <c r="EI145" s="131"/>
      <c r="EJ145" s="131"/>
      <c r="EK145" s="131"/>
      <c r="EL145" s="131"/>
      <c r="EM145" s="131"/>
      <c r="EN145" s="131"/>
      <c r="EO145" s="131"/>
      <c r="EP145" s="131"/>
      <c r="EQ145" s="131"/>
      <c r="ER145" s="131"/>
      <c r="ES145" s="131"/>
      <c r="ET145" s="131"/>
      <c r="EU145" s="131"/>
      <c r="EV145" s="131"/>
      <c r="EW145" s="131"/>
      <c r="EX145" s="131"/>
      <c r="EY145" s="131"/>
      <c r="EZ145" s="131"/>
      <c r="FA145" s="131"/>
      <c r="FB145" s="131"/>
      <c r="FC145" s="131"/>
      <c r="FD145" s="131"/>
      <c r="FE145" s="131"/>
      <c r="FF145" s="131"/>
      <c r="FG145" s="131"/>
      <c r="FH145" s="131"/>
      <c r="FI145" s="131"/>
      <c r="FJ145" s="131"/>
      <c r="FK145" s="131"/>
      <c r="FL145" s="131"/>
      <c r="FM145" s="131"/>
      <c r="FN145" s="131"/>
      <c r="FO145" s="131"/>
      <c r="FP145" s="131"/>
      <c r="FQ145" s="131"/>
      <c r="FR145" s="131"/>
      <c r="FS145" s="131"/>
      <c r="FT145" s="131"/>
      <c r="FU145" s="131"/>
      <c r="FV145" s="131"/>
      <c r="FW145" s="131"/>
      <c r="FX145" s="131"/>
      <c r="FY145" s="131"/>
      <c r="FZ145" s="131"/>
      <c r="GA145" s="131"/>
      <c r="GB145" s="131"/>
      <c r="GC145" s="131"/>
      <c r="GD145" s="131"/>
      <c r="GE145" s="131"/>
      <c r="GF145" s="131"/>
      <c r="GG145" s="131"/>
      <c r="GH145" s="131"/>
      <c r="GI145" s="131"/>
      <c r="GJ145" s="131"/>
      <c r="GK145" s="131"/>
      <c r="GL145" s="131"/>
      <c r="GM145" s="131"/>
      <c r="GN145" s="131"/>
      <c r="GO145" s="131"/>
      <c r="GP145" s="131"/>
      <c r="GQ145" s="131"/>
      <c r="GR145" s="131"/>
      <c r="GS145" s="131"/>
      <c r="GT145" s="131"/>
      <c r="GU145" s="131"/>
      <c r="GV145" s="131"/>
      <c r="GW145" s="131"/>
      <c r="GX145" s="131"/>
      <c r="GY145" s="131"/>
      <c r="GZ145" s="131"/>
      <c r="HA145" s="131"/>
      <c r="HB145" s="131"/>
      <c r="HC145" s="131"/>
      <c r="HD145" s="131"/>
      <c r="HE145" s="131"/>
      <c r="HF145" s="131"/>
      <c r="HG145" s="131"/>
      <c r="HH145" s="131"/>
      <c r="HI145" s="131"/>
      <c r="HJ145" s="131"/>
      <c r="HK145" s="131"/>
      <c r="HL145" s="131"/>
      <c r="HM145" s="131"/>
      <c r="HN145" s="131">
        <v>30</v>
      </c>
      <c r="HO145" s="131"/>
      <c r="HP145" s="131"/>
      <c r="HQ145" s="131"/>
      <c r="HR145" s="131"/>
      <c r="HS145" s="131"/>
      <c r="HT145" s="131"/>
      <c r="HU145" s="131"/>
      <c r="HV145" s="131"/>
      <c r="HW145" s="131"/>
      <c r="HX145" s="131"/>
      <c r="HY145" s="131"/>
      <c r="HZ145" s="131"/>
      <c r="IA145" s="131"/>
      <c r="IB145" s="131"/>
      <c r="IC145" s="131"/>
      <c r="ID145" s="131"/>
      <c r="IE145" s="131"/>
      <c r="IF145" s="131"/>
      <c r="IG145" s="131"/>
      <c r="IH145" s="131"/>
      <c r="II145" s="131"/>
      <c r="IJ145" s="131"/>
      <c r="IK145" s="131"/>
      <c r="IL145" s="131"/>
      <c r="IM145" s="131"/>
      <c r="IN145" s="131"/>
      <c r="IO145" s="131"/>
      <c r="IP145" s="131"/>
      <c r="IQ145" s="131"/>
      <c r="IR145" s="131"/>
      <c r="IS145" s="131"/>
      <c r="IT145" s="131"/>
      <c r="IU145" s="131"/>
      <c r="IV145" s="131"/>
      <c r="IW145" s="131"/>
      <c r="IX145" s="131"/>
      <c r="IY145" s="131"/>
      <c r="IZ145" s="131"/>
      <c r="JA145" s="131"/>
      <c r="JB145" s="131"/>
      <c r="JC145" s="131"/>
      <c r="JD145" s="131"/>
      <c r="JE145" s="131"/>
      <c r="JF145" s="131"/>
      <c r="JG145" s="131"/>
      <c r="JH145" s="131"/>
      <c r="JI145" s="131"/>
      <c r="JJ145" s="131"/>
      <c r="JK145" s="131"/>
      <c r="JL145" s="131"/>
      <c r="JM145" s="131"/>
      <c r="JN145" s="131"/>
      <c r="JO145" s="131"/>
      <c r="JP145" s="131"/>
      <c r="JQ145" s="131"/>
      <c r="JR145" s="131"/>
      <c r="JS145" s="131"/>
      <c r="JT145" s="131"/>
      <c r="JU145" s="131"/>
      <c r="JV145" s="131"/>
      <c r="JW145" s="131"/>
      <c r="JX145" s="131"/>
      <c r="JY145" s="131"/>
      <c r="JZ145" s="131"/>
      <c r="KA145" s="131"/>
      <c r="KB145" s="131"/>
      <c r="KC145" s="131"/>
      <c r="KD145" s="131"/>
      <c r="KE145" s="131"/>
      <c r="KF145" s="131"/>
      <c r="KG145" s="131"/>
      <c r="KH145" s="131"/>
      <c r="KI145" s="131"/>
      <c r="KJ145" s="131"/>
      <c r="KK145" s="131"/>
      <c r="KL145" s="131"/>
      <c r="KM145" s="131"/>
      <c r="KN145" s="131"/>
      <c r="KO145" s="131"/>
      <c r="KP145" s="131"/>
      <c r="KQ145" s="131"/>
      <c r="KR145" s="131"/>
      <c r="KS145" s="131"/>
      <c r="KT145" s="131"/>
      <c r="KU145" s="131"/>
      <c r="KV145" s="131"/>
      <c r="KW145" s="131"/>
      <c r="KX145" s="131"/>
      <c r="KY145" s="131"/>
      <c r="KZ145" s="131"/>
      <c r="LA145" s="131"/>
      <c r="LB145" s="131"/>
      <c r="LC145" s="131"/>
      <c r="LD145" s="131"/>
      <c r="LE145" s="131"/>
      <c r="LF145" s="131"/>
      <c r="LG145" s="131"/>
      <c r="LH145" s="131"/>
      <c r="LI145" s="131"/>
      <c r="LJ145" s="131"/>
      <c r="LK145" s="131"/>
      <c r="LL145" s="131"/>
      <c r="LM145" s="131"/>
      <c r="LN145" s="131"/>
      <c r="LO145" s="131"/>
      <c r="LP145" s="131"/>
      <c r="LQ145" s="131"/>
      <c r="LR145" s="131"/>
      <c r="LS145" s="131"/>
      <c r="LT145" s="131"/>
      <c r="LU145" s="131"/>
      <c r="LV145" s="131"/>
      <c r="LW145" s="131"/>
      <c r="LX145" s="131"/>
      <c r="LY145" s="131"/>
      <c r="LZ145" s="131"/>
      <c r="MA145" s="131"/>
      <c r="MB145" s="131"/>
      <c r="MC145" s="131"/>
      <c r="MD145" s="131"/>
      <c r="ME145" s="131"/>
      <c r="MF145" s="131"/>
      <c r="MG145" s="131"/>
      <c r="MH145" s="131"/>
      <c r="MI145" s="131"/>
      <c r="MJ145" s="131"/>
      <c r="MK145" s="131"/>
      <c r="ML145" s="131"/>
      <c r="MM145" s="131"/>
      <c r="MN145" s="131"/>
      <c r="MO145" s="131"/>
      <c r="MP145" s="131"/>
      <c r="MQ145" s="131"/>
      <c r="MR145" s="131"/>
      <c r="MS145" s="131"/>
      <c r="MT145" s="131"/>
      <c r="MU145" s="131"/>
      <c r="MV145" s="131"/>
      <c r="MW145" s="131"/>
      <c r="MX145" s="131"/>
      <c r="MY145" s="131"/>
      <c r="MZ145" s="131"/>
      <c r="NA145" s="131"/>
      <c r="NB145" s="131"/>
      <c r="NC145" s="131"/>
      <c r="ND145" s="131"/>
      <c r="NE145" s="131"/>
      <c r="NF145" s="131"/>
      <c r="NG145" s="131"/>
      <c r="NH145" s="131"/>
      <c r="NI145" s="131"/>
      <c r="NJ145" s="131"/>
      <c r="NK145" s="131"/>
      <c r="NL145" s="131"/>
      <c r="NM145" s="131"/>
      <c r="NN145" s="131"/>
      <c r="NO145" s="131"/>
      <c r="NP145" s="131"/>
      <c r="NQ145" s="131"/>
      <c r="NR145" s="131"/>
      <c r="NS145" s="131"/>
      <c r="NT145" s="131"/>
      <c r="NU145" s="131"/>
      <c r="NV145" s="131"/>
      <c r="NW145" s="24">
        <f t="shared" si="17"/>
        <v>30</v>
      </c>
      <c r="NX145" s="56" t="s">
        <v>36</v>
      </c>
      <c r="NY145" s="127">
        <v>1908</v>
      </c>
      <c r="NZ145" s="78">
        <f t="shared" si="18"/>
        <v>0</v>
      </c>
      <c r="OA145" s="78">
        <v>1260.3</v>
      </c>
      <c r="OB145" s="127">
        <f t="shared" si="19"/>
        <v>1908</v>
      </c>
      <c r="OC145" s="153"/>
      <c r="OD145" s="108">
        <f t="shared" si="15"/>
        <v>1.5139252558914544</v>
      </c>
      <c r="OE145" s="160" t="s">
        <v>561</v>
      </c>
    </row>
    <row r="146" spans="1:395" s="5" customFormat="1" ht="12.75" customHeight="1" x14ac:dyDescent="0.25">
      <c r="A146" s="62">
        <v>44575</v>
      </c>
      <c r="B146" s="116" t="s">
        <v>297</v>
      </c>
      <c r="C146" s="129"/>
      <c r="D146" s="129"/>
      <c r="E146" s="130"/>
      <c r="F146" s="130">
        <v>150</v>
      </c>
      <c r="G146" s="130"/>
      <c r="H146" s="130"/>
      <c r="I146" s="130"/>
      <c r="J146" s="130"/>
      <c r="K146" s="130"/>
      <c r="L146" s="130"/>
      <c r="M146" s="131"/>
      <c r="N146" s="131"/>
      <c r="O146" s="131"/>
      <c r="P146" s="131"/>
      <c r="Q146" s="131"/>
      <c r="R146" s="131"/>
      <c r="S146" s="131"/>
      <c r="T146" s="131"/>
      <c r="U146" s="131"/>
      <c r="V146" s="131"/>
      <c r="W146" s="131"/>
      <c r="X146" s="131"/>
      <c r="Y146" s="131"/>
      <c r="Z146" s="131"/>
      <c r="AA146" s="131"/>
      <c r="AB146" s="131"/>
      <c r="AC146" s="131"/>
      <c r="AD146" s="131"/>
      <c r="AE146" s="131"/>
      <c r="AF146" s="131"/>
      <c r="AG146" s="131">
        <v>30</v>
      </c>
      <c r="AH146" s="131"/>
      <c r="AI146" s="131"/>
      <c r="AJ146" s="131"/>
      <c r="AK146" s="131"/>
      <c r="AL146" s="131"/>
      <c r="AM146" s="131"/>
      <c r="AN146" s="131"/>
      <c r="AO146" s="131"/>
      <c r="AP146" s="131"/>
      <c r="AQ146" s="131"/>
      <c r="AR146" s="131"/>
      <c r="AS146" s="131"/>
      <c r="AT146" s="131"/>
      <c r="AU146" s="131"/>
      <c r="AV146" s="131"/>
      <c r="AW146" s="131"/>
      <c r="AX146" s="131"/>
      <c r="AY146" s="131"/>
      <c r="AZ146" s="131"/>
      <c r="BA146" s="131"/>
      <c r="BB146" s="131"/>
      <c r="BC146" s="131"/>
      <c r="BD146" s="131"/>
      <c r="BE146" s="131"/>
      <c r="BF146" s="131"/>
      <c r="BG146" s="131"/>
      <c r="BH146" s="131"/>
      <c r="BI146" s="131"/>
      <c r="BJ146" s="131">
        <v>120</v>
      </c>
      <c r="BK146" s="131"/>
      <c r="BL146" s="131"/>
      <c r="BM146" s="131"/>
      <c r="BN146" s="131"/>
      <c r="BO146" s="131"/>
      <c r="BP146" s="131"/>
      <c r="BQ146" s="131"/>
      <c r="BR146" s="131"/>
      <c r="BS146" s="131"/>
      <c r="BT146" s="131"/>
      <c r="BU146" s="131"/>
      <c r="BV146" s="131"/>
      <c r="BW146" s="131"/>
      <c r="BX146" s="131"/>
      <c r="BY146" s="131"/>
      <c r="BZ146" s="131"/>
      <c r="CA146" s="131"/>
      <c r="CB146" s="131"/>
      <c r="CC146" s="131"/>
      <c r="CD146" s="131"/>
      <c r="CE146" s="131"/>
      <c r="CF146" s="131"/>
      <c r="CG146" s="131"/>
      <c r="CH146" s="131"/>
      <c r="CI146" s="131"/>
      <c r="CJ146" s="131"/>
      <c r="CK146" s="131"/>
      <c r="CL146" s="131"/>
      <c r="CM146" s="131"/>
      <c r="CN146" s="131"/>
      <c r="CO146" s="131"/>
      <c r="CP146" s="131"/>
      <c r="CQ146" s="131"/>
      <c r="CR146" s="131"/>
      <c r="CS146" s="131"/>
      <c r="CT146" s="131"/>
      <c r="CU146" s="131"/>
      <c r="CV146" s="131"/>
      <c r="CW146" s="131"/>
      <c r="CX146" s="131"/>
      <c r="CY146" s="131"/>
      <c r="CZ146" s="131"/>
      <c r="DA146" s="131"/>
      <c r="DB146" s="131">
        <v>110</v>
      </c>
      <c r="DC146" s="131"/>
      <c r="DD146" s="131"/>
      <c r="DE146" s="131"/>
      <c r="DF146" s="131">
        <v>20</v>
      </c>
      <c r="DG146" s="131"/>
      <c r="DH146" s="131"/>
      <c r="DI146" s="131"/>
      <c r="DJ146" s="131"/>
      <c r="DK146" s="131"/>
      <c r="DL146" s="131"/>
      <c r="DM146" s="131"/>
      <c r="DN146" s="131"/>
      <c r="DO146" s="131"/>
      <c r="DP146" s="131"/>
      <c r="DQ146" s="131"/>
      <c r="DR146" s="131"/>
      <c r="DS146" s="131"/>
      <c r="DT146" s="131"/>
      <c r="DU146" s="131"/>
      <c r="DV146" s="131"/>
      <c r="DW146" s="131"/>
      <c r="DX146" s="131"/>
      <c r="DY146" s="131"/>
      <c r="DZ146" s="131"/>
      <c r="EA146" s="131"/>
      <c r="EB146" s="131"/>
      <c r="EC146" s="131"/>
      <c r="ED146" s="131"/>
      <c r="EE146" s="131"/>
      <c r="EF146" s="131"/>
      <c r="EG146" s="131"/>
      <c r="EH146" s="131"/>
      <c r="EI146" s="131"/>
      <c r="EJ146" s="131"/>
      <c r="EK146" s="131"/>
      <c r="EL146" s="131"/>
      <c r="EM146" s="131"/>
      <c r="EN146" s="131"/>
      <c r="EO146" s="131">
        <v>32</v>
      </c>
      <c r="EP146" s="131"/>
      <c r="EQ146" s="131"/>
      <c r="ER146" s="131"/>
      <c r="ES146" s="131"/>
      <c r="ET146" s="131"/>
      <c r="EU146" s="131"/>
      <c r="EV146" s="131"/>
      <c r="EW146" s="131"/>
      <c r="EX146" s="131"/>
      <c r="EY146" s="131"/>
      <c r="EZ146" s="131"/>
      <c r="FA146" s="131"/>
      <c r="FB146" s="131">
        <v>120</v>
      </c>
      <c r="FC146" s="131"/>
      <c r="FD146" s="131"/>
      <c r="FE146" s="131"/>
      <c r="FF146" s="131"/>
      <c r="FG146" s="131"/>
      <c r="FH146" s="131"/>
      <c r="FI146" s="131"/>
      <c r="FJ146" s="131"/>
      <c r="FK146" s="131"/>
      <c r="FL146" s="131"/>
      <c r="FM146" s="131"/>
      <c r="FN146" s="131"/>
      <c r="FO146" s="131"/>
      <c r="FP146" s="131"/>
      <c r="FQ146" s="131"/>
      <c r="FR146" s="131"/>
      <c r="FS146" s="131"/>
      <c r="FT146" s="131"/>
      <c r="FU146" s="131"/>
      <c r="FV146" s="131"/>
      <c r="FW146" s="131"/>
      <c r="FX146" s="131"/>
      <c r="FY146" s="131"/>
      <c r="FZ146" s="131"/>
      <c r="GA146" s="131"/>
      <c r="GB146" s="131"/>
      <c r="GC146" s="131"/>
      <c r="GD146" s="131"/>
      <c r="GE146" s="131"/>
      <c r="GF146" s="131"/>
      <c r="GG146" s="131"/>
      <c r="GH146" s="131"/>
      <c r="GI146" s="131"/>
      <c r="GJ146" s="131"/>
      <c r="GK146" s="131"/>
      <c r="GL146" s="131"/>
      <c r="GM146" s="131"/>
      <c r="GN146" s="131"/>
      <c r="GO146" s="131"/>
      <c r="GP146" s="131">
        <v>100</v>
      </c>
      <c r="GQ146" s="131"/>
      <c r="GR146" s="131"/>
      <c r="GS146" s="131"/>
      <c r="GT146" s="131"/>
      <c r="GU146" s="131"/>
      <c r="GV146" s="131"/>
      <c r="GW146" s="131"/>
      <c r="GX146" s="131"/>
      <c r="GY146" s="131"/>
      <c r="GZ146" s="131"/>
      <c r="HA146" s="131"/>
      <c r="HB146" s="131"/>
      <c r="HC146" s="131"/>
      <c r="HD146" s="131"/>
      <c r="HE146" s="131"/>
      <c r="HF146" s="131"/>
      <c r="HG146" s="131"/>
      <c r="HH146" s="131"/>
      <c r="HI146" s="131"/>
      <c r="HJ146" s="131"/>
      <c r="HK146" s="131"/>
      <c r="HL146" s="131"/>
      <c r="HM146" s="131"/>
      <c r="HN146" s="131"/>
      <c r="HO146" s="131"/>
      <c r="HP146" s="131"/>
      <c r="HQ146" s="131"/>
      <c r="HR146" s="131"/>
      <c r="HS146" s="131"/>
      <c r="HT146" s="131"/>
      <c r="HU146" s="131"/>
      <c r="HV146" s="131"/>
      <c r="HW146" s="131"/>
      <c r="HX146" s="131"/>
      <c r="HY146" s="131"/>
      <c r="HZ146" s="131"/>
      <c r="IA146" s="131"/>
      <c r="IB146" s="131"/>
      <c r="IC146" s="131"/>
      <c r="ID146" s="131"/>
      <c r="IE146" s="131"/>
      <c r="IF146" s="131"/>
      <c r="IG146" s="131"/>
      <c r="IH146" s="131"/>
      <c r="II146" s="131"/>
      <c r="IJ146" s="131"/>
      <c r="IK146" s="131"/>
      <c r="IL146" s="131"/>
      <c r="IM146" s="131"/>
      <c r="IN146" s="131"/>
      <c r="IO146" s="131"/>
      <c r="IP146" s="131"/>
      <c r="IQ146" s="131"/>
      <c r="IR146" s="131"/>
      <c r="IS146" s="131"/>
      <c r="IT146" s="131"/>
      <c r="IU146" s="131"/>
      <c r="IV146" s="131"/>
      <c r="IW146" s="131"/>
      <c r="IX146" s="131"/>
      <c r="IY146" s="131"/>
      <c r="IZ146" s="131"/>
      <c r="JA146" s="131"/>
      <c r="JB146" s="131"/>
      <c r="JC146" s="131"/>
      <c r="JD146" s="131"/>
      <c r="JE146" s="131"/>
      <c r="JF146" s="131"/>
      <c r="JG146" s="131"/>
      <c r="JH146" s="131"/>
      <c r="JI146" s="131"/>
      <c r="JJ146" s="131"/>
      <c r="JK146" s="131"/>
      <c r="JL146" s="131">
        <v>150</v>
      </c>
      <c r="JM146" s="131"/>
      <c r="JN146" s="131"/>
      <c r="JO146" s="131"/>
      <c r="JP146" s="131"/>
      <c r="JQ146" s="131"/>
      <c r="JR146" s="131"/>
      <c r="JS146" s="131"/>
      <c r="JT146" s="131"/>
      <c r="JU146" s="131"/>
      <c r="JV146" s="131"/>
      <c r="JW146" s="131"/>
      <c r="JX146" s="131"/>
      <c r="JY146" s="131"/>
      <c r="JZ146" s="131"/>
      <c r="KA146" s="131"/>
      <c r="KB146" s="131"/>
      <c r="KC146" s="131"/>
      <c r="KD146" s="131"/>
      <c r="KE146" s="131"/>
      <c r="KF146" s="131"/>
      <c r="KG146" s="131"/>
      <c r="KH146" s="131"/>
      <c r="KI146" s="131"/>
      <c r="KJ146" s="131"/>
      <c r="KK146" s="131"/>
      <c r="KL146" s="131"/>
      <c r="KM146" s="131"/>
      <c r="KN146" s="131"/>
      <c r="KO146" s="131"/>
      <c r="KP146" s="131"/>
      <c r="KQ146" s="131"/>
      <c r="KR146" s="131"/>
      <c r="KS146" s="131"/>
      <c r="KT146" s="131"/>
      <c r="KU146" s="131"/>
      <c r="KV146" s="131"/>
      <c r="KW146" s="131"/>
      <c r="KX146" s="131"/>
      <c r="KY146" s="131"/>
      <c r="KZ146" s="131"/>
      <c r="LA146" s="131"/>
      <c r="LB146" s="131"/>
      <c r="LC146" s="131"/>
      <c r="LD146" s="131"/>
      <c r="LE146" s="131"/>
      <c r="LF146" s="131"/>
      <c r="LG146" s="131"/>
      <c r="LH146" s="131"/>
      <c r="LI146" s="131"/>
      <c r="LJ146" s="131"/>
      <c r="LK146" s="131"/>
      <c r="LL146" s="131"/>
      <c r="LM146" s="131"/>
      <c r="LN146" s="131"/>
      <c r="LO146" s="131"/>
      <c r="LP146" s="131"/>
      <c r="LQ146" s="131"/>
      <c r="LR146" s="131"/>
      <c r="LS146" s="131"/>
      <c r="LT146" s="131"/>
      <c r="LU146" s="131"/>
      <c r="LV146" s="131"/>
      <c r="LW146" s="131"/>
      <c r="LX146" s="131"/>
      <c r="LY146" s="131"/>
      <c r="LZ146" s="131"/>
      <c r="MA146" s="131"/>
      <c r="MB146" s="131"/>
      <c r="MC146" s="131"/>
      <c r="MD146" s="131"/>
      <c r="ME146" s="131"/>
      <c r="MF146" s="131"/>
      <c r="MG146" s="131"/>
      <c r="MH146" s="131"/>
      <c r="MI146" s="131"/>
      <c r="MJ146" s="131"/>
      <c r="MK146" s="131"/>
      <c r="ML146" s="131"/>
      <c r="MM146" s="131"/>
      <c r="MN146" s="131"/>
      <c r="MO146" s="131"/>
      <c r="MP146" s="131"/>
      <c r="MQ146" s="131"/>
      <c r="MR146" s="131"/>
      <c r="MS146" s="131"/>
      <c r="MT146" s="131"/>
      <c r="MU146" s="131"/>
      <c r="MV146" s="131"/>
      <c r="MW146" s="131"/>
      <c r="MX146" s="131"/>
      <c r="MY146" s="131"/>
      <c r="MZ146" s="131"/>
      <c r="NA146" s="131"/>
      <c r="NB146" s="131"/>
      <c r="NC146" s="131"/>
      <c r="ND146" s="131"/>
      <c r="NE146" s="131"/>
      <c r="NF146" s="131"/>
      <c r="NG146" s="131"/>
      <c r="NH146" s="131"/>
      <c r="NI146" s="131"/>
      <c r="NJ146" s="131"/>
      <c r="NK146" s="131"/>
      <c r="NL146" s="131"/>
      <c r="NM146" s="131"/>
      <c r="NN146" s="131"/>
      <c r="NO146" s="131"/>
      <c r="NP146" s="131"/>
      <c r="NQ146" s="131"/>
      <c r="NR146" s="131"/>
      <c r="NS146" s="131"/>
      <c r="NT146" s="131"/>
      <c r="NU146" s="131"/>
      <c r="NV146" s="131"/>
      <c r="NW146" s="24">
        <f t="shared" si="17"/>
        <v>832</v>
      </c>
      <c r="NX146" s="56" t="s">
        <v>36</v>
      </c>
      <c r="NY146" s="127">
        <v>30510.240000000002</v>
      </c>
      <c r="NZ146" s="78">
        <f t="shared" si="18"/>
        <v>0</v>
      </c>
      <c r="OA146" s="78">
        <f>22545.08/1.2</f>
        <v>18787.566666666669</v>
      </c>
      <c r="OB146" s="127">
        <f t="shared" si="19"/>
        <v>30510.240000000002</v>
      </c>
      <c r="OC146" s="153"/>
      <c r="OD146" s="108">
        <f t="shared" si="15"/>
        <v>1.6239591077077569</v>
      </c>
      <c r="OE146" s="160" t="s">
        <v>571</v>
      </c>
    </row>
    <row r="147" spans="1:395" s="5" customFormat="1" ht="12.75" customHeight="1" x14ac:dyDescent="0.25">
      <c r="A147" s="62">
        <v>44578</v>
      </c>
      <c r="B147" s="116" t="s">
        <v>439</v>
      </c>
      <c r="C147" s="129"/>
      <c r="D147" s="129"/>
      <c r="E147" s="130"/>
      <c r="F147" s="130"/>
      <c r="G147" s="130"/>
      <c r="H147" s="130"/>
      <c r="I147" s="130"/>
      <c r="J147" s="130"/>
      <c r="K147" s="130"/>
      <c r="L147" s="130"/>
      <c r="M147" s="131"/>
      <c r="N147" s="131"/>
      <c r="O147" s="131"/>
      <c r="P147" s="131"/>
      <c r="Q147" s="131"/>
      <c r="R147" s="131"/>
      <c r="S147" s="131"/>
      <c r="T147" s="131"/>
      <c r="U147" s="131"/>
      <c r="V147" s="131"/>
      <c r="W147" s="131"/>
      <c r="X147" s="131"/>
      <c r="Y147" s="131"/>
      <c r="Z147" s="131"/>
      <c r="AA147" s="131"/>
      <c r="AB147" s="131"/>
      <c r="AC147" s="131"/>
      <c r="AD147" s="131"/>
      <c r="AE147" s="131"/>
      <c r="AF147" s="131"/>
      <c r="AG147" s="131"/>
      <c r="AH147" s="131"/>
      <c r="AI147" s="131"/>
      <c r="AJ147" s="131"/>
      <c r="AK147" s="131"/>
      <c r="AL147" s="131"/>
      <c r="AM147" s="131"/>
      <c r="AN147" s="131"/>
      <c r="AO147" s="131"/>
      <c r="AP147" s="131"/>
      <c r="AQ147" s="131"/>
      <c r="AR147" s="131"/>
      <c r="AS147" s="131"/>
      <c r="AT147" s="131"/>
      <c r="AU147" s="131"/>
      <c r="AV147" s="131"/>
      <c r="AW147" s="131"/>
      <c r="AX147" s="131"/>
      <c r="AY147" s="131"/>
      <c r="AZ147" s="131"/>
      <c r="BA147" s="131"/>
      <c r="BB147" s="131"/>
      <c r="BC147" s="131"/>
      <c r="BD147" s="131"/>
      <c r="BE147" s="131"/>
      <c r="BF147" s="131"/>
      <c r="BG147" s="131"/>
      <c r="BH147" s="131"/>
      <c r="BI147" s="131"/>
      <c r="BJ147" s="131"/>
      <c r="BK147" s="131"/>
      <c r="BL147" s="131"/>
      <c r="BM147" s="131"/>
      <c r="BN147" s="131"/>
      <c r="BO147" s="131"/>
      <c r="BP147" s="131"/>
      <c r="BQ147" s="131"/>
      <c r="BR147" s="131"/>
      <c r="BS147" s="131"/>
      <c r="BT147" s="131"/>
      <c r="BU147" s="131"/>
      <c r="BV147" s="131"/>
      <c r="BW147" s="131"/>
      <c r="BX147" s="131"/>
      <c r="BY147" s="131"/>
      <c r="BZ147" s="131"/>
      <c r="CA147" s="131"/>
      <c r="CB147" s="131"/>
      <c r="CC147" s="131"/>
      <c r="CD147" s="131"/>
      <c r="CE147" s="131"/>
      <c r="CF147" s="131"/>
      <c r="CG147" s="131"/>
      <c r="CH147" s="131"/>
      <c r="CI147" s="131"/>
      <c r="CJ147" s="131"/>
      <c r="CK147" s="131"/>
      <c r="CL147" s="131"/>
      <c r="CM147" s="131"/>
      <c r="CN147" s="131"/>
      <c r="CO147" s="131"/>
      <c r="CP147" s="131"/>
      <c r="CQ147" s="131"/>
      <c r="CR147" s="131"/>
      <c r="CS147" s="131"/>
      <c r="CT147" s="131"/>
      <c r="CU147" s="131"/>
      <c r="CV147" s="131"/>
      <c r="CW147" s="131"/>
      <c r="CX147" s="131"/>
      <c r="CY147" s="131"/>
      <c r="CZ147" s="131"/>
      <c r="DA147" s="131"/>
      <c r="DB147" s="131"/>
      <c r="DC147" s="131"/>
      <c r="DD147" s="131"/>
      <c r="DE147" s="131"/>
      <c r="DF147" s="131"/>
      <c r="DG147" s="131"/>
      <c r="DH147" s="131"/>
      <c r="DI147" s="131"/>
      <c r="DJ147" s="131"/>
      <c r="DK147" s="131"/>
      <c r="DL147" s="131"/>
      <c r="DM147" s="131"/>
      <c r="DN147" s="131"/>
      <c r="DO147" s="131"/>
      <c r="DP147" s="131"/>
      <c r="DQ147" s="131"/>
      <c r="DR147" s="131"/>
      <c r="DS147" s="131"/>
      <c r="DT147" s="131"/>
      <c r="DU147" s="131"/>
      <c r="DV147" s="131"/>
      <c r="DW147" s="131"/>
      <c r="DX147" s="131"/>
      <c r="DY147" s="131"/>
      <c r="DZ147" s="131"/>
      <c r="EA147" s="131"/>
      <c r="EB147" s="131"/>
      <c r="EC147" s="131"/>
      <c r="ED147" s="131"/>
      <c r="EE147" s="131"/>
      <c r="EF147" s="131"/>
      <c r="EG147" s="131"/>
      <c r="EH147" s="131"/>
      <c r="EI147" s="131"/>
      <c r="EJ147" s="131"/>
      <c r="EK147" s="131"/>
      <c r="EL147" s="131"/>
      <c r="EM147" s="131"/>
      <c r="EN147" s="131"/>
      <c r="EO147" s="131"/>
      <c r="EP147" s="131"/>
      <c r="EQ147" s="131"/>
      <c r="ER147" s="131"/>
      <c r="ES147" s="131"/>
      <c r="ET147" s="131"/>
      <c r="EU147" s="131"/>
      <c r="EV147" s="131"/>
      <c r="EW147" s="131"/>
      <c r="EX147" s="131"/>
      <c r="EY147" s="131"/>
      <c r="EZ147" s="131"/>
      <c r="FA147" s="131"/>
      <c r="FB147" s="131"/>
      <c r="FC147" s="131"/>
      <c r="FD147" s="131"/>
      <c r="FE147" s="131"/>
      <c r="FF147" s="131"/>
      <c r="FG147" s="131"/>
      <c r="FH147" s="131"/>
      <c r="FI147" s="131"/>
      <c r="FJ147" s="131"/>
      <c r="FK147" s="131"/>
      <c r="FL147" s="131">
        <v>10</v>
      </c>
      <c r="FM147" s="131"/>
      <c r="FN147" s="131"/>
      <c r="FO147" s="131"/>
      <c r="FP147" s="131"/>
      <c r="FQ147" s="131"/>
      <c r="FR147" s="131"/>
      <c r="FS147" s="131"/>
      <c r="FT147" s="131"/>
      <c r="FU147" s="131"/>
      <c r="FV147" s="131"/>
      <c r="FW147" s="131"/>
      <c r="FX147" s="131"/>
      <c r="FY147" s="131"/>
      <c r="FZ147" s="131"/>
      <c r="GA147" s="131"/>
      <c r="GB147" s="131"/>
      <c r="GC147" s="131"/>
      <c r="GD147" s="131"/>
      <c r="GE147" s="131"/>
      <c r="GF147" s="131"/>
      <c r="GG147" s="131"/>
      <c r="GH147" s="131"/>
      <c r="GI147" s="131"/>
      <c r="GJ147" s="131"/>
      <c r="GK147" s="131"/>
      <c r="GL147" s="131"/>
      <c r="GM147" s="131"/>
      <c r="GN147" s="131"/>
      <c r="GO147" s="131"/>
      <c r="GP147" s="131"/>
      <c r="GQ147" s="131"/>
      <c r="GR147" s="131"/>
      <c r="GS147" s="131"/>
      <c r="GT147" s="131"/>
      <c r="GU147" s="131"/>
      <c r="GV147" s="131"/>
      <c r="GW147" s="131"/>
      <c r="GX147" s="131"/>
      <c r="GY147" s="131"/>
      <c r="GZ147" s="131"/>
      <c r="HA147" s="131"/>
      <c r="HB147" s="131"/>
      <c r="HC147" s="131"/>
      <c r="HD147" s="131"/>
      <c r="HE147" s="131"/>
      <c r="HF147" s="131"/>
      <c r="HG147" s="131"/>
      <c r="HH147" s="131"/>
      <c r="HI147" s="131"/>
      <c r="HJ147" s="131"/>
      <c r="HK147" s="131"/>
      <c r="HL147" s="131"/>
      <c r="HM147" s="131"/>
      <c r="HN147" s="131"/>
      <c r="HO147" s="131"/>
      <c r="HP147" s="131"/>
      <c r="HQ147" s="131"/>
      <c r="HR147" s="131"/>
      <c r="HS147" s="131"/>
      <c r="HT147" s="131"/>
      <c r="HU147" s="131"/>
      <c r="HV147" s="131"/>
      <c r="HW147" s="131"/>
      <c r="HX147" s="131"/>
      <c r="HY147" s="131"/>
      <c r="HZ147" s="131"/>
      <c r="IA147" s="131"/>
      <c r="IB147" s="131"/>
      <c r="IC147" s="131"/>
      <c r="ID147" s="131"/>
      <c r="IE147" s="131"/>
      <c r="IF147" s="131"/>
      <c r="IG147" s="131"/>
      <c r="IH147" s="131"/>
      <c r="II147" s="131"/>
      <c r="IJ147" s="131"/>
      <c r="IK147" s="131"/>
      <c r="IL147" s="131"/>
      <c r="IM147" s="131"/>
      <c r="IN147" s="131"/>
      <c r="IO147" s="131"/>
      <c r="IP147" s="131"/>
      <c r="IQ147" s="131"/>
      <c r="IR147" s="131"/>
      <c r="IS147" s="131"/>
      <c r="IT147" s="131"/>
      <c r="IU147" s="131"/>
      <c r="IV147" s="131"/>
      <c r="IW147" s="131"/>
      <c r="IX147" s="131"/>
      <c r="IY147" s="131"/>
      <c r="IZ147" s="131"/>
      <c r="JA147" s="131"/>
      <c r="JB147" s="131"/>
      <c r="JC147" s="131"/>
      <c r="JD147" s="131"/>
      <c r="JE147" s="131"/>
      <c r="JF147" s="131"/>
      <c r="JG147" s="131"/>
      <c r="JH147" s="131"/>
      <c r="JI147" s="131"/>
      <c r="JJ147" s="131"/>
      <c r="JK147" s="131"/>
      <c r="JL147" s="131"/>
      <c r="JM147" s="131"/>
      <c r="JN147" s="131"/>
      <c r="JO147" s="131"/>
      <c r="JP147" s="131"/>
      <c r="JQ147" s="131"/>
      <c r="JR147" s="131"/>
      <c r="JS147" s="131"/>
      <c r="JT147" s="131"/>
      <c r="JU147" s="131"/>
      <c r="JV147" s="131"/>
      <c r="JW147" s="131"/>
      <c r="JX147" s="131"/>
      <c r="JY147" s="131"/>
      <c r="JZ147" s="131"/>
      <c r="KA147" s="131"/>
      <c r="KB147" s="131"/>
      <c r="KC147" s="131"/>
      <c r="KD147" s="131"/>
      <c r="KE147" s="131"/>
      <c r="KF147" s="131"/>
      <c r="KG147" s="131"/>
      <c r="KH147" s="131"/>
      <c r="KI147" s="131"/>
      <c r="KJ147" s="131"/>
      <c r="KK147" s="131"/>
      <c r="KL147" s="131"/>
      <c r="KM147" s="131"/>
      <c r="KN147" s="131"/>
      <c r="KO147" s="131"/>
      <c r="KP147" s="131"/>
      <c r="KQ147" s="131"/>
      <c r="KR147" s="131"/>
      <c r="KS147" s="131"/>
      <c r="KT147" s="131"/>
      <c r="KU147" s="131"/>
      <c r="KV147" s="131"/>
      <c r="KW147" s="131"/>
      <c r="KX147" s="131"/>
      <c r="KY147" s="131"/>
      <c r="KZ147" s="131"/>
      <c r="LA147" s="131"/>
      <c r="LB147" s="131"/>
      <c r="LC147" s="131"/>
      <c r="LD147" s="131"/>
      <c r="LE147" s="131"/>
      <c r="LF147" s="131"/>
      <c r="LG147" s="131"/>
      <c r="LH147" s="131"/>
      <c r="LI147" s="131"/>
      <c r="LJ147" s="131"/>
      <c r="LK147" s="131"/>
      <c r="LL147" s="131"/>
      <c r="LM147" s="131"/>
      <c r="LN147" s="131"/>
      <c r="LO147" s="131"/>
      <c r="LP147" s="131"/>
      <c r="LQ147" s="131"/>
      <c r="LR147" s="131"/>
      <c r="LS147" s="131"/>
      <c r="LT147" s="131"/>
      <c r="LU147" s="131"/>
      <c r="LV147" s="131"/>
      <c r="LW147" s="131"/>
      <c r="LX147" s="131"/>
      <c r="LY147" s="131"/>
      <c r="LZ147" s="131"/>
      <c r="MA147" s="131"/>
      <c r="MB147" s="131"/>
      <c r="MC147" s="131"/>
      <c r="MD147" s="131"/>
      <c r="ME147" s="131"/>
      <c r="MF147" s="131"/>
      <c r="MG147" s="131"/>
      <c r="MH147" s="131"/>
      <c r="MI147" s="131"/>
      <c r="MJ147" s="131"/>
      <c r="MK147" s="131"/>
      <c r="ML147" s="131"/>
      <c r="MM147" s="131"/>
      <c r="MN147" s="131"/>
      <c r="MO147" s="131"/>
      <c r="MP147" s="131"/>
      <c r="MQ147" s="131"/>
      <c r="MR147" s="131"/>
      <c r="MS147" s="131"/>
      <c r="MT147" s="131"/>
      <c r="MU147" s="131"/>
      <c r="MV147" s="131"/>
      <c r="MW147" s="131"/>
      <c r="MX147" s="131"/>
      <c r="MY147" s="131"/>
      <c r="MZ147" s="131"/>
      <c r="NA147" s="131"/>
      <c r="NB147" s="131"/>
      <c r="NC147" s="131"/>
      <c r="ND147" s="131"/>
      <c r="NE147" s="131"/>
      <c r="NF147" s="131"/>
      <c r="NG147" s="131"/>
      <c r="NH147" s="131"/>
      <c r="NI147" s="131"/>
      <c r="NJ147" s="131"/>
      <c r="NK147" s="131"/>
      <c r="NL147" s="131"/>
      <c r="NM147" s="131"/>
      <c r="NN147" s="131"/>
      <c r="NO147" s="131"/>
      <c r="NP147" s="131"/>
      <c r="NQ147" s="131"/>
      <c r="NR147" s="131"/>
      <c r="NS147" s="131"/>
      <c r="NT147" s="131"/>
      <c r="NU147" s="131"/>
      <c r="NV147" s="131"/>
      <c r="NW147" s="24">
        <f t="shared" si="17"/>
        <v>10</v>
      </c>
      <c r="NX147" s="56" t="s">
        <v>36</v>
      </c>
      <c r="NY147" s="127">
        <v>354.36</v>
      </c>
      <c r="NZ147" s="78">
        <f t="shared" si="18"/>
        <v>0</v>
      </c>
      <c r="OA147" s="78">
        <v>182.3</v>
      </c>
      <c r="OB147" s="127">
        <f t="shared" si="19"/>
        <v>354.36</v>
      </c>
      <c r="OC147" s="153"/>
      <c r="OD147" s="108">
        <f t="shared" si="15"/>
        <v>1.9438288535381238</v>
      </c>
      <c r="OE147" s="160" t="s">
        <v>572</v>
      </c>
    </row>
    <row r="148" spans="1:395" s="5" customFormat="1" ht="12.75" customHeight="1" x14ac:dyDescent="0.25">
      <c r="A148" s="62">
        <v>44579</v>
      </c>
      <c r="B148" s="116" t="s">
        <v>368</v>
      </c>
      <c r="C148" s="129"/>
      <c r="D148" s="129"/>
      <c r="E148" s="130"/>
      <c r="F148" s="130"/>
      <c r="G148" s="130"/>
      <c r="H148" s="130"/>
      <c r="I148" s="130"/>
      <c r="J148" s="130"/>
      <c r="K148" s="130"/>
      <c r="L148" s="130"/>
      <c r="M148" s="131"/>
      <c r="N148" s="131"/>
      <c r="O148" s="131"/>
      <c r="P148" s="131"/>
      <c r="Q148" s="131"/>
      <c r="R148" s="131"/>
      <c r="S148" s="131"/>
      <c r="T148" s="131"/>
      <c r="U148" s="131"/>
      <c r="V148" s="131"/>
      <c r="W148" s="131"/>
      <c r="X148" s="131"/>
      <c r="Y148" s="131"/>
      <c r="Z148" s="131"/>
      <c r="AA148" s="131"/>
      <c r="AB148" s="131"/>
      <c r="AC148" s="131"/>
      <c r="AD148" s="131"/>
      <c r="AE148" s="131"/>
      <c r="AF148" s="131"/>
      <c r="AG148" s="131"/>
      <c r="AH148" s="131"/>
      <c r="AI148" s="131"/>
      <c r="AJ148" s="131"/>
      <c r="AK148" s="131"/>
      <c r="AL148" s="131"/>
      <c r="AM148" s="131"/>
      <c r="AN148" s="131"/>
      <c r="AO148" s="131"/>
      <c r="AP148" s="131"/>
      <c r="AQ148" s="131"/>
      <c r="AR148" s="131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1"/>
      <c r="BC148" s="131"/>
      <c r="BD148" s="131"/>
      <c r="BE148" s="131"/>
      <c r="BF148" s="131"/>
      <c r="BG148" s="131"/>
      <c r="BH148" s="131"/>
      <c r="BI148" s="131"/>
      <c r="BJ148" s="131"/>
      <c r="BK148" s="131"/>
      <c r="BL148" s="131"/>
      <c r="BM148" s="131"/>
      <c r="BN148" s="131"/>
      <c r="BO148" s="131"/>
      <c r="BP148" s="131"/>
      <c r="BQ148" s="131"/>
      <c r="BR148" s="131"/>
      <c r="BS148" s="131"/>
      <c r="BT148" s="131"/>
      <c r="BU148" s="131"/>
      <c r="BV148" s="131"/>
      <c r="BW148" s="131"/>
      <c r="BX148" s="131"/>
      <c r="BY148" s="131"/>
      <c r="BZ148" s="131"/>
      <c r="CA148" s="131"/>
      <c r="CB148" s="131"/>
      <c r="CC148" s="131"/>
      <c r="CD148" s="131"/>
      <c r="CE148" s="131"/>
      <c r="CF148" s="131"/>
      <c r="CG148" s="131"/>
      <c r="CH148" s="131"/>
      <c r="CI148" s="131"/>
      <c r="CJ148" s="131"/>
      <c r="CK148" s="131"/>
      <c r="CL148" s="131"/>
      <c r="CM148" s="131"/>
      <c r="CN148" s="131"/>
      <c r="CO148" s="131"/>
      <c r="CP148" s="131"/>
      <c r="CQ148" s="131"/>
      <c r="CR148" s="131"/>
      <c r="CS148" s="131"/>
      <c r="CT148" s="131"/>
      <c r="CU148" s="131"/>
      <c r="CV148" s="131"/>
      <c r="CW148" s="131"/>
      <c r="CX148" s="131"/>
      <c r="CY148" s="131"/>
      <c r="CZ148" s="131"/>
      <c r="DA148" s="131"/>
      <c r="DB148" s="131"/>
      <c r="DC148" s="131"/>
      <c r="DD148" s="131"/>
      <c r="DE148" s="131"/>
      <c r="DF148" s="131"/>
      <c r="DG148" s="131"/>
      <c r="DH148" s="131"/>
      <c r="DI148" s="131"/>
      <c r="DJ148" s="131"/>
      <c r="DK148" s="131"/>
      <c r="DL148" s="131"/>
      <c r="DM148" s="131"/>
      <c r="DN148" s="131"/>
      <c r="DO148" s="131"/>
      <c r="DP148" s="131"/>
      <c r="DQ148" s="131"/>
      <c r="DR148" s="131"/>
      <c r="DS148" s="131"/>
      <c r="DT148" s="131"/>
      <c r="DU148" s="131"/>
      <c r="DV148" s="131"/>
      <c r="DW148" s="131"/>
      <c r="DX148" s="131"/>
      <c r="DY148" s="131"/>
      <c r="DZ148" s="131"/>
      <c r="EA148" s="131"/>
      <c r="EB148" s="131"/>
      <c r="EC148" s="131"/>
      <c r="ED148" s="131"/>
      <c r="EE148" s="131"/>
      <c r="EF148" s="131"/>
      <c r="EG148" s="131"/>
      <c r="EH148" s="131"/>
      <c r="EI148" s="131"/>
      <c r="EJ148" s="131"/>
      <c r="EK148" s="131"/>
      <c r="EL148" s="131"/>
      <c r="EM148" s="131"/>
      <c r="EN148" s="131"/>
      <c r="EO148" s="131"/>
      <c r="EP148" s="131"/>
      <c r="EQ148" s="131"/>
      <c r="ER148" s="131"/>
      <c r="ES148" s="131"/>
      <c r="ET148" s="131"/>
      <c r="EU148" s="131"/>
      <c r="EV148" s="131">
        <v>10</v>
      </c>
      <c r="EW148" s="131"/>
      <c r="EX148" s="131"/>
      <c r="EY148" s="131"/>
      <c r="EZ148" s="131"/>
      <c r="FA148" s="131"/>
      <c r="FB148" s="131"/>
      <c r="FC148" s="131"/>
      <c r="FD148" s="131"/>
      <c r="FE148" s="131"/>
      <c r="FF148" s="131"/>
      <c r="FG148" s="131"/>
      <c r="FH148" s="131"/>
      <c r="FI148" s="131"/>
      <c r="FJ148" s="131"/>
      <c r="FK148" s="131"/>
      <c r="FL148" s="131"/>
      <c r="FM148" s="131"/>
      <c r="FN148" s="131"/>
      <c r="FO148" s="131"/>
      <c r="FP148" s="131"/>
      <c r="FQ148" s="131"/>
      <c r="FR148" s="131"/>
      <c r="FS148" s="131"/>
      <c r="FT148" s="131"/>
      <c r="FU148" s="131"/>
      <c r="FV148" s="131"/>
      <c r="FW148" s="131"/>
      <c r="FX148" s="131"/>
      <c r="FY148" s="131"/>
      <c r="FZ148" s="131"/>
      <c r="GA148" s="131"/>
      <c r="GB148" s="131"/>
      <c r="GC148" s="131"/>
      <c r="GD148" s="131"/>
      <c r="GE148" s="131"/>
      <c r="GF148" s="131"/>
      <c r="GG148" s="131"/>
      <c r="GH148" s="131"/>
      <c r="GI148" s="131"/>
      <c r="GJ148" s="131"/>
      <c r="GK148" s="131"/>
      <c r="GL148" s="131"/>
      <c r="GM148" s="131"/>
      <c r="GN148" s="131"/>
      <c r="GO148" s="131"/>
      <c r="GP148" s="131">
        <v>5</v>
      </c>
      <c r="GQ148" s="131"/>
      <c r="GR148" s="131"/>
      <c r="GS148" s="131"/>
      <c r="GT148" s="131"/>
      <c r="GU148" s="131"/>
      <c r="GV148" s="131"/>
      <c r="GW148" s="131"/>
      <c r="GX148" s="131"/>
      <c r="GY148" s="131">
        <v>9</v>
      </c>
      <c r="GZ148" s="131"/>
      <c r="HA148" s="131"/>
      <c r="HB148" s="131"/>
      <c r="HC148" s="131"/>
      <c r="HD148" s="131"/>
      <c r="HE148" s="131"/>
      <c r="HF148" s="131"/>
      <c r="HG148" s="131"/>
      <c r="HH148" s="131"/>
      <c r="HI148" s="131"/>
      <c r="HJ148" s="131"/>
      <c r="HK148" s="131"/>
      <c r="HL148" s="131"/>
      <c r="HM148" s="131"/>
      <c r="HN148" s="131"/>
      <c r="HO148" s="131"/>
      <c r="HP148" s="131"/>
      <c r="HQ148" s="131"/>
      <c r="HR148" s="131"/>
      <c r="HS148" s="131"/>
      <c r="HT148" s="131"/>
      <c r="HU148" s="131"/>
      <c r="HV148" s="131"/>
      <c r="HW148" s="131"/>
      <c r="HX148" s="131"/>
      <c r="HY148" s="131"/>
      <c r="HZ148" s="131"/>
      <c r="IA148" s="131"/>
      <c r="IB148" s="131"/>
      <c r="IC148" s="131"/>
      <c r="ID148" s="131"/>
      <c r="IE148" s="131"/>
      <c r="IF148" s="131"/>
      <c r="IG148" s="131"/>
      <c r="IH148" s="131"/>
      <c r="II148" s="131"/>
      <c r="IJ148" s="131"/>
      <c r="IK148" s="131"/>
      <c r="IL148" s="131"/>
      <c r="IM148" s="131"/>
      <c r="IN148" s="131"/>
      <c r="IO148" s="131"/>
      <c r="IP148" s="131"/>
      <c r="IQ148" s="131"/>
      <c r="IR148" s="131"/>
      <c r="IS148" s="131"/>
      <c r="IT148" s="131"/>
      <c r="IU148" s="131"/>
      <c r="IV148" s="131"/>
      <c r="IW148" s="131"/>
      <c r="IX148" s="131"/>
      <c r="IY148" s="131"/>
      <c r="IZ148" s="131"/>
      <c r="JA148" s="131"/>
      <c r="JB148" s="131"/>
      <c r="JC148" s="131"/>
      <c r="JD148" s="131"/>
      <c r="JE148" s="131"/>
      <c r="JF148" s="131"/>
      <c r="JG148" s="131"/>
      <c r="JH148" s="131"/>
      <c r="JI148" s="131"/>
      <c r="JJ148" s="131"/>
      <c r="JK148" s="131"/>
      <c r="JL148" s="131"/>
      <c r="JM148" s="131"/>
      <c r="JN148" s="131"/>
      <c r="JO148" s="131"/>
      <c r="JP148" s="131"/>
      <c r="JQ148" s="131"/>
      <c r="JR148" s="131"/>
      <c r="JS148" s="131"/>
      <c r="JT148" s="131"/>
      <c r="JU148" s="131"/>
      <c r="JV148" s="131"/>
      <c r="JW148" s="131"/>
      <c r="JX148" s="131"/>
      <c r="JY148" s="131"/>
      <c r="JZ148" s="131"/>
      <c r="KA148" s="131"/>
      <c r="KB148" s="131"/>
      <c r="KC148" s="131"/>
      <c r="KD148" s="131"/>
      <c r="KE148" s="131"/>
      <c r="KF148" s="131"/>
      <c r="KG148" s="131"/>
      <c r="KH148" s="131"/>
      <c r="KI148" s="131"/>
      <c r="KJ148" s="131"/>
      <c r="KK148" s="131"/>
      <c r="KL148" s="131"/>
      <c r="KM148" s="131"/>
      <c r="KN148" s="131"/>
      <c r="KO148" s="131"/>
      <c r="KP148" s="131"/>
      <c r="KQ148" s="131"/>
      <c r="KR148" s="131"/>
      <c r="KS148" s="131"/>
      <c r="KT148" s="131"/>
      <c r="KU148" s="131"/>
      <c r="KV148" s="131"/>
      <c r="KW148" s="131"/>
      <c r="KX148" s="131"/>
      <c r="KY148" s="131"/>
      <c r="KZ148" s="131"/>
      <c r="LA148" s="131"/>
      <c r="LB148" s="131"/>
      <c r="LC148" s="131"/>
      <c r="LD148" s="131"/>
      <c r="LE148" s="131"/>
      <c r="LF148" s="131"/>
      <c r="LG148" s="131"/>
      <c r="LH148" s="131"/>
      <c r="LI148" s="131"/>
      <c r="LJ148" s="131"/>
      <c r="LK148" s="131"/>
      <c r="LL148" s="131"/>
      <c r="LM148" s="131"/>
      <c r="LN148" s="131"/>
      <c r="LO148" s="131"/>
      <c r="LP148" s="131"/>
      <c r="LQ148" s="131"/>
      <c r="LR148" s="131"/>
      <c r="LS148" s="131"/>
      <c r="LT148" s="131"/>
      <c r="LU148" s="131"/>
      <c r="LV148" s="131"/>
      <c r="LW148" s="131"/>
      <c r="LX148" s="131"/>
      <c r="LY148" s="131"/>
      <c r="LZ148" s="131"/>
      <c r="MA148" s="131"/>
      <c r="MB148" s="131"/>
      <c r="MC148" s="131"/>
      <c r="MD148" s="131"/>
      <c r="ME148" s="131"/>
      <c r="MF148" s="131"/>
      <c r="MG148" s="131"/>
      <c r="MH148" s="131"/>
      <c r="MI148" s="131"/>
      <c r="MJ148" s="131"/>
      <c r="MK148" s="131"/>
      <c r="ML148" s="131"/>
      <c r="MM148" s="131"/>
      <c r="MN148" s="131"/>
      <c r="MO148" s="131"/>
      <c r="MP148" s="131"/>
      <c r="MQ148" s="131"/>
      <c r="MR148" s="131"/>
      <c r="MS148" s="131"/>
      <c r="MT148" s="131"/>
      <c r="MU148" s="131"/>
      <c r="MV148" s="131"/>
      <c r="MW148" s="131"/>
      <c r="MX148" s="131"/>
      <c r="MY148" s="131"/>
      <c r="MZ148" s="131"/>
      <c r="NA148" s="131"/>
      <c r="NB148" s="131"/>
      <c r="NC148" s="131"/>
      <c r="ND148" s="131"/>
      <c r="NE148" s="131"/>
      <c r="NF148" s="131"/>
      <c r="NG148" s="131"/>
      <c r="NH148" s="131"/>
      <c r="NI148" s="131"/>
      <c r="NJ148" s="131"/>
      <c r="NK148" s="131"/>
      <c r="NL148" s="131"/>
      <c r="NM148" s="131"/>
      <c r="NN148" s="131"/>
      <c r="NO148" s="131"/>
      <c r="NP148" s="131"/>
      <c r="NQ148" s="131"/>
      <c r="NR148" s="131"/>
      <c r="NS148" s="131"/>
      <c r="NT148" s="131"/>
      <c r="NU148" s="131"/>
      <c r="NV148" s="131"/>
      <c r="NW148" s="24">
        <f t="shared" si="17"/>
        <v>24</v>
      </c>
      <c r="NX148" s="56" t="s">
        <v>36</v>
      </c>
      <c r="NY148" s="127">
        <v>989.54</v>
      </c>
      <c r="NZ148" s="78">
        <f t="shared" si="18"/>
        <v>0</v>
      </c>
      <c r="OA148" s="78">
        <v>513.82000000000005</v>
      </c>
      <c r="OB148" s="127">
        <f t="shared" si="19"/>
        <v>989.54</v>
      </c>
      <c r="OC148" s="153"/>
      <c r="OD148" s="108">
        <f t="shared" si="15"/>
        <v>1.9258495192869096</v>
      </c>
      <c r="OE148" s="160" t="s">
        <v>533</v>
      </c>
    </row>
    <row r="149" spans="1:395" s="5" customFormat="1" ht="12.75" hidden="1" customHeight="1" x14ac:dyDescent="0.25">
      <c r="A149" s="62">
        <v>44581</v>
      </c>
      <c r="B149" s="116" t="s">
        <v>435</v>
      </c>
      <c r="C149" s="129"/>
      <c r="D149" s="129"/>
      <c r="E149" s="130"/>
      <c r="F149" s="130"/>
      <c r="G149" s="130"/>
      <c r="H149" s="130"/>
      <c r="I149" s="130"/>
      <c r="J149" s="130"/>
      <c r="K149" s="130"/>
      <c r="L149" s="130"/>
      <c r="M149" s="131"/>
      <c r="N149" s="131"/>
      <c r="O149" s="131"/>
      <c r="P149" s="131"/>
      <c r="Q149" s="131"/>
      <c r="R149" s="131"/>
      <c r="S149" s="131"/>
      <c r="T149" s="131"/>
      <c r="U149" s="131"/>
      <c r="V149" s="131"/>
      <c r="W149" s="131"/>
      <c r="X149" s="131"/>
      <c r="Y149" s="131"/>
      <c r="Z149" s="131"/>
      <c r="AA149" s="131"/>
      <c r="AB149" s="131"/>
      <c r="AC149" s="131"/>
      <c r="AD149" s="131"/>
      <c r="AE149" s="131"/>
      <c r="AF149" s="131"/>
      <c r="AG149" s="131"/>
      <c r="AH149" s="131"/>
      <c r="AI149" s="131"/>
      <c r="AJ149" s="131"/>
      <c r="AK149" s="131"/>
      <c r="AL149" s="131"/>
      <c r="AM149" s="131"/>
      <c r="AN149" s="131"/>
      <c r="AO149" s="131">
        <v>2</v>
      </c>
      <c r="AP149" s="131"/>
      <c r="AQ149" s="131"/>
      <c r="AR149" s="131"/>
      <c r="AS149" s="131"/>
      <c r="AT149" s="131"/>
      <c r="AU149" s="131"/>
      <c r="AV149" s="131"/>
      <c r="AW149" s="131"/>
      <c r="AX149" s="131"/>
      <c r="AY149" s="131"/>
      <c r="AZ149" s="131"/>
      <c r="BA149" s="131"/>
      <c r="BB149" s="131"/>
      <c r="BC149" s="131"/>
      <c r="BD149" s="131"/>
      <c r="BE149" s="131"/>
      <c r="BF149" s="131"/>
      <c r="BG149" s="131"/>
      <c r="BH149" s="131"/>
      <c r="BI149" s="131"/>
      <c r="BJ149" s="131"/>
      <c r="BK149" s="131"/>
      <c r="BL149" s="131"/>
      <c r="BM149" s="131"/>
      <c r="BN149" s="131"/>
      <c r="BO149" s="131"/>
      <c r="BP149" s="131"/>
      <c r="BQ149" s="131"/>
      <c r="BR149" s="131"/>
      <c r="BS149" s="131"/>
      <c r="BT149" s="131"/>
      <c r="BU149" s="131"/>
      <c r="BV149" s="131"/>
      <c r="BW149" s="131"/>
      <c r="BX149" s="131"/>
      <c r="BY149" s="131"/>
      <c r="BZ149" s="131"/>
      <c r="CA149" s="131"/>
      <c r="CB149" s="131"/>
      <c r="CC149" s="131"/>
      <c r="CD149" s="131"/>
      <c r="CE149" s="131"/>
      <c r="CF149" s="131"/>
      <c r="CG149" s="131"/>
      <c r="CH149" s="131"/>
      <c r="CI149" s="131"/>
      <c r="CJ149" s="131"/>
      <c r="CK149" s="131"/>
      <c r="CL149" s="131"/>
      <c r="CM149" s="131"/>
      <c r="CN149" s="131"/>
      <c r="CO149" s="131"/>
      <c r="CP149" s="131"/>
      <c r="CQ149" s="131"/>
      <c r="CR149" s="131"/>
      <c r="CS149" s="131"/>
      <c r="CT149" s="131"/>
      <c r="CU149" s="131"/>
      <c r="CV149" s="131"/>
      <c r="CW149" s="131"/>
      <c r="CX149" s="131"/>
      <c r="CY149" s="131"/>
      <c r="CZ149" s="131"/>
      <c r="DA149" s="131"/>
      <c r="DB149" s="131"/>
      <c r="DC149" s="131"/>
      <c r="DD149" s="131"/>
      <c r="DE149" s="131"/>
      <c r="DF149" s="131"/>
      <c r="DG149" s="131"/>
      <c r="DH149" s="131"/>
      <c r="DI149" s="131"/>
      <c r="DJ149" s="131"/>
      <c r="DK149" s="131"/>
      <c r="DL149" s="131"/>
      <c r="DM149" s="131"/>
      <c r="DN149" s="131"/>
      <c r="DO149" s="131"/>
      <c r="DP149" s="131"/>
      <c r="DQ149" s="131"/>
      <c r="DR149" s="131"/>
      <c r="DS149" s="131"/>
      <c r="DT149" s="131"/>
      <c r="DU149" s="131"/>
      <c r="DV149" s="131"/>
      <c r="DW149" s="131"/>
      <c r="DX149" s="131"/>
      <c r="DY149" s="131"/>
      <c r="DZ149" s="131"/>
      <c r="EA149" s="131"/>
      <c r="EB149" s="131"/>
      <c r="EC149" s="131"/>
      <c r="ED149" s="131"/>
      <c r="EE149" s="131"/>
      <c r="EF149" s="131"/>
      <c r="EG149" s="131"/>
      <c r="EH149" s="131"/>
      <c r="EI149" s="131"/>
      <c r="EJ149" s="131"/>
      <c r="EK149" s="131"/>
      <c r="EL149" s="131"/>
      <c r="EM149" s="131"/>
      <c r="EN149" s="131"/>
      <c r="EO149" s="131"/>
      <c r="EP149" s="131"/>
      <c r="EQ149" s="131"/>
      <c r="ER149" s="131"/>
      <c r="ES149" s="131"/>
      <c r="ET149" s="131"/>
      <c r="EU149" s="131"/>
      <c r="EV149" s="131"/>
      <c r="EW149" s="131"/>
      <c r="EX149" s="131"/>
      <c r="EY149" s="131"/>
      <c r="EZ149" s="131"/>
      <c r="FA149" s="131"/>
      <c r="FB149" s="131"/>
      <c r="FC149" s="131"/>
      <c r="FD149" s="131"/>
      <c r="FE149" s="131"/>
      <c r="FF149" s="131"/>
      <c r="FG149" s="131"/>
      <c r="FH149" s="131"/>
      <c r="FI149" s="131"/>
      <c r="FJ149" s="131"/>
      <c r="FK149" s="131"/>
      <c r="FL149" s="131"/>
      <c r="FM149" s="131"/>
      <c r="FN149" s="131"/>
      <c r="FO149" s="131"/>
      <c r="FP149" s="131"/>
      <c r="FQ149" s="131"/>
      <c r="FR149" s="131"/>
      <c r="FS149" s="131"/>
      <c r="FT149" s="131"/>
      <c r="FU149" s="131"/>
      <c r="FV149" s="131"/>
      <c r="FW149" s="131"/>
      <c r="FX149" s="131"/>
      <c r="FY149" s="131"/>
      <c r="FZ149" s="131"/>
      <c r="GA149" s="131"/>
      <c r="GB149" s="131"/>
      <c r="GC149" s="131">
        <v>2</v>
      </c>
      <c r="GD149" s="131"/>
      <c r="GE149" s="131"/>
      <c r="GF149" s="131"/>
      <c r="GG149" s="131"/>
      <c r="GH149" s="131"/>
      <c r="GI149" s="131"/>
      <c r="GJ149" s="131"/>
      <c r="GK149" s="131"/>
      <c r="GL149" s="131"/>
      <c r="GM149" s="131"/>
      <c r="GN149" s="131"/>
      <c r="GO149" s="131"/>
      <c r="GP149" s="131"/>
      <c r="GQ149" s="131"/>
      <c r="GR149" s="131"/>
      <c r="GS149" s="131"/>
      <c r="GT149" s="131"/>
      <c r="GU149" s="131"/>
      <c r="GV149" s="131"/>
      <c r="GW149" s="131"/>
      <c r="GX149" s="131"/>
      <c r="GY149" s="131"/>
      <c r="GZ149" s="131"/>
      <c r="HA149" s="131"/>
      <c r="HB149" s="131"/>
      <c r="HC149" s="131"/>
      <c r="HD149" s="131"/>
      <c r="HE149" s="131"/>
      <c r="HF149" s="131"/>
      <c r="HG149" s="131"/>
      <c r="HH149" s="131"/>
      <c r="HI149" s="131"/>
      <c r="HJ149" s="131"/>
      <c r="HK149" s="131"/>
      <c r="HL149" s="131"/>
      <c r="HM149" s="131"/>
      <c r="HN149" s="131"/>
      <c r="HO149" s="131"/>
      <c r="HP149" s="131"/>
      <c r="HQ149" s="131"/>
      <c r="HR149" s="131"/>
      <c r="HS149" s="131"/>
      <c r="HT149" s="131"/>
      <c r="HU149" s="131"/>
      <c r="HV149" s="131"/>
      <c r="HW149" s="131"/>
      <c r="HX149" s="131"/>
      <c r="HY149" s="131"/>
      <c r="HZ149" s="131"/>
      <c r="IA149" s="131"/>
      <c r="IB149" s="131"/>
      <c r="IC149" s="131"/>
      <c r="ID149" s="131"/>
      <c r="IE149" s="131"/>
      <c r="IF149" s="131"/>
      <c r="IG149" s="131"/>
      <c r="IH149" s="131"/>
      <c r="II149" s="131"/>
      <c r="IJ149" s="131"/>
      <c r="IK149" s="131"/>
      <c r="IL149" s="131"/>
      <c r="IM149" s="131"/>
      <c r="IN149" s="131"/>
      <c r="IO149" s="131"/>
      <c r="IP149" s="131"/>
      <c r="IQ149" s="131"/>
      <c r="IR149" s="131"/>
      <c r="IS149" s="131"/>
      <c r="IT149" s="131"/>
      <c r="IU149" s="131"/>
      <c r="IV149" s="131"/>
      <c r="IW149" s="131"/>
      <c r="IX149" s="131"/>
      <c r="IY149" s="131"/>
      <c r="IZ149" s="131"/>
      <c r="JA149" s="131"/>
      <c r="JB149" s="131"/>
      <c r="JC149" s="131"/>
      <c r="JD149" s="131"/>
      <c r="JE149" s="131"/>
      <c r="JF149" s="131"/>
      <c r="JG149" s="131"/>
      <c r="JH149" s="131"/>
      <c r="JI149" s="131"/>
      <c r="JJ149" s="131"/>
      <c r="JK149" s="131"/>
      <c r="JL149" s="131"/>
      <c r="JM149" s="131"/>
      <c r="JN149" s="131"/>
      <c r="JO149" s="131"/>
      <c r="JP149" s="131"/>
      <c r="JQ149" s="131"/>
      <c r="JR149" s="131"/>
      <c r="JS149" s="131"/>
      <c r="JT149" s="131"/>
      <c r="JU149" s="131"/>
      <c r="JV149" s="131"/>
      <c r="JW149" s="131"/>
      <c r="JX149" s="131"/>
      <c r="JY149" s="131"/>
      <c r="JZ149" s="131"/>
      <c r="KA149" s="131"/>
      <c r="KB149" s="131"/>
      <c r="KC149" s="131"/>
      <c r="KD149" s="131"/>
      <c r="KE149" s="131"/>
      <c r="KF149" s="131"/>
      <c r="KG149" s="131"/>
      <c r="KH149" s="131"/>
      <c r="KI149" s="131"/>
      <c r="KJ149" s="131"/>
      <c r="KK149" s="131"/>
      <c r="KL149" s="131"/>
      <c r="KM149" s="131"/>
      <c r="KN149" s="131"/>
      <c r="KO149" s="131"/>
      <c r="KP149" s="131"/>
      <c r="KQ149" s="131"/>
      <c r="KR149" s="131"/>
      <c r="KS149" s="131"/>
      <c r="KT149" s="131"/>
      <c r="KU149" s="131"/>
      <c r="KV149" s="131"/>
      <c r="KW149" s="131"/>
      <c r="KX149" s="131"/>
      <c r="KY149" s="131"/>
      <c r="KZ149" s="131"/>
      <c r="LA149" s="131"/>
      <c r="LB149" s="131"/>
      <c r="LC149" s="131"/>
      <c r="LD149" s="131"/>
      <c r="LE149" s="131"/>
      <c r="LF149" s="131"/>
      <c r="LG149" s="131"/>
      <c r="LH149" s="131"/>
      <c r="LI149" s="131"/>
      <c r="LJ149" s="131"/>
      <c r="LK149" s="131"/>
      <c r="LL149" s="131"/>
      <c r="LM149" s="131"/>
      <c r="LN149" s="131"/>
      <c r="LO149" s="131"/>
      <c r="LP149" s="131"/>
      <c r="LQ149" s="131"/>
      <c r="LR149" s="131"/>
      <c r="LS149" s="131"/>
      <c r="LT149" s="131"/>
      <c r="LU149" s="131"/>
      <c r="LV149" s="131"/>
      <c r="LW149" s="131"/>
      <c r="LX149" s="131"/>
      <c r="LY149" s="131"/>
      <c r="LZ149" s="131"/>
      <c r="MA149" s="131"/>
      <c r="MB149" s="131"/>
      <c r="MC149" s="131"/>
      <c r="MD149" s="131"/>
      <c r="ME149" s="131"/>
      <c r="MF149" s="131"/>
      <c r="MG149" s="131"/>
      <c r="MH149" s="131"/>
      <c r="MI149" s="131"/>
      <c r="MJ149" s="131"/>
      <c r="MK149" s="131"/>
      <c r="ML149" s="131"/>
      <c r="MM149" s="131"/>
      <c r="MN149" s="131"/>
      <c r="MO149" s="131"/>
      <c r="MP149" s="131"/>
      <c r="MQ149" s="131"/>
      <c r="MR149" s="131"/>
      <c r="MS149" s="131"/>
      <c r="MT149" s="131"/>
      <c r="MU149" s="131"/>
      <c r="MV149" s="131"/>
      <c r="MW149" s="131"/>
      <c r="MX149" s="131"/>
      <c r="MY149" s="131"/>
      <c r="MZ149" s="131"/>
      <c r="NA149" s="131"/>
      <c r="NB149" s="131"/>
      <c r="NC149" s="131"/>
      <c r="ND149" s="131"/>
      <c r="NE149" s="131"/>
      <c r="NF149" s="131"/>
      <c r="NG149" s="131"/>
      <c r="NH149" s="131"/>
      <c r="NI149" s="131"/>
      <c r="NJ149" s="131"/>
      <c r="NK149" s="131"/>
      <c r="NL149" s="131"/>
      <c r="NM149" s="131"/>
      <c r="NN149" s="131"/>
      <c r="NO149" s="131"/>
      <c r="NP149" s="131"/>
      <c r="NQ149" s="131"/>
      <c r="NR149" s="131"/>
      <c r="NS149" s="131"/>
      <c r="NT149" s="131"/>
      <c r="NU149" s="131"/>
      <c r="NV149" s="131"/>
      <c r="NW149" s="24">
        <f t="shared" si="17"/>
        <v>0</v>
      </c>
      <c r="NX149" s="56" t="s">
        <v>36</v>
      </c>
      <c r="NY149" s="127">
        <v>191.01</v>
      </c>
      <c r="NZ149" s="78">
        <f t="shared" si="18"/>
        <v>191.01</v>
      </c>
      <c r="OA149" s="78">
        <v>102.19999999999999</v>
      </c>
      <c r="OB149" s="127">
        <f t="shared" si="19"/>
        <v>0</v>
      </c>
      <c r="OC149" s="153">
        <v>191.01</v>
      </c>
      <c r="OD149" s="108">
        <f t="shared" si="15"/>
        <v>1.8689823874755382</v>
      </c>
      <c r="OE149" s="160"/>
    </row>
    <row r="150" spans="1:395" s="5" customFormat="1" ht="12.75" customHeight="1" x14ac:dyDescent="0.25">
      <c r="A150" s="62">
        <v>44581</v>
      </c>
      <c r="B150" s="116" t="s">
        <v>46</v>
      </c>
      <c r="C150" s="129"/>
      <c r="D150" s="129"/>
      <c r="E150" s="130"/>
      <c r="F150" s="130"/>
      <c r="G150" s="130"/>
      <c r="H150" s="130"/>
      <c r="I150" s="130"/>
      <c r="J150" s="130"/>
      <c r="K150" s="130"/>
      <c r="L150" s="130"/>
      <c r="M150" s="131"/>
      <c r="N150" s="131"/>
      <c r="O150" s="131"/>
      <c r="P150" s="131"/>
      <c r="Q150" s="131"/>
      <c r="R150" s="131"/>
      <c r="S150" s="131"/>
      <c r="T150" s="131"/>
      <c r="U150" s="131"/>
      <c r="V150" s="131"/>
      <c r="W150" s="131"/>
      <c r="X150" s="131"/>
      <c r="Y150" s="131"/>
      <c r="Z150" s="131"/>
      <c r="AA150" s="131"/>
      <c r="AB150" s="131"/>
      <c r="AC150" s="131"/>
      <c r="AD150" s="131"/>
      <c r="AE150" s="131"/>
      <c r="AF150" s="131"/>
      <c r="AG150" s="131"/>
      <c r="AH150" s="131"/>
      <c r="AI150" s="131"/>
      <c r="AJ150" s="131"/>
      <c r="AK150" s="131"/>
      <c r="AL150" s="131"/>
      <c r="AM150" s="131"/>
      <c r="AN150" s="131"/>
      <c r="AO150" s="131"/>
      <c r="AP150" s="131"/>
      <c r="AQ150" s="131"/>
      <c r="AR150" s="131"/>
      <c r="AS150" s="131"/>
      <c r="AT150" s="131"/>
      <c r="AU150" s="131"/>
      <c r="AV150" s="131"/>
      <c r="AW150" s="131"/>
      <c r="AX150" s="131"/>
      <c r="AY150" s="131"/>
      <c r="AZ150" s="131"/>
      <c r="BA150" s="131"/>
      <c r="BB150" s="131"/>
      <c r="BC150" s="131"/>
      <c r="BD150" s="131"/>
      <c r="BE150" s="131"/>
      <c r="BF150" s="131"/>
      <c r="BG150" s="131"/>
      <c r="BH150" s="131"/>
      <c r="BI150" s="131"/>
      <c r="BJ150" s="131"/>
      <c r="BK150" s="131"/>
      <c r="BL150" s="131"/>
      <c r="BM150" s="131"/>
      <c r="BN150" s="131"/>
      <c r="BO150" s="131">
        <v>10</v>
      </c>
      <c r="BP150" s="131"/>
      <c r="BQ150" s="131"/>
      <c r="BR150" s="131"/>
      <c r="BS150" s="131"/>
      <c r="BT150" s="131"/>
      <c r="BU150" s="131"/>
      <c r="BV150" s="131"/>
      <c r="BW150" s="131"/>
      <c r="BX150" s="131"/>
      <c r="BY150" s="131"/>
      <c r="BZ150" s="131"/>
      <c r="CA150" s="131"/>
      <c r="CB150" s="131"/>
      <c r="CC150" s="131"/>
      <c r="CD150" s="131"/>
      <c r="CE150" s="131"/>
      <c r="CF150" s="131"/>
      <c r="CG150" s="131"/>
      <c r="CH150" s="131"/>
      <c r="CI150" s="131"/>
      <c r="CJ150" s="131"/>
      <c r="CK150" s="131"/>
      <c r="CL150" s="131"/>
      <c r="CM150" s="131"/>
      <c r="CN150" s="131"/>
      <c r="CO150" s="131"/>
      <c r="CP150" s="131"/>
      <c r="CQ150" s="131"/>
      <c r="CR150" s="131"/>
      <c r="CS150" s="131"/>
      <c r="CT150" s="131"/>
      <c r="CU150" s="131"/>
      <c r="CV150" s="131"/>
      <c r="CW150" s="131"/>
      <c r="CX150" s="131"/>
      <c r="CY150" s="131"/>
      <c r="CZ150" s="131"/>
      <c r="DA150" s="131"/>
      <c r="DB150" s="131"/>
      <c r="DC150" s="131"/>
      <c r="DD150" s="131"/>
      <c r="DE150" s="131"/>
      <c r="DF150" s="131"/>
      <c r="DG150" s="131"/>
      <c r="DH150" s="131"/>
      <c r="DI150" s="131"/>
      <c r="DJ150" s="131"/>
      <c r="DK150" s="131"/>
      <c r="DL150" s="131"/>
      <c r="DM150" s="131"/>
      <c r="DN150" s="131"/>
      <c r="DO150" s="131"/>
      <c r="DP150" s="131"/>
      <c r="DQ150" s="131"/>
      <c r="DR150" s="131"/>
      <c r="DS150" s="131"/>
      <c r="DT150" s="131"/>
      <c r="DU150" s="131"/>
      <c r="DV150" s="131"/>
      <c r="DW150" s="131"/>
      <c r="DX150" s="131"/>
      <c r="DY150" s="131"/>
      <c r="DZ150" s="131"/>
      <c r="EA150" s="131">
        <v>10</v>
      </c>
      <c r="EB150" s="131"/>
      <c r="EC150" s="131"/>
      <c r="ED150" s="131"/>
      <c r="EE150" s="131"/>
      <c r="EF150" s="131"/>
      <c r="EG150" s="131"/>
      <c r="EH150" s="131"/>
      <c r="EI150" s="131"/>
      <c r="EJ150" s="131"/>
      <c r="EK150" s="131"/>
      <c r="EL150" s="131"/>
      <c r="EM150" s="131"/>
      <c r="EN150" s="131"/>
      <c r="EO150" s="131"/>
      <c r="EP150" s="131"/>
      <c r="EQ150" s="131"/>
      <c r="ER150" s="131"/>
      <c r="ES150" s="131"/>
      <c r="ET150" s="131"/>
      <c r="EU150" s="131"/>
      <c r="EV150" s="131"/>
      <c r="EW150" s="131"/>
      <c r="EX150" s="131"/>
      <c r="EY150" s="131"/>
      <c r="EZ150" s="131"/>
      <c r="FA150" s="131"/>
      <c r="FB150" s="131"/>
      <c r="FC150" s="131"/>
      <c r="FD150" s="131"/>
      <c r="FE150" s="131"/>
      <c r="FF150" s="131"/>
      <c r="FG150" s="131"/>
      <c r="FH150" s="131"/>
      <c r="FI150" s="131"/>
      <c r="FJ150" s="131"/>
      <c r="FK150" s="131"/>
      <c r="FL150" s="131"/>
      <c r="FM150" s="131"/>
      <c r="FN150" s="131"/>
      <c r="FO150" s="131"/>
      <c r="FP150" s="131"/>
      <c r="FQ150" s="131"/>
      <c r="FR150" s="131"/>
      <c r="FS150" s="131"/>
      <c r="FT150" s="131"/>
      <c r="FU150" s="131"/>
      <c r="FV150" s="131"/>
      <c r="FW150" s="131"/>
      <c r="FX150" s="131"/>
      <c r="FY150" s="131"/>
      <c r="FZ150" s="131"/>
      <c r="GA150" s="131"/>
      <c r="GB150" s="131"/>
      <c r="GC150" s="131"/>
      <c r="GD150" s="131"/>
      <c r="GE150" s="131"/>
      <c r="GF150" s="131"/>
      <c r="GG150" s="131"/>
      <c r="GH150" s="131"/>
      <c r="GI150" s="131"/>
      <c r="GJ150" s="131"/>
      <c r="GK150" s="131"/>
      <c r="GL150" s="131"/>
      <c r="GM150" s="131"/>
      <c r="GN150" s="131"/>
      <c r="GO150" s="131"/>
      <c r="GP150" s="131"/>
      <c r="GQ150" s="131"/>
      <c r="GR150" s="131"/>
      <c r="GS150" s="131"/>
      <c r="GT150" s="131"/>
      <c r="GU150" s="131">
        <v>10</v>
      </c>
      <c r="GV150" s="131"/>
      <c r="GW150" s="131"/>
      <c r="GX150" s="131"/>
      <c r="GY150" s="131"/>
      <c r="GZ150" s="131"/>
      <c r="HA150" s="131"/>
      <c r="HB150" s="131"/>
      <c r="HC150" s="131"/>
      <c r="HD150" s="131"/>
      <c r="HE150" s="131"/>
      <c r="HF150" s="131"/>
      <c r="HG150" s="131"/>
      <c r="HH150" s="131"/>
      <c r="HI150" s="131"/>
      <c r="HJ150" s="131"/>
      <c r="HK150" s="131"/>
      <c r="HL150" s="131"/>
      <c r="HM150" s="131"/>
      <c r="HN150" s="131"/>
      <c r="HO150" s="131"/>
      <c r="HP150" s="131"/>
      <c r="HQ150" s="131"/>
      <c r="HR150" s="131"/>
      <c r="HS150" s="131"/>
      <c r="HT150" s="131"/>
      <c r="HU150" s="131"/>
      <c r="HV150" s="131"/>
      <c r="HW150" s="131"/>
      <c r="HX150" s="131"/>
      <c r="HY150" s="131"/>
      <c r="HZ150" s="131"/>
      <c r="IA150" s="131"/>
      <c r="IB150" s="131"/>
      <c r="IC150" s="131"/>
      <c r="ID150" s="131"/>
      <c r="IE150" s="131"/>
      <c r="IF150" s="131"/>
      <c r="IG150" s="131"/>
      <c r="IH150" s="131"/>
      <c r="II150" s="131"/>
      <c r="IJ150" s="131"/>
      <c r="IK150" s="131"/>
      <c r="IL150" s="131"/>
      <c r="IM150" s="131"/>
      <c r="IN150" s="131"/>
      <c r="IO150" s="131"/>
      <c r="IP150" s="131"/>
      <c r="IQ150" s="131"/>
      <c r="IR150" s="131"/>
      <c r="IS150" s="131"/>
      <c r="IT150" s="131"/>
      <c r="IU150" s="131"/>
      <c r="IV150" s="131"/>
      <c r="IW150" s="131"/>
      <c r="IX150" s="131"/>
      <c r="IY150" s="131"/>
      <c r="IZ150" s="131"/>
      <c r="JA150" s="131"/>
      <c r="JB150" s="131"/>
      <c r="JC150" s="131"/>
      <c r="JD150" s="131"/>
      <c r="JE150" s="131"/>
      <c r="JF150" s="131"/>
      <c r="JG150" s="131"/>
      <c r="JH150" s="131"/>
      <c r="JI150" s="131"/>
      <c r="JJ150" s="131"/>
      <c r="JK150" s="131"/>
      <c r="JL150" s="131"/>
      <c r="JM150" s="131"/>
      <c r="JN150" s="131"/>
      <c r="JO150" s="131"/>
      <c r="JP150" s="131"/>
      <c r="JQ150" s="131"/>
      <c r="JR150" s="131"/>
      <c r="JS150" s="131"/>
      <c r="JT150" s="131"/>
      <c r="JU150" s="131"/>
      <c r="JV150" s="131">
        <v>1</v>
      </c>
      <c r="JW150" s="131"/>
      <c r="JX150" s="131"/>
      <c r="JY150" s="131"/>
      <c r="JZ150" s="131"/>
      <c r="KA150" s="131"/>
      <c r="KB150" s="131"/>
      <c r="KC150" s="131"/>
      <c r="KD150" s="131"/>
      <c r="KE150" s="131"/>
      <c r="KF150" s="131"/>
      <c r="KG150" s="131"/>
      <c r="KH150" s="131"/>
      <c r="KI150" s="131"/>
      <c r="KJ150" s="131"/>
      <c r="KK150" s="131"/>
      <c r="KL150" s="131"/>
      <c r="KM150" s="131"/>
      <c r="KN150" s="131"/>
      <c r="KO150" s="131"/>
      <c r="KP150" s="131"/>
      <c r="KQ150" s="131"/>
      <c r="KR150" s="131"/>
      <c r="KS150" s="131"/>
      <c r="KT150" s="131"/>
      <c r="KU150" s="131"/>
      <c r="KV150" s="131"/>
      <c r="KW150" s="131"/>
      <c r="KX150" s="131"/>
      <c r="KY150" s="131"/>
      <c r="KZ150" s="131"/>
      <c r="LA150" s="131"/>
      <c r="LB150" s="131"/>
      <c r="LC150" s="131"/>
      <c r="LD150" s="131"/>
      <c r="LE150" s="131"/>
      <c r="LF150" s="131"/>
      <c r="LG150" s="131"/>
      <c r="LH150" s="131"/>
      <c r="LI150" s="131"/>
      <c r="LJ150" s="131"/>
      <c r="LK150" s="131"/>
      <c r="LL150" s="131"/>
      <c r="LM150" s="131"/>
      <c r="LN150" s="131"/>
      <c r="LO150" s="131"/>
      <c r="LP150" s="131"/>
      <c r="LQ150" s="131"/>
      <c r="LR150" s="131"/>
      <c r="LS150" s="131"/>
      <c r="LT150" s="131"/>
      <c r="LU150" s="131"/>
      <c r="LV150" s="131"/>
      <c r="LW150" s="131"/>
      <c r="LX150" s="131"/>
      <c r="LY150" s="131"/>
      <c r="LZ150" s="131"/>
      <c r="MA150" s="131"/>
      <c r="MB150" s="131"/>
      <c r="MC150" s="131"/>
      <c r="MD150" s="131"/>
      <c r="ME150" s="131"/>
      <c r="MF150" s="131"/>
      <c r="MG150" s="131"/>
      <c r="MH150" s="131"/>
      <c r="MI150" s="131"/>
      <c r="MJ150" s="131"/>
      <c r="MK150" s="131"/>
      <c r="ML150" s="131"/>
      <c r="MM150" s="131"/>
      <c r="MN150" s="131"/>
      <c r="MO150" s="131"/>
      <c r="MP150" s="131"/>
      <c r="MQ150" s="131"/>
      <c r="MR150" s="131"/>
      <c r="MS150" s="131"/>
      <c r="MT150" s="131"/>
      <c r="MU150" s="131"/>
      <c r="MV150" s="131"/>
      <c r="MW150" s="131"/>
      <c r="MX150" s="131"/>
      <c r="MY150" s="131"/>
      <c r="MZ150" s="131"/>
      <c r="NA150" s="131"/>
      <c r="NB150" s="131"/>
      <c r="NC150" s="131"/>
      <c r="ND150" s="131"/>
      <c r="NE150" s="131"/>
      <c r="NF150" s="131"/>
      <c r="NG150" s="131"/>
      <c r="NH150" s="131"/>
      <c r="NI150" s="131"/>
      <c r="NJ150" s="131"/>
      <c r="NK150" s="131"/>
      <c r="NL150" s="131"/>
      <c r="NM150" s="131"/>
      <c r="NN150" s="131"/>
      <c r="NO150" s="131"/>
      <c r="NP150" s="131"/>
      <c r="NQ150" s="131"/>
      <c r="NR150" s="131"/>
      <c r="NS150" s="131"/>
      <c r="NT150" s="131"/>
      <c r="NU150" s="131"/>
      <c r="NV150" s="131"/>
      <c r="NW150" s="24">
        <f t="shared" si="17"/>
        <v>31</v>
      </c>
      <c r="NX150" s="56" t="s">
        <v>36</v>
      </c>
      <c r="NY150" s="127">
        <v>1178.5899999999999</v>
      </c>
      <c r="NZ150" s="78">
        <f t="shared" si="18"/>
        <v>0</v>
      </c>
      <c r="OA150" s="78">
        <v>664.9</v>
      </c>
      <c r="OB150" s="127">
        <f t="shared" si="19"/>
        <v>1178.5899999999999</v>
      </c>
      <c r="OC150" s="153"/>
      <c r="OD150" s="108">
        <f t="shared" si="15"/>
        <v>1.7725823432095051</v>
      </c>
      <c r="OE150" s="160" t="s">
        <v>584</v>
      </c>
    </row>
    <row r="151" spans="1:395" s="5" customFormat="1" ht="12.75" customHeight="1" x14ac:dyDescent="0.25">
      <c r="A151" s="62">
        <v>44585</v>
      </c>
      <c r="B151" s="106" t="s">
        <v>352</v>
      </c>
      <c r="C151" s="129"/>
      <c r="D151" s="129"/>
      <c r="E151" s="130"/>
      <c r="F151" s="130"/>
      <c r="G151" s="130"/>
      <c r="H151" s="130"/>
      <c r="I151" s="130"/>
      <c r="J151" s="130"/>
      <c r="K151" s="130"/>
      <c r="L151" s="130"/>
      <c r="M151" s="131"/>
      <c r="N151" s="131"/>
      <c r="O151" s="131"/>
      <c r="P151" s="131"/>
      <c r="Q151" s="131"/>
      <c r="R151" s="131"/>
      <c r="S151" s="131"/>
      <c r="T151" s="131"/>
      <c r="U151" s="131"/>
      <c r="V151" s="131"/>
      <c r="W151" s="131"/>
      <c r="X151" s="131"/>
      <c r="Y151" s="131"/>
      <c r="Z151" s="131"/>
      <c r="AA151" s="131"/>
      <c r="AB151" s="131"/>
      <c r="AC151" s="131"/>
      <c r="AD151" s="131"/>
      <c r="AE151" s="131"/>
      <c r="AF151" s="131"/>
      <c r="AG151" s="131"/>
      <c r="AH151" s="131"/>
      <c r="AI151" s="131"/>
      <c r="AJ151" s="131"/>
      <c r="AK151" s="131"/>
      <c r="AL151" s="131"/>
      <c r="AM151" s="131"/>
      <c r="AN151" s="131"/>
      <c r="AO151" s="131"/>
      <c r="AP151" s="131"/>
      <c r="AQ151" s="131"/>
      <c r="AR151" s="131"/>
      <c r="AS151" s="131"/>
      <c r="AT151" s="131"/>
      <c r="AU151" s="131"/>
      <c r="AV151" s="131"/>
      <c r="AW151" s="131"/>
      <c r="AX151" s="131"/>
      <c r="AY151" s="131"/>
      <c r="AZ151" s="131"/>
      <c r="BA151" s="131"/>
      <c r="BB151" s="131"/>
      <c r="BC151" s="131"/>
      <c r="BD151" s="131"/>
      <c r="BE151" s="131"/>
      <c r="BF151" s="131"/>
      <c r="BG151" s="131"/>
      <c r="BH151" s="131"/>
      <c r="BI151" s="131"/>
      <c r="BJ151" s="131"/>
      <c r="BK151" s="131"/>
      <c r="BL151" s="131"/>
      <c r="BM151" s="131"/>
      <c r="BN151" s="131"/>
      <c r="BO151" s="131"/>
      <c r="BP151" s="131"/>
      <c r="BQ151" s="131"/>
      <c r="BR151" s="131"/>
      <c r="BS151" s="131"/>
      <c r="BT151" s="131"/>
      <c r="BU151" s="131"/>
      <c r="BV151" s="131"/>
      <c r="BW151" s="131"/>
      <c r="BX151" s="131">
        <v>1</v>
      </c>
      <c r="BY151" s="131"/>
      <c r="BZ151" s="131"/>
      <c r="CA151" s="131"/>
      <c r="CB151" s="131"/>
      <c r="CC151" s="131"/>
      <c r="CD151" s="131"/>
      <c r="CE151" s="131"/>
      <c r="CF151" s="131"/>
      <c r="CG151" s="131"/>
      <c r="CH151" s="131"/>
      <c r="CI151" s="131"/>
      <c r="CJ151" s="131"/>
      <c r="CK151" s="131"/>
      <c r="CL151" s="131"/>
      <c r="CM151" s="131"/>
      <c r="CN151" s="131"/>
      <c r="CO151" s="131"/>
      <c r="CP151" s="131"/>
      <c r="CQ151" s="131"/>
      <c r="CR151" s="131"/>
      <c r="CS151" s="131"/>
      <c r="CT151" s="131"/>
      <c r="CU151" s="131"/>
      <c r="CV151" s="131"/>
      <c r="CW151" s="131"/>
      <c r="CX151" s="131"/>
      <c r="CY151" s="131"/>
      <c r="CZ151" s="131"/>
      <c r="DA151" s="131"/>
      <c r="DB151" s="131"/>
      <c r="DC151" s="131"/>
      <c r="DD151" s="131"/>
      <c r="DE151" s="131"/>
      <c r="DF151" s="131"/>
      <c r="DG151" s="131"/>
      <c r="DH151" s="131"/>
      <c r="DI151" s="131"/>
      <c r="DJ151" s="131"/>
      <c r="DK151" s="131"/>
      <c r="DL151" s="131"/>
      <c r="DM151" s="131"/>
      <c r="DN151" s="131"/>
      <c r="DO151" s="131"/>
      <c r="DP151" s="131"/>
      <c r="DQ151" s="131"/>
      <c r="DR151" s="131"/>
      <c r="DS151" s="131"/>
      <c r="DT151" s="131"/>
      <c r="DU151" s="131"/>
      <c r="DV151" s="131"/>
      <c r="DW151" s="131"/>
      <c r="DX151" s="131"/>
      <c r="DY151" s="131"/>
      <c r="DZ151" s="131"/>
      <c r="EA151" s="131"/>
      <c r="EB151" s="131"/>
      <c r="EC151" s="131"/>
      <c r="ED151" s="131"/>
      <c r="EE151" s="131"/>
      <c r="EF151" s="131"/>
      <c r="EG151" s="131"/>
      <c r="EH151" s="131"/>
      <c r="EI151" s="131"/>
      <c r="EJ151" s="131"/>
      <c r="EK151" s="131"/>
      <c r="EL151" s="131"/>
      <c r="EM151" s="131"/>
      <c r="EN151" s="131"/>
      <c r="EO151" s="131"/>
      <c r="EP151" s="131"/>
      <c r="EQ151" s="131"/>
      <c r="ER151" s="131"/>
      <c r="ES151" s="131"/>
      <c r="ET151" s="131"/>
      <c r="EU151" s="131"/>
      <c r="EV151" s="131"/>
      <c r="EW151" s="131"/>
      <c r="EX151" s="131"/>
      <c r="EY151" s="131"/>
      <c r="EZ151" s="131"/>
      <c r="FA151" s="131"/>
      <c r="FB151" s="131"/>
      <c r="FC151" s="131"/>
      <c r="FD151" s="131"/>
      <c r="FE151" s="131"/>
      <c r="FF151" s="131"/>
      <c r="FG151" s="131"/>
      <c r="FH151" s="131"/>
      <c r="FI151" s="131"/>
      <c r="FJ151" s="131"/>
      <c r="FK151" s="131"/>
      <c r="FL151" s="131"/>
      <c r="FM151" s="131"/>
      <c r="FN151" s="131"/>
      <c r="FO151" s="131"/>
      <c r="FP151" s="131"/>
      <c r="FQ151" s="131"/>
      <c r="FR151" s="131"/>
      <c r="FS151" s="131"/>
      <c r="FT151" s="131"/>
      <c r="FU151" s="131"/>
      <c r="FV151" s="131"/>
      <c r="FW151" s="131"/>
      <c r="FX151" s="131"/>
      <c r="FY151" s="131"/>
      <c r="FZ151" s="131"/>
      <c r="GA151" s="131"/>
      <c r="GB151" s="131"/>
      <c r="GC151" s="131"/>
      <c r="GD151" s="131"/>
      <c r="GE151" s="131"/>
      <c r="GF151" s="131"/>
      <c r="GG151" s="131"/>
      <c r="GH151" s="131"/>
      <c r="GI151" s="131"/>
      <c r="GJ151" s="131"/>
      <c r="GK151" s="131"/>
      <c r="GL151" s="131"/>
      <c r="GM151" s="131"/>
      <c r="GN151" s="131"/>
      <c r="GO151" s="131"/>
      <c r="GP151" s="131"/>
      <c r="GQ151" s="131"/>
      <c r="GR151" s="131"/>
      <c r="GS151" s="131"/>
      <c r="GT151" s="131"/>
      <c r="GU151" s="131"/>
      <c r="GV151" s="131"/>
      <c r="GW151" s="131"/>
      <c r="GX151" s="131"/>
      <c r="GY151" s="131"/>
      <c r="GZ151" s="131"/>
      <c r="HA151" s="131"/>
      <c r="HB151" s="131"/>
      <c r="HC151" s="131"/>
      <c r="HD151" s="131"/>
      <c r="HE151" s="131"/>
      <c r="HF151" s="131"/>
      <c r="HG151" s="131"/>
      <c r="HH151" s="131"/>
      <c r="HI151" s="131"/>
      <c r="HJ151" s="131"/>
      <c r="HK151" s="131"/>
      <c r="HL151" s="131"/>
      <c r="HM151" s="131"/>
      <c r="HN151" s="131"/>
      <c r="HO151" s="131"/>
      <c r="HP151" s="131"/>
      <c r="HQ151" s="131"/>
      <c r="HR151" s="131"/>
      <c r="HS151" s="131"/>
      <c r="HT151" s="131"/>
      <c r="HU151" s="131"/>
      <c r="HV151" s="131"/>
      <c r="HW151" s="131"/>
      <c r="HX151" s="131"/>
      <c r="HY151" s="131"/>
      <c r="HZ151" s="131"/>
      <c r="IA151" s="131"/>
      <c r="IB151" s="131"/>
      <c r="IC151" s="131"/>
      <c r="ID151" s="131"/>
      <c r="IE151" s="131"/>
      <c r="IF151" s="131"/>
      <c r="IG151" s="131"/>
      <c r="IH151" s="131"/>
      <c r="II151" s="131"/>
      <c r="IJ151" s="131"/>
      <c r="IK151" s="131"/>
      <c r="IL151" s="131"/>
      <c r="IM151" s="131"/>
      <c r="IN151" s="131"/>
      <c r="IO151" s="131"/>
      <c r="IP151" s="131"/>
      <c r="IQ151" s="131"/>
      <c r="IR151" s="131"/>
      <c r="IS151" s="131"/>
      <c r="IT151" s="131"/>
      <c r="IU151" s="131"/>
      <c r="IV151" s="131"/>
      <c r="IW151" s="131"/>
      <c r="IX151" s="131"/>
      <c r="IY151" s="131"/>
      <c r="IZ151" s="131"/>
      <c r="JA151" s="131"/>
      <c r="JB151" s="131"/>
      <c r="JC151" s="131"/>
      <c r="JD151" s="131"/>
      <c r="JE151" s="131"/>
      <c r="JF151" s="131"/>
      <c r="JG151" s="131"/>
      <c r="JH151" s="131"/>
      <c r="JI151" s="131"/>
      <c r="JJ151" s="131"/>
      <c r="JK151" s="131"/>
      <c r="JL151" s="131"/>
      <c r="JM151" s="131"/>
      <c r="JN151" s="131"/>
      <c r="JO151" s="131"/>
      <c r="JP151" s="131"/>
      <c r="JQ151" s="131"/>
      <c r="JR151" s="131"/>
      <c r="JS151" s="131"/>
      <c r="JT151" s="131"/>
      <c r="JU151" s="131"/>
      <c r="JV151" s="131"/>
      <c r="JW151" s="131"/>
      <c r="JX151" s="131"/>
      <c r="JY151" s="131"/>
      <c r="JZ151" s="131"/>
      <c r="KA151" s="131"/>
      <c r="KB151" s="131"/>
      <c r="KC151" s="131"/>
      <c r="KD151" s="131"/>
      <c r="KE151" s="131"/>
      <c r="KF151" s="131"/>
      <c r="KG151" s="131"/>
      <c r="KH151" s="131"/>
      <c r="KI151" s="131"/>
      <c r="KJ151" s="131"/>
      <c r="KK151" s="131"/>
      <c r="KL151" s="131"/>
      <c r="KM151" s="131"/>
      <c r="KN151" s="131"/>
      <c r="KO151" s="131"/>
      <c r="KP151" s="131"/>
      <c r="KQ151" s="131"/>
      <c r="KR151" s="131"/>
      <c r="KS151" s="131"/>
      <c r="KT151" s="131"/>
      <c r="KU151" s="131"/>
      <c r="KV151" s="131"/>
      <c r="KW151" s="131"/>
      <c r="KX151" s="131"/>
      <c r="KY151" s="131"/>
      <c r="KZ151" s="131"/>
      <c r="LA151" s="131"/>
      <c r="LB151" s="131"/>
      <c r="LC151" s="131"/>
      <c r="LD151" s="131"/>
      <c r="LE151" s="131"/>
      <c r="LF151" s="131"/>
      <c r="LG151" s="131"/>
      <c r="LH151" s="131"/>
      <c r="LI151" s="131"/>
      <c r="LJ151" s="131"/>
      <c r="LK151" s="131"/>
      <c r="LL151" s="131"/>
      <c r="LM151" s="131"/>
      <c r="LN151" s="131"/>
      <c r="LO151" s="131"/>
      <c r="LP151" s="131"/>
      <c r="LQ151" s="131"/>
      <c r="LR151" s="131"/>
      <c r="LS151" s="131"/>
      <c r="LT151" s="131"/>
      <c r="LU151" s="131"/>
      <c r="LV151" s="131"/>
      <c r="LW151" s="131"/>
      <c r="LX151" s="131"/>
      <c r="LY151" s="131"/>
      <c r="LZ151" s="131"/>
      <c r="MA151" s="131"/>
      <c r="MB151" s="131"/>
      <c r="MC151" s="131"/>
      <c r="MD151" s="131"/>
      <c r="ME151" s="131"/>
      <c r="MF151" s="131"/>
      <c r="MG151" s="131"/>
      <c r="MH151" s="131"/>
      <c r="MI151" s="131"/>
      <c r="MJ151" s="131"/>
      <c r="MK151" s="131"/>
      <c r="ML151" s="131"/>
      <c r="MM151" s="131"/>
      <c r="MN151" s="131"/>
      <c r="MO151" s="131"/>
      <c r="MP151" s="131"/>
      <c r="MQ151" s="131"/>
      <c r="MR151" s="131"/>
      <c r="MS151" s="131"/>
      <c r="MT151" s="131"/>
      <c r="MU151" s="131"/>
      <c r="MV151" s="131"/>
      <c r="MW151" s="131"/>
      <c r="MX151" s="131"/>
      <c r="MY151" s="131"/>
      <c r="MZ151" s="131"/>
      <c r="NA151" s="131"/>
      <c r="NB151" s="131"/>
      <c r="NC151" s="131"/>
      <c r="ND151" s="131"/>
      <c r="NE151" s="131"/>
      <c r="NF151" s="131"/>
      <c r="NG151" s="131"/>
      <c r="NH151" s="131"/>
      <c r="NI151" s="131"/>
      <c r="NJ151" s="131"/>
      <c r="NK151" s="131"/>
      <c r="NL151" s="131">
        <v>100</v>
      </c>
      <c r="NM151" s="131"/>
      <c r="NN151" s="131"/>
      <c r="NO151" s="131"/>
      <c r="NP151" s="131"/>
      <c r="NQ151" s="131"/>
      <c r="NR151" s="131"/>
      <c r="NS151" s="131"/>
      <c r="NT151" s="131"/>
      <c r="NU151" s="131"/>
      <c r="NV151" s="131"/>
      <c r="NW151" s="24">
        <f t="shared" si="17"/>
        <v>101</v>
      </c>
      <c r="NX151" s="56" t="s">
        <v>72</v>
      </c>
      <c r="NY151" s="127">
        <v>4842.26</v>
      </c>
      <c r="NZ151" s="78">
        <f t="shared" si="18"/>
        <v>0</v>
      </c>
      <c r="OA151" s="78">
        <v>3549.36</v>
      </c>
      <c r="OB151" s="127">
        <f t="shared" si="19"/>
        <v>4842.26</v>
      </c>
      <c r="OC151" s="153"/>
      <c r="OD151" s="108">
        <f t="shared" si="15"/>
        <v>1.3642628530213898</v>
      </c>
      <c r="OE151" s="160" t="s">
        <v>581</v>
      </c>
    </row>
    <row r="152" spans="1:395" s="5" customFormat="1" ht="12.75" customHeight="1" x14ac:dyDescent="0.25">
      <c r="A152" s="62">
        <v>44585</v>
      </c>
      <c r="B152" s="106" t="s">
        <v>446</v>
      </c>
      <c r="C152" s="129"/>
      <c r="D152" s="129"/>
      <c r="E152" s="130"/>
      <c r="F152" s="130"/>
      <c r="G152" s="130"/>
      <c r="H152" s="130"/>
      <c r="I152" s="130"/>
      <c r="J152" s="130"/>
      <c r="K152" s="130"/>
      <c r="L152" s="130"/>
      <c r="M152" s="131"/>
      <c r="N152" s="131"/>
      <c r="O152" s="131"/>
      <c r="P152" s="131"/>
      <c r="Q152" s="131"/>
      <c r="R152" s="131"/>
      <c r="S152" s="131"/>
      <c r="T152" s="131"/>
      <c r="U152" s="131"/>
      <c r="V152" s="131"/>
      <c r="W152" s="131"/>
      <c r="X152" s="131"/>
      <c r="Y152" s="131"/>
      <c r="Z152" s="131"/>
      <c r="AA152" s="131"/>
      <c r="AB152" s="131"/>
      <c r="AC152" s="131"/>
      <c r="AD152" s="131"/>
      <c r="AE152" s="131"/>
      <c r="AF152" s="131"/>
      <c r="AG152" s="131"/>
      <c r="AH152" s="131"/>
      <c r="AI152" s="131"/>
      <c r="AJ152" s="131"/>
      <c r="AK152" s="131"/>
      <c r="AL152" s="131"/>
      <c r="AM152" s="131"/>
      <c r="AN152" s="131"/>
      <c r="AO152" s="131"/>
      <c r="AP152" s="131"/>
      <c r="AQ152" s="131"/>
      <c r="AR152" s="131">
        <v>1</v>
      </c>
      <c r="AS152" s="131"/>
      <c r="AT152" s="131"/>
      <c r="AU152" s="131"/>
      <c r="AV152" s="131"/>
      <c r="AW152" s="131"/>
      <c r="AX152" s="131"/>
      <c r="AY152" s="131"/>
      <c r="AZ152" s="131"/>
      <c r="BA152" s="131"/>
      <c r="BB152" s="131"/>
      <c r="BC152" s="131"/>
      <c r="BD152" s="131"/>
      <c r="BE152" s="131"/>
      <c r="BF152" s="131"/>
      <c r="BG152" s="131"/>
      <c r="BH152" s="131"/>
      <c r="BI152" s="131"/>
      <c r="BJ152" s="131"/>
      <c r="BK152" s="131"/>
      <c r="BL152" s="131"/>
      <c r="BM152" s="131"/>
      <c r="BN152" s="131"/>
      <c r="BO152" s="131"/>
      <c r="BP152" s="131"/>
      <c r="BQ152" s="131"/>
      <c r="BR152" s="131"/>
      <c r="BS152" s="131"/>
      <c r="BT152" s="131"/>
      <c r="BU152" s="131"/>
      <c r="BV152" s="131"/>
      <c r="BW152" s="131"/>
      <c r="BX152" s="131"/>
      <c r="BY152" s="131"/>
      <c r="BZ152" s="131"/>
      <c r="CA152" s="131"/>
      <c r="CB152" s="131"/>
      <c r="CC152" s="131"/>
      <c r="CD152" s="131"/>
      <c r="CE152" s="131"/>
      <c r="CF152" s="131"/>
      <c r="CG152" s="131"/>
      <c r="CH152" s="131"/>
      <c r="CI152" s="131"/>
      <c r="CJ152" s="131"/>
      <c r="CK152" s="131"/>
      <c r="CL152" s="131"/>
      <c r="CM152" s="131"/>
      <c r="CN152" s="131"/>
      <c r="CO152" s="131"/>
      <c r="CP152" s="131"/>
      <c r="CQ152" s="131"/>
      <c r="CR152" s="131"/>
      <c r="CS152" s="131"/>
      <c r="CT152" s="131"/>
      <c r="CU152" s="131"/>
      <c r="CV152" s="131"/>
      <c r="CW152" s="131"/>
      <c r="CX152" s="131"/>
      <c r="CY152" s="131"/>
      <c r="CZ152" s="131"/>
      <c r="DA152" s="131"/>
      <c r="DB152" s="131"/>
      <c r="DC152" s="131"/>
      <c r="DD152" s="131"/>
      <c r="DE152" s="131"/>
      <c r="DF152" s="131"/>
      <c r="DG152" s="131"/>
      <c r="DH152" s="131"/>
      <c r="DI152" s="131"/>
      <c r="DJ152" s="131"/>
      <c r="DK152" s="131"/>
      <c r="DL152" s="131"/>
      <c r="DM152" s="131"/>
      <c r="DN152" s="131"/>
      <c r="DO152" s="131"/>
      <c r="DP152" s="131"/>
      <c r="DQ152" s="131"/>
      <c r="DR152" s="131"/>
      <c r="DS152" s="131"/>
      <c r="DT152" s="131"/>
      <c r="DU152" s="131"/>
      <c r="DV152" s="131"/>
      <c r="DW152" s="131"/>
      <c r="DX152" s="131"/>
      <c r="DY152" s="131"/>
      <c r="DZ152" s="131"/>
      <c r="EA152" s="131"/>
      <c r="EB152" s="131"/>
      <c r="EC152" s="131"/>
      <c r="ED152" s="131"/>
      <c r="EE152" s="131"/>
      <c r="EF152" s="131"/>
      <c r="EG152" s="131"/>
      <c r="EH152" s="131"/>
      <c r="EI152" s="131"/>
      <c r="EJ152" s="131"/>
      <c r="EK152" s="131"/>
      <c r="EL152" s="131"/>
      <c r="EM152" s="131"/>
      <c r="EN152" s="131"/>
      <c r="EO152" s="131"/>
      <c r="EP152" s="131"/>
      <c r="EQ152" s="131"/>
      <c r="ER152" s="131"/>
      <c r="ES152" s="131"/>
      <c r="ET152" s="131"/>
      <c r="EU152" s="131"/>
      <c r="EV152" s="131"/>
      <c r="EW152" s="131"/>
      <c r="EX152" s="131"/>
      <c r="EY152" s="131"/>
      <c r="EZ152" s="131"/>
      <c r="FA152" s="131"/>
      <c r="FB152" s="131"/>
      <c r="FC152" s="131"/>
      <c r="FD152" s="131"/>
      <c r="FE152" s="131"/>
      <c r="FF152" s="131"/>
      <c r="FG152" s="131"/>
      <c r="FH152" s="131"/>
      <c r="FI152" s="131"/>
      <c r="FJ152" s="131"/>
      <c r="FK152" s="131"/>
      <c r="FL152" s="131"/>
      <c r="FM152" s="131"/>
      <c r="FN152" s="131"/>
      <c r="FO152" s="131"/>
      <c r="FP152" s="131"/>
      <c r="FQ152" s="131"/>
      <c r="FR152" s="131"/>
      <c r="FS152" s="131"/>
      <c r="FT152" s="131"/>
      <c r="FU152" s="131"/>
      <c r="FV152" s="131"/>
      <c r="FW152" s="131"/>
      <c r="FX152" s="131"/>
      <c r="FY152" s="131"/>
      <c r="FZ152" s="131"/>
      <c r="GA152" s="131"/>
      <c r="GB152" s="131"/>
      <c r="GC152" s="131"/>
      <c r="GD152" s="131"/>
      <c r="GE152" s="131"/>
      <c r="GF152" s="131"/>
      <c r="GG152" s="131"/>
      <c r="GH152" s="131"/>
      <c r="GI152" s="131"/>
      <c r="GJ152" s="131"/>
      <c r="GK152" s="131"/>
      <c r="GL152" s="131"/>
      <c r="GM152" s="131"/>
      <c r="GN152" s="131"/>
      <c r="GO152" s="131"/>
      <c r="GP152" s="131"/>
      <c r="GQ152" s="131"/>
      <c r="GR152" s="131"/>
      <c r="GS152" s="131"/>
      <c r="GT152" s="131"/>
      <c r="GU152" s="131"/>
      <c r="GV152" s="131"/>
      <c r="GW152" s="131"/>
      <c r="GX152" s="131"/>
      <c r="GY152" s="131"/>
      <c r="GZ152" s="131"/>
      <c r="HA152" s="131"/>
      <c r="HB152" s="131"/>
      <c r="HC152" s="131"/>
      <c r="HD152" s="131"/>
      <c r="HE152" s="131"/>
      <c r="HF152" s="131"/>
      <c r="HG152" s="131"/>
      <c r="HH152" s="131"/>
      <c r="HI152" s="131"/>
      <c r="HJ152" s="131"/>
      <c r="HK152" s="131"/>
      <c r="HL152" s="131"/>
      <c r="HM152" s="131"/>
      <c r="HN152" s="131"/>
      <c r="HO152" s="131"/>
      <c r="HP152" s="131"/>
      <c r="HQ152" s="131"/>
      <c r="HR152" s="131"/>
      <c r="HS152" s="131"/>
      <c r="HT152" s="131"/>
      <c r="HU152" s="131"/>
      <c r="HV152" s="131"/>
      <c r="HW152" s="131"/>
      <c r="HX152" s="131"/>
      <c r="HY152" s="131"/>
      <c r="HZ152" s="131"/>
      <c r="IA152" s="131"/>
      <c r="IB152" s="131"/>
      <c r="IC152" s="131"/>
      <c r="ID152" s="131"/>
      <c r="IE152" s="131"/>
      <c r="IF152" s="131"/>
      <c r="IG152" s="131"/>
      <c r="IH152" s="131"/>
      <c r="II152" s="131"/>
      <c r="IJ152" s="131"/>
      <c r="IK152" s="131"/>
      <c r="IL152" s="131"/>
      <c r="IM152" s="131"/>
      <c r="IN152" s="131"/>
      <c r="IO152" s="131"/>
      <c r="IP152" s="131"/>
      <c r="IQ152" s="131"/>
      <c r="IR152" s="131"/>
      <c r="IS152" s="131"/>
      <c r="IT152" s="131"/>
      <c r="IU152" s="131"/>
      <c r="IV152" s="131"/>
      <c r="IW152" s="131"/>
      <c r="IX152" s="131"/>
      <c r="IY152" s="131"/>
      <c r="IZ152" s="131"/>
      <c r="JA152" s="131"/>
      <c r="JB152" s="131"/>
      <c r="JC152" s="131"/>
      <c r="JD152" s="131"/>
      <c r="JE152" s="131"/>
      <c r="JF152" s="131"/>
      <c r="JG152" s="131"/>
      <c r="JH152" s="131"/>
      <c r="JI152" s="131"/>
      <c r="JJ152" s="131"/>
      <c r="JK152" s="131"/>
      <c r="JL152" s="131"/>
      <c r="JM152" s="131"/>
      <c r="JN152" s="131"/>
      <c r="JO152" s="131"/>
      <c r="JP152" s="131"/>
      <c r="JQ152" s="131"/>
      <c r="JR152" s="131"/>
      <c r="JS152" s="131"/>
      <c r="JT152" s="131"/>
      <c r="JU152" s="131"/>
      <c r="JV152" s="131"/>
      <c r="JW152" s="131"/>
      <c r="JX152" s="131"/>
      <c r="JY152" s="131"/>
      <c r="JZ152" s="131"/>
      <c r="KA152" s="131"/>
      <c r="KB152" s="131"/>
      <c r="KC152" s="131"/>
      <c r="KD152" s="131"/>
      <c r="KE152" s="131"/>
      <c r="KF152" s="131"/>
      <c r="KG152" s="131"/>
      <c r="KH152" s="131"/>
      <c r="KI152" s="131"/>
      <c r="KJ152" s="131"/>
      <c r="KK152" s="131"/>
      <c r="KL152" s="131"/>
      <c r="KM152" s="131"/>
      <c r="KN152" s="131"/>
      <c r="KO152" s="131"/>
      <c r="KP152" s="131"/>
      <c r="KQ152" s="131"/>
      <c r="KR152" s="131"/>
      <c r="KS152" s="131"/>
      <c r="KT152" s="131"/>
      <c r="KU152" s="131"/>
      <c r="KV152" s="131"/>
      <c r="KW152" s="131"/>
      <c r="KX152" s="131"/>
      <c r="KY152" s="131"/>
      <c r="KZ152" s="131"/>
      <c r="LA152" s="131"/>
      <c r="LB152" s="131"/>
      <c r="LC152" s="131"/>
      <c r="LD152" s="131"/>
      <c r="LE152" s="131"/>
      <c r="LF152" s="131"/>
      <c r="LG152" s="131"/>
      <c r="LH152" s="131"/>
      <c r="LI152" s="131"/>
      <c r="LJ152" s="131"/>
      <c r="LK152" s="131"/>
      <c r="LL152" s="131"/>
      <c r="LM152" s="131"/>
      <c r="LN152" s="131"/>
      <c r="LO152" s="131"/>
      <c r="LP152" s="131"/>
      <c r="LQ152" s="131"/>
      <c r="LR152" s="131"/>
      <c r="LS152" s="131"/>
      <c r="LT152" s="131"/>
      <c r="LU152" s="131"/>
      <c r="LV152" s="131"/>
      <c r="LW152" s="131"/>
      <c r="LX152" s="131"/>
      <c r="LY152" s="131"/>
      <c r="LZ152" s="131"/>
      <c r="MA152" s="131"/>
      <c r="MB152" s="131"/>
      <c r="MC152" s="131"/>
      <c r="MD152" s="131"/>
      <c r="ME152" s="131"/>
      <c r="MF152" s="131"/>
      <c r="MG152" s="131"/>
      <c r="MH152" s="131"/>
      <c r="MI152" s="131"/>
      <c r="MJ152" s="131"/>
      <c r="MK152" s="131"/>
      <c r="ML152" s="131"/>
      <c r="MM152" s="131"/>
      <c r="MN152" s="131"/>
      <c r="MO152" s="131"/>
      <c r="MP152" s="131"/>
      <c r="MQ152" s="131"/>
      <c r="MR152" s="131"/>
      <c r="MS152" s="131"/>
      <c r="MT152" s="131"/>
      <c r="MU152" s="131"/>
      <c r="MV152" s="131"/>
      <c r="MW152" s="131"/>
      <c r="MX152" s="131"/>
      <c r="MY152" s="131"/>
      <c r="MZ152" s="131"/>
      <c r="NA152" s="131"/>
      <c r="NB152" s="131"/>
      <c r="NC152" s="131"/>
      <c r="ND152" s="131"/>
      <c r="NE152" s="131"/>
      <c r="NF152" s="131"/>
      <c r="NG152" s="131"/>
      <c r="NH152" s="131"/>
      <c r="NI152" s="131"/>
      <c r="NJ152" s="131"/>
      <c r="NK152" s="131"/>
      <c r="NL152" s="131"/>
      <c r="NM152" s="131"/>
      <c r="NN152" s="131"/>
      <c r="NO152" s="131"/>
      <c r="NP152" s="131"/>
      <c r="NQ152" s="131"/>
      <c r="NR152" s="131"/>
      <c r="NS152" s="131"/>
      <c r="NT152" s="131"/>
      <c r="NU152" s="131"/>
      <c r="NV152" s="131"/>
      <c r="NW152" s="24">
        <f t="shared" si="17"/>
        <v>1</v>
      </c>
      <c r="NX152" s="56" t="s">
        <v>36</v>
      </c>
      <c r="NY152" s="127">
        <v>68.400000000000006</v>
      </c>
      <c r="NZ152" s="78">
        <f t="shared" si="18"/>
        <v>0</v>
      </c>
      <c r="OA152" s="78">
        <v>38.97</v>
      </c>
      <c r="OB152" s="127">
        <f t="shared" si="19"/>
        <v>68.400000000000006</v>
      </c>
      <c r="OC152" s="153"/>
      <c r="OD152" s="108">
        <f t="shared" si="15"/>
        <v>1.7551963048498846</v>
      </c>
      <c r="OE152" s="160" t="s">
        <v>581</v>
      </c>
    </row>
    <row r="153" spans="1:395" s="5" customFormat="1" ht="12.75" customHeight="1" x14ac:dyDescent="0.25">
      <c r="A153" s="62">
        <v>44585</v>
      </c>
      <c r="B153" s="106" t="s">
        <v>45</v>
      </c>
      <c r="C153" s="129"/>
      <c r="D153" s="129"/>
      <c r="E153" s="130"/>
      <c r="F153" s="130"/>
      <c r="G153" s="130"/>
      <c r="H153" s="130"/>
      <c r="I153" s="130"/>
      <c r="J153" s="130"/>
      <c r="K153" s="130"/>
      <c r="L153" s="130"/>
      <c r="M153" s="131"/>
      <c r="N153" s="131"/>
      <c r="O153" s="131"/>
      <c r="P153" s="131"/>
      <c r="Q153" s="131"/>
      <c r="R153" s="131"/>
      <c r="S153" s="131"/>
      <c r="T153" s="131"/>
      <c r="U153" s="131"/>
      <c r="V153" s="131"/>
      <c r="W153" s="131"/>
      <c r="X153" s="131"/>
      <c r="Y153" s="131"/>
      <c r="Z153" s="131"/>
      <c r="AA153" s="131"/>
      <c r="AB153" s="131"/>
      <c r="AC153" s="131"/>
      <c r="AD153" s="131"/>
      <c r="AE153" s="131"/>
      <c r="AF153" s="131"/>
      <c r="AG153" s="131"/>
      <c r="AH153" s="131"/>
      <c r="AI153" s="131"/>
      <c r="AJ153" s="131"/>
      <c r="AK153" s="131"/>
      <c r="AL153" s="131"/>
      <c r="AM153" s="131"/>
      <c r="AN153" s="131"/>
      <c r="AO153" s="131"/>
      <c r="AP153" s="131"/>
      <c r="AQ153" s="131"/>
      <c r="AR153" s="131"/>
      <c r="AS153" s="131"/>
      <c r="AT153" s="131"/>
      <c r="AU153" s="131"/>
      <c r="AV153" s="131"/>
      <c r="AW153" s="131"/>
      <c r="AX153" s="131"/>
      <c r="AY153" s="131"/>
      <c r="AZ153" s="131"/>
      <c r="BA153" s="131"/>
      <c r="BB153" s="131"/>
      <c r="BC153" s="131"/>
      <c r="BD153" s="131"/>
      <c r="BE153" s="131"/>
      <c r="BF153" s="131"/>
      <c r="BG153" s="131"/>
      <c r="BH153" s="131"/>
      <c r="BI153" s="131"/>
      <c r="BJ153" s="131"/>
      <c r="BK153" s="131"/>
      <c r="BL153" s="131"/>
      <c r="BM153" s="131"/>
      <c r="BN153" s="131"/>
      <c r="BO153" s="131"/>
      <c r="BP153" s="131"/>
      <c r="BQ153" s="131"/>
      <c r="BR153" s="131"/>
      <c r="BS153" s="131"/>
      <c r="BT153" s="131"/>
      <c r="BU153" s="131"/>
      <c r="BV153" s="131"/>
      <c r="BW153" s="131"/>
      <c r="BX153" s="131"/>
      <c r="BY153" s="131"/>
      <c r="BZ153" s="131"/>
      <c r="CA153" s="131"/>
      <c r="CB153" s="131"/>
      <c r="CC153" s="131"/>
      <c r="CD153" s="131"/>
      <c r="CE153" s="131"/>
      <c r="CF153" s="131"/>
      <c r="CG153" s="131"/>
      <c r="CH153" s="131"/>
      <c r="CI153" s="131"/>
      <c r="CJ153" s="131"/>
      <c r="CK153" s="131"/>
      <c r="CL153" s="131"/>
      <c r="CM153" s="131"/>
      <c r="CN153" s="131"/>
      <c r="CO153" s="131"/>
      <c r="CP153" s="131"/>
      <c r="CQ153" s="131"/>
      <c r="CR153" s="131"/>
      <c r="CS153" s="131"/>
      <c r="CT153" s="131"/>
      <c r="CU153" s="131"/>
      <c r="CV153" s="131"/>
      <c r="CW153" s="131"/>
      <c r="CX153" s="131"/>
      <c r="CY153" s="131"/>
      <c r="CZ153" s="131"/>
      <c r="DA153" s="131"/>
      <c r="DB153" s="131"/>
      <c r="DC153" s="131"/>
      <c r="DD153" s="131"/>
      <c r="DE153" s="131"/>
      <c r="DF153" s="131"/>
      <c r="DG153" s="131"/>
      <c r="DH153" s="131"/>
      <c r="DI153" s="131"/>
      <c r="DJ153" s="131"/>
      <c r="DK153" s="131"/>
      <c r="DL153" s="131"/>
      <c r="DM153" s="131"/>
      <c r="DN153" s="131"/>
      <c r="DO153" s="131"/>
      <c r="DP153" s="131"/>
      <c r="DQ153" s="131"/>
      <c r="DR153" s="131"/>
      <c r="DS153" s="131"/>
      <c r="DT153" s="131"/>
      <c r="DU153" s="131"/>
      <c r="DV153" s="131"/>
      <c r="DW153" s="131"/>
      <c r="DX153" s="131"/>
      <c r="DY153" s="131"/>
      <c r="DZ153" s="131"/>
      <c r="EA153" s="131"/>
      <c r="EB153" s="131"/>
      <c r="EC153" s="131"/>
      <c r="ED153" s="131"/>
      <c r="EE153" s="131"/>
      <c r="EF153" s="131"/>
      <c r="EG153" s="131"/>
      <c r="EH153" s="131"/>
      <c r="EI153" s="131"/>
      <c r="EJ153" s="131"/>
      <c r="EK153" s="131"/>
      <c r="EL153" s="131"/>
      <c r="EM153" s="131"/>
      <c r="EN153" s="131"/>
      <c r="EO153" s="131"/>
      <c r="EP153" s="131"/>
      <c r="EQ153" s="131"/>
      <c r="ER153" s="131"/>
      <c r="ES153" s="131"/>
      <c r="ET153" s="131"/>
      <c r="EU153" s="131"/>
      <c r="EV153" s="131"/>
      <c r="EW153" s="131"/>
      <c r="EX153" s="131"/>
      <c r="EY153" s="131"/>
      <c r="EZ153" s="131"/>
      <c r="FA153" s="131"/>
      <c r="FB153" s="131"/>
      <c r="FC153" s="131"/>
      <c r="FD153" s="131"/>
      <c r="FE153" s="131"/>
      <c r="FF153" s="131"/>
      <c r="FG153" s="131"/>
      <c r="FH153" s="131"/>
      <c r="FI153" s="131"/>
      <c r="FJ153" s="131"/>
      <c r="FK153" s="131"/>
      <c r="FL153" s="131"/>
      <c r="FM153" s="131"/>
      <c r="FN153" s="131"/>
      <c r="FO153" s="131"/>
      <c r="FP153" s="131"/>
      <c r="FQ153" s="131"/>
      <c r="FR153" s="131">
        <v>21</v>
      </c>
      <c r="FS153" s="131"/>
      <c r="FT153" s="131"/>
      <c r="FU153" s="131"/>
      <c r="FV153" s="131"/>
      <c r="FW153" s="131"/>
      <c r="FX153" s="131"/>
      <c r="FY153" s="131"/>
      <c r="FZ153" s="131"/>
      <c r="GA153" s="131"/>
      <c r="GB153" s="131"/>
      <c r="GC153" s="131"/>
      <c r="GD153" s="131"/>
      <c r="GE153" s="131"/>
      <c r="GF153" s="131"/>
      <c r="GG153" s="131"/>
      <c r="GH153" s="131"/>
      <c r="GI153" s="131"/>
      <c r="GJ153" s="131"/>
      <c r="GK153" s="131"/>
      <c r="GL153" s="131"/>
      <c r="GM153" s="131"/>
      <c r="GN153" s="131"/>
      <c r="GO153" s="131"/>
      <c r="GP153" s="131"/>
      <c r="GQ153" s="131"/>
      <c r="GR153" s="131"/>
      <c r="GS153" s="131"/>
      <c r="GT153" s="131"/>
      <c r="GU153" s="131"/>
      <c r="GV153" s="131"/>
      <c r="GW153" s="131"/>
      <c r="GX153" s="131"/>
      <c r="GY153" s="131"/>
      <c r="GZ153" s="131"/>
      <c r="HA153" s="131"/>
      <c r="HB153" s="131"/>
      <c r="HC153" s="131"/>
      <c r="HD153" s="131"/>
      <c r="HE153" s="131"/>
      <c r="HF153" s="131"/>
      <c r="HG153" s="131"/>
      <c r="HH153" s="131"/>
      <c r="HI153" s="131"/>
      <c r="HJ153" s="131"/>
      <c r="HK153" s="131"/>
      <c r="HL153" s="131"/>
      <c r="HM153" s="131"/>
      <c r="HN153" s="131"/>
      <c r="HO153" s="131"/>
      <c r="HP153" s="131"/>
      <c r="HQ153" s="131"/>
      <c r="HR153" s="131"/>
      <c r="HS153" s="131">
        <v>1.1000000000000001</v>
      </c>
      <c r="HT153" s="131"/>
      <c r="HU153" s="131"/>
      <c r="HV153" s="131"/>
      <c r="HW153" s="131"/>
      <c r="HX153" s="131"/>
      <c r="HY153" s="131">
        <v>1</v>
      </c>
      <c r="HZ153" s="131"/>
      <c r="IA153" s="131"/>
      <c r="IB153" s="131"/>
      <c r="IC153" s="131"/>
      <c r="ID153" s="131"/>
      <c r="IE153" s="131"/>
      <c r="IF153" s="131"/>
      <c r="IG153" s="131"/>
      <c r="IH153" s="131"/>
      <c r="II153" s="131"/>
      <c r="IJ153" s="131">
        <v>20</v>
      </c>
      <c r="IK153" s="131"/>
      <c r="IL153" s="131"/>
      <c r="IM153" s="131"/>
      <c r="IN153" s="131"/>
      <c r="IO153" s="131"/>
      <c r="IP153" s="131"/>
      <c r="IQ153" s="131"/>
      <c r="IR153" s="131"/>
      <c r="IS153" s="131"/>
      <c r="IT153" s="131"/>
      <c r="IU153" s="131"/>
      <c r="IV153" s="131"/>
      <c r="IW153" s="131"/>
      <c r="IX153" s="131"/>
      <c r="IY153" s="131"/>
      <c r="IZ153" s="131"/>
      <c r="JA153" s="131"/>
      <c r="JB153" s="131"/>
      <c r="JC153" s="131"/>
      <c r="JD153" s="131"/>
      <c r="JE153" s="131"/>
      <c r="JF153" s="131"/>
      <c r="JG153" s="131"/>
      <c r="JH153" s="131"/>
      <c r="JI153" s="131"/>
      <c r="JJ153" s="131"/>
      <c r="JK153" s="131"/>
      <c r="JL153" s="131"/>
      <c r="JM153" s="131"/>
      <c r="JN153" s="131"/>
      <c r="JO153" s="131"/>
      <c r="JP153" s="131"/>
      <c r="JQ153" s="131"/>
      <c r="JR153" s="131"/>
      <c r="JS153" s="131"/>
      <c r="JT153" s="131"/>
      <c r="JU153" s="131"/>
      <c r="JV153" s="131"/>
      <c r="JW153" s="131"/>
      <c r="JX153" s="131"/>
      <c r="JY153" s="131"/>
      <c r="JZ153" s="131"/>
      <c r="KA153" s="131"/>
      <c r="KB153" s="131"/>
      <c r="KC153" s="131"/>
      <c r="KD153" s="131"/>
      <c r="KE153" s="131"/>
      <c r="KF153" s="131"/>
      <c r="KG153" s="131"/>
      <c r="KH153" s="131"/>
      <c r="KI153" s="131"/>
      <c r="KJ153" s="131"/>
      <c r="KK153" s="131"/>
      <c r="KL153" s="131"/>
      <c r="KM153" s="131"/>
      <c r="KN153" s="131"/>
      <c r="KO153" s="131"/>
      <c r="KP153" s="131"/>
      <c r="KQ153" s="131"/>
      <c r="KR153" s="131"/>
      <c r="KS153" s="131"/>
      <c r="KT153" s="131"/>
      <c r="KU153" s="131"/>
      <c r="KV153" s="131"/>
      <c r="KW153" s="131"/>
      <c r="KX153" s="131"/>
      <c r="KY153" s="131"/>
      <c r="KZ153" s="131"/>
      <c r="LA153" s="131"/>
      <c r="LB153" s="131"/>
      <c r="LC153" s="131"/>
      <c r="LD153" s="131"/>
      <c r="LE153" s="131"/>
      <c r="LF153" s="131"/>
      <c r="LG153" s="131"/>
      <c r="LH153" s="131"/>
      <c r="LI153" s="131"/>
      <c r="LJ153" s="131"/>
      <c r="LK153" s="131"/>
      <c r="LL153" s="131"/>
      <c r="LM153" s="131"/>
      <c r="LN153" s="131"/>
      <c r="LO153" s="131"/>
      <c r="LP153" s="131"/>
      <c r="LQ153" s="131"/>
      <c r="LR153" s="131"/>
      <c r="LS153" s="131"/>
      <c r="LT153" s="131"/>
      <c r="LU153" s="131"/>
      <c r="LV153" s="131"/>
      <c r="LW153" s="131"/>
      <c r="LX153" s="131"/>
      <c r="LY153" s="131"/>
      <c r="LZ153" s="131"/>
      <c r="MA153" s="131"/>
      <c r="MB153" s="131"/>
      <c r="MC153" s="131"/>
      <c r="MD153" s="131"/>
      <c r="ME153" s="131"/>
      <c r="MF153" s="131"/>
      <c r="MG153" s="131"/>
      <c r="MH153" s="131"/>
      <c r="MI153" s="131"/>
      <c r="MJ153" s="131"/>
      <c r="MK153" s="131"/>
      <c r="ML153" s="131"/>
      <c r="MM153" s="131"/>
      <c r="MN153" s="131"/>
      <c r="MO153" s="131"/>
      <c r="MP153" s="131"/>
      <c r="MQ153" s="131"/>
      <c r="MR153" s="131"/>
      <c r="MS153" s="131"/>
      <c r="MT153" s="131"/>
      <c r="MU153" s="131"/>
      <c r="MV153" s="131"/>
      <c r="MW153" s="131"/>
      <c r="MX153" s="131"/>
      <c r="MY153" s="131"/>
      <c r="MZ153" s="131"/>
      <c r="NA153" s="131"/>
      <c r="NB153" s="131"/>
      <c r="NC153" s="131"/>
      <c r="ND153" s="131"/>
      <c r="NE153" s="131"/>
      <c r="NF153" s="131"/>
      <c r="NG153" s="131"/>
      <c r="NH153" s="131"/>
      <c r="NI153" s="131"/>
      <c r="NJ153" s="131"/>
      <c r="NK153" s="131"/>
      <c r="NL153" s="131"/>
      <c r="NM153" s="131"/>
      <c r="NN153" s="131"/>
      <c r="NO153" s="131"/>
      <c r="NP153" s="131"/>
      <c r="NQ153" s="131"/>
      <c r="NR153" s="131"/>
      <c r="NS153" s="131"/>
      <c r="NT153" s="131"/>
      <c r="NU153" s="131"/>
      <c r="NV153" s="131"/>
      <c r="NW153" s="24">
        <f t="shared" si="17"/>
        <v>43.1</v>
      </c>
      <c r="NX153" s="56" t="s">
        <v>36</v>
      </c>
      <c r="NY153" s="127">
        <v>3775.88</v>
      </c>
      <c r="NZ153" s="78">
        <f t="shared" si="18"/>
        <v>0</v>
      </c>
      <c r="OA153" s="78">
        <v>1709.8399999999997</v>
      </c>
      <c r="OB153" s="127">
        <f t="shared" si="19"/>
        <v>3775.88</v>
      </c>
      <c r="OC153" s="153"/>
      <c r="OD153" s="108">
        <f t="shared" si="15"/>
        <v>2.2083235858325931</v>
      </c>
      <c r="OE153" s="160" t="s">
        <v>582</v>
      </c>
    </row>
    <row r="154" spans="1:395" s="5" customFormat="1" ht="12.75" hidden="1" customHeight="1" x14ac:dyDescent="0.25">
      <c r="A154" s="62">
        <v>44586</v>
      </c>
      <c r="B154" s="187" t="s">
        <v>407</v>
      </c>
      <c r="C154" s="129"/>
      <c r="D154" s="129"/>
      <c r="E154" s="130"/>
      <c r="F154" s="130"/>
      <c r="G154" s="130"/>
      <c r="H154" s="130"/>
      <c r="I154" s="130"/>
      <c r="J154" s="130"/>
      <c r="K154" s="130"/>
      <c r="L154" s="130"/>
      <c r="M154" s="131"/>
      <c r="N154" s="131"/>
      <c r="O154" s="131"/>
      <c r="P154" s="131"/>
      <c r="Q154" s="131"/>
      <c r="R154" s="131"/>
      <c r="S154" s="131"/>
      <c r="T154" s="131"/>
      <c r="U154" s="131"/>
      <c r="V154" s="131"/>
      <c r="W154" s="131"/>
      <c r="X154" s="131"/>
      <c r="Y154" s="131"/>
      <c r="Z154" s="131"/>
      <c r="AA154" s="131"/>
      <c r="AB154" s="131"/>
      <c r="AC154" s="131"/>
      <c r="AD154" s="131"/>
      <c r="AE154" s="131"/>
      <c r="AF154" s="131"/>
      <c r="AG154" s="131"/>
      <c r="AH154" s="131"/>
      <c r="AI154" s="131"/>
      <c r="AJ154" s="131"/>
      <c r="AK154" s="131"/>
      <c r="AL154" s="131"/>
      <c r="AM154" s="131"/>
      <c r="AN154" s="131"/>
      <c r="AO154" s="131"/>
      <c r="AP154" s="131"/>
      <c r="AQ154" s="131"/>
      <c r="AR154" s="131"/>
      <c r="AS154" s="131"/>
      <c r="AT154" s="131"/>
      <c r="AU154" s="131"/>
      <c r="AV154" s="131"/>
      <c r="AW154" s="131"/>
      <c r="AX154" s="131"/>
      <c r="AY154" s="131"/>
      <c r="AZ154" s="131"/>
      <c r="BA154" s="131"/>
      <c r="BB154" s="131"/>
      <c r="BC154" s="131"/>
      <c r="BD154" s="131"/>
      <c r="BE154" s="131"/>
      <c r="BF154" s="131"/>
      <c r="BG154" s="131"/>
      <c r="BH154" s="131"/>
      <c r="BI154" s="131"/>
      <c r="BJ154" s="131"/>
      <c r="BK154" s="131"/>
      <c r="BL154" s="131"/>
      <c r="BM154" s="131"/>
      <c r="BN154" s="131"/>
      <c r="BO154" s="131"/>
      <c r="BP154" s="131"/>
      <c r="BQ154" s="131"/>
      <c r="BR154" s="131"/>
      <c r="BS154" s="131"/>
      <c r="BT154" s="131"/>
      <c r="BU154" s="131"/>
      <c r="BV154" s="131"/>
      <c r="BW154" s="131"/>
      <c r="BX154" s="131"/>
      <c r="BY154" s="131"/>
      <c r="BZ154" s="131"/>
      <c r="CA154" s="131"/>
      <c r="CB154" s="131"/>
      <c r="CC154" s="131"/>
      <c r="CD154" s="131"/>
      <c r="CE154" s="131"/>
      <c r="CF154" s="131"/>
      <c r="CG154" s="131"/>
      <c r="CH154" s="131"/>
      <c r="CI154" s="131"/>
      <c r="CJ154" s="131"/>
      <c r="CK154" s="131"/>
      <c r="CL154" s="131"/>
      <c r="CM154" s="131"/>
      <c r="CN154" s="131"/>
      <c r="CO154" s="131"/>
      <c r="CP154" s="131"/>
      <c r="CQ154" s="131"/>
      <c r="CR154" s="131"/>
      <c r="CS154" s="131"/>
      <c r="CT154" s="131"/>
      <c r="CU154" s="131"/>
      <c r="CV154" s="131"/>
      <c r="CW154" s="131"/>
      <c r="CX154" s="131"/>
      <c r="CY154" s="131"/>
      <c r="CZ154" s="131"/>
      <c r="DA154" s="131"/>
      <c r="DB154" s="131"/>
      <c r="DC154" s="131"/>
      <c r="DD154" s="131"/>
      <c r="DE154" s="131"/>
      <c r="DF154" s="131"/>
      <c r="DG154" s="131"/>
      <c r="DH154" s="131"/>
      <c r="DI154" s="131"/>
      <c r="DJ154" s="131"/>
      <c r="DK154" s="131"/>
      <c r="DL154" s="131"/>
      <c r="DM154" s="131"/>
      <c r="DN154" s="131"/>
      <c r="DO154" s="131"/>
      <c r="DP154" s="131"/>
      <c r="DQ154" s="131"/>
      <c r="DR154" s="131"/>
      <c r="DS154" s="131"/>
      <c r="DT154" s="131"/>
      <c r="DU154" s="131"/>
      <c r="DV154" s="131"/>
      <c r="DW154" s="131"/>
      <c r="DX154" s="131"/>
      <c r="DY154" s="131"/>
      <c r="DZ154" s="131"/>
      <c r="EA154" s="131"/>
      <c r="EB154" s="131"/>
      <c r="EC154" s="131"/>
      <c r="ED154" s="131"/>
      <c r="EE154" s="131"/>
      <c r="EF154" s="131"/>
      <c r="EG154" s="131"/>
      <c r="EH154" s="131"/>
      <c r="EI154" s="131"/>
      <c r="EJ154" s="131"/>
      <c r="EK154" s="131"/>
      <c r="EL154" s="131"/>
      <c r="EM154" s="131"/>
      <c r="EN154" s="131"/>
      <c r="EO154" s="131"/>
      <c r="EP154" s="131"/>
      <c r="EQ154" s="131"/>
      <c r="ER154" s="131"/>
      <c r="ES154" s="131"/>
      <c r="ET154" s="131"/>
      <c r="EU154" s="131"/>
      <c r="EV154" s="131"/>
      <c r="EW154" s="131"/>
      <c r="EX154" s="131"/>
      <c r="EY154" s="131"/>
      <c r="EZ154" s="131"/>
      <c r="FA154" s="131"/>
      <c r="FB154" s="131"/>
      <c r="FC154" s="131"/>
      <c r="FD154" s="131"/>
      <c r="FE154" s="131"/>
      <c r="FF154" s="131"/>
      <c r="FG154" s="131"/>
      <c r="FH154" s="131"/>
      <c r="FI154" s="131"/>
      <c r="FJ154" s="131"/>
      <c r="FK154" s="131"/>
      <c r="FL154" s="131"/>
      <c r="FM154" s="131"/>
      <c r="FN154" s="131"/>
      <c r="FO154" s="131"/>
      <c r="FP154" s="131"/>
      <c r="FQ154" s="131"/>
      <c r="FR154" s="131"/>
      <c r="FS154" s="131"/>
      <c r="FT154" s="131"/>
      <c r="FU154" s="131"/>
      <c r="FV154" s="131"/>
      <c r="FW154" s="131"/>
      <c r="FX154" s="131"/>
      <c r="FY154" s="131"/>
      <c r="FZ154" s="131"/>
      <c r="GA154" s="131"/>
      <c r="GB154" s="131"/>
      <c r="GC154" s="131"/>
      <c r="GD154" s="131"/>
      <c r="GE154" s="131"/>
      <c r="GF154" s="131"/>
      <c r="GG154" s="131"/>
      <c r="GH154" s="131"/>
      <c r="GI154" s="131"/>
      <c r="GJ154" s="131"/>
      <c r="GK154" s="131"/>
      <c r="GL154" s="131"/>
      <c r="GM154" s="131"/>
      <c r="GN154" s="131"/>
      <c r="GO154" s="131"/>
      <c r="GP154" s="131"/>
      <c r="GQ154" s="131"/>
      <c r="GR154" s="131"/>
      <c r="GS154" s="131"/>
      <c r="GT154" s="131"/>
      <c r="GU154" s="131"/>
      <c r="GV154" s="131"/>
      <c r="GW154" s="131"/>
      <c r="GX154" s="131"/>
      <c r="GY154" s="131"/>
      <c r="GZ154" s="131"/>
      <c r="HA154" s="131"/>
      <c r="HB154" s="131"/>
      <c r="HC154" s="131"/>
      <c r="HD154" s="131"/>
      <c r="HE154" s="131"/>
      <c r="HF154" s="131"/>
      <c r="HG154" s="131"/>
      <c r="HH154" s="131"/>
      <c r="HI154" s="131"/>
      <c r="HJ154" s="131"/>
      <c r="HK154" s="131"/>
      <c r="HL154" s="131"/>
      <c r="HM154" s="131"/>
      <c r="HN154" s="131"/>
      <c r="HO154" s="131"/>
      <c r="HP154" s="131"/>
      <c r="HQ154" s="131"/>
      <c r="HR154" s="131"/>
      <c r="HS154" s="131"/>
      <c r="HT154" s="131"/>
      <c r="HU154" s="131"/>
      <c r="HV154" s="131"/>
      <c r="HW154" s="131"/>
      <c r="HX154" s="131"/>
      <c r="HY154" s="131"/>
      <c r="HZ154" s="131"/>
      <c r="IA154" s="131"/>
      <c r="IB154" s="131"/>
      <c r="IC154" s="131"/>
      <c r="ID154" s="131"/>
      <c r="IE154" s="131"/>
      <c r="IF154" s="131"/>
      <c r="IG154" s="131"/>
      <c r="IH154" s="131"/>
      <c r="II154" s="131"/>
      <c r="IJ154" s="131"/>
      <c r="IK154" s="131"/>
      <c r="IL154" s="131"/>
      <c r="IM154" s="131"/>
      <c r="IN154" s="131"/>
      <c r="IO154" s="131"/>
      <c r="IP154" s="131"/>
      <c r="IQ154" s="131"/>
      <c r="IR154" s="131"/>
      <c r="IS154" s="131"/>
      <c r="IT154" s="131"/>
      <c r="IU154" s="131"/>
      <c r="IV154" s="131"/>
      <c r="IW154" s="131"/>
      <c r="IX154" s="131"/>
      <c r="IY154" s="131"/>
      <c r="IZ154" s="131"/>
      <c r="JA154" s="131"/>
      <c r="JB154" s="131"/>
      <c r="JC154" s="131"/>
      <c r="JD154" s="131"/>
      <c r="JE154" s="131"/>
      <c r="JF154" s="131"/>
      <c r="JG154" s="131"/>
      <c r="JH154" s="131"/>
      <c r="JI154" s="131"/>
      <c r="JJ154" s="131"/>
      <c r="JK154" s="131"/>
      <c r="JL154" s="131"/>
      <c r="JM154" s="131"/>
      <c r="JN154" s="131"/>
      <c r="JO154" s="131"/>
      <c r="JP154" s="131"/>
      <c r="JQ154" s="131"/>
      <c r="JR154" s="131"/>
      <c r="JS154" s="131"/>
      <c r="JT154" s="131"/>
      <c r="JU154" s="131"/>
      <c r="JV154" s="131"/>
      <c r="JW154" s="131"/>
      <c r="JX154" s="131"/>
      <c r="JY154" s="131"/>
      <c r="JZ154" s="131"/>
      <c r="KA154" s="131"/>
      <c r="KB154" s="131"/>
      <c r="KC154" s="131"/>
      <c r="KD154" s="131"/>
      <c r="KE154" s="131"/>
      <c r="KF154" s="131"/>
      <c r="KG154" s="131"/>
      <c r="KH154" s="131"/>
      <c r="KI154" s="131"/>
      <c r="KJ154" s="131"/>
      <c r="KK154" s="131"/>
      <c r="KL154" s="131"/>
      <c r="KM154" s="131"/>
      <c r="KN154" s="131"/>
      <c r="KO154" s="131"/>
      <c r="KP154" s="131"/>
      <c r="KQ154" s="131"/>
      <c r="KR154" s="131"/>
      <c r="KS154" s="131"/>
      <c r="KT154" s="131"/>
      <c r="KU154" s="131"/>
      <c r="KV154" s="131"/>
      <c r="KW154" s="131"/>
      <c r="KX154" s="131"/>
      <c r="KY154" s="131"/>
      <c r="KZ154" s="131"/>
      <c r="LA154" s="131"/>
      <c r="LB154" s="131"/>
      <c r="LC154" s="131"/>
      <c r="LD154" s="131"/>
      <c r="LE154" s="131"/>
      <c r="LF154" s="131"/>
      <c r="LG154" s="131"/>
      <c r="LH154" s="131"/>
      <c r="LI154" s="131"/>
      <c r="LJ154" s="131"/>
      <c r="LK154" s="131"/>
      <c r="LL154" s="131"/>
      <c r="LM154" s="131"/>
      <c r="LN154" s="131"/>
      <c r="LO154" s="131"/>
      <c r="LP154" s="131"/>
      <c r="LQ154" s="131"/>
      <c r="LR154" s="131"/>
      <c r="LS154" s="131"/>
      <c r="LT154" s="131">
        <v>2</v>
      </c>
      <c r="LU154" s="131"/>
      <c r="LV154" s="131"/>
      <c r="LW154" s="131"/>
      <c r="LX154" s="131"/>
      <c r="LY154" s="131"/>
      <c r="LZ154" s="131"/>
      <c r="MA154" s="131"/>
      <c r="MB154" s="131"/>
      <c r="MC154" s="131"/>
      <c r="MD154" s="131"/>
      <c r="ME154" s="131"/>
      <c r="MF154" s="131"/>
      <c r="MG154" s="131"/>
      <c r="MH154" s="131"/>
      <c r="MI154" s="131"/>
      <c r="MJ154" s="131"/>
      <c r="MK154" s="131"/>
      <c r="ML154" s="131"/>
      <c r="MM154" s="131"/>
      <c r="MN154" s="131"/>
      <c r="MO154" s="131"/>
      <c r="MP154" s="131"/>
      <c r="MQ154" s="131"/>
      <c r="MR154" s="131"/>
      <c r="MS154" s="131"/>
      <c r="MT154" s="131"/>
      <c r="MU154" s="131"/>
      <c r="MV154" s="131"/>
      <c r="MW154" s="131"/>
      <c r="MX154" s="131"/>
      <c r="MY154" s="131"/>
      <c r="MZ154" s="131"/>
      <c r="NA154" s="131"/>
      <c r="NB154" s="131"/>
      <c r="NC154" s="131"/>
      <c r="ND154" s="131"/>
      <c r="NE154" s="131"/>
      <c r="NF154" s="131"/>
      <c r="NG154" s="131"/>
      <c r="NH154" s="131"/>
      <c r="NI154" s="131"/>
      <c r="NJ154" s="131"/>
      <c r="NK154" s="131"/>
      <c r="NL154" s="131"/>
      <c r="NM154" s="131"/>
      <c r="NN154" s="131"/>
      <c r="NO154" s="131"/>
      <c r="NP154" s="131"/>
      <c r="NQ154" s="131"/>
      <c r="NR154" s="131"/>
      <c r="NS154" s="131"/>
      <c r="NT154" s="131"/>
      <c r="NU154" s="131"/>
      <c r="NV154" s="131"/>
      <c r="NW154" s="24">
        <f t="shared" si="17"/>
        <v>0</v>
      </c>
      <c r="NX154" s="56" t="s">
        <v>72</v>
      </c>
      <c r="NY154" s="127">
        <v>57.48</v>
      </c>
      <c r="NZ154" s="78">
        <f t="shared" si="18"/>
        <v>57.48</v>
      </c>
      <c r="OA154" s="78">
        <v>32.68</v>
      </c>
      <c r="OB154" s="127">
        <f t="shared" si="19"/>
        <v>0</v>
      </c>
      <c r="OC154" s="153">
        <v>57.48</v>
      </c>
      <c r="OD154" s="108">
        <f t="shared" si="15"/>
        <v>1.7588739290085678</v>
      </c>
      <c r="OE154" s="160"/>
    </row>
    <row r="155" spans="1:395" s="5" customFormat="1" ht="12.75" customHeight="1" x14ac:dyDescent="0.25">
      <c r="A155" s="62">
        <v>44586</v>
      </c>
      <c r="B155" s="106" t="s">
        <v>348</v>
      </c>
      <c r="C155" s="129"/>
      <c r="D155" s="129"/>
      <c r="E155" s="130"/>
      <c r="F155" s="130"/>
      <c r="G155" s="130"/>
      <c r="H155" s="130"/>
      <c r="I155" s="130"/>
      <c r="J155" s="130"/>
      <c r="K155" s="130"/>
      <c r="L155" s="130"/>
      <c r="M155" s="131"/>
      <c r="N155" s="131"/>
      <c r="O155" s="131"/>
      <c r="P155" s="131"/>
      <c r="Q155" s="131"/>
      <c r="R155" s="131"/>
      <c r="S155" s="131"/>
      <c r="T155" s="131"/>
      <c r="U155" s="131"/>
      <c r="V155" s="131"/>
      <c r="W155" s="131"/>
      <c r="X155" s="131"/>
      <c r="Y155" s="131"/>
      <c r="Z155" s="131"/>
      <c r="AA155" s="131"/>
      <c r="AB155" s="131"/>
      <c r="AC155" s="131"/>
      <c r="AD155" s="131"/>
      <c r="AE155" s="131"/>
      <c r="AF155" s="131"/>
      <c r="AG155" s="131"/>
      <c r="AH155" s="131"/>
      <c r="AI155" s="131"/>
      <c r="AJ155" s="131"/>
      <c r="AK155" s="131"/>
      <c r="AL155" s="131"/>
      <c r="AM155" s="131"/>
      <c r="AN155" s="131"/>
      <c r="AO155" s="131"/>
      <c r="AP155" s="131"/>
      <c r="AQ155" s="131"/>
      <c r="AR155" s="131"/>
      <c r="AS155" s="131"/>
      <c r="AT155" s="131"/>
      <c r="AU155" s="131"/>
      <c r="AV155" s="131"/>
      <c r="AW155" s="131"/>
      <c r="AX155" s="131"/>
      <c r="AY155" s="131"/>
      <c r="AZ155" s="131"/>
      <c r="BA155" s="131"/>
      <c r="BB155" s="131"/>
      <c r="BC155" s="131"/>
      <c r="BD155" s="131"/>
      <c r="BE155" s="131"/>
      <c r="BF155" s="131"/>
      <c r="BG155" s="131"/>
      <c r="BH155" s="131"/>
      <c r="BI155" s="131"/>
      <c r="BJ155" s="131"/>
      <c r="BK155" s="131"/>
      <c r="BL155" s="131"/>
      <c r="BM155" s="131"/>
      <c r="BN155" s="131"/>
      <c r="BO155" s="131"/>
      <c r="BP155" s="131"/>
      <c r="BQ155" s="131"/>
      <c r="BR155" s="131"/>
      <c r="BS155" s="131"/>
      <c r="BT155" s="131"/>
      <c r="BU155" s="131"/>
      <c r="BV155" s="131"/>
      <c r="BW155" s="131"/>
      <c r="BX155" s="131"/>
      <c r="BY155" s="131"/>
      <c r="BZ155" s="131"/>
      <c r="CA155" s="131"/>
      <c r="CB155" s="131"/>
      <c r="CC155" s="131"/>
      <c r="CD155" s="131"/>
      <c r="CE155" s="131"/>
      <c r="CF155" s="131"/>
      <c r="CG155" s="131"/>
      <c r="CH155" s="131"/>
      <c r="CI155" s="131"/>
      <c r="CJ155" s="131"/>
      <c r="CK155" s="131"/>
      <c r="CL155" s="131"/>
      <c r="CM155" s="131"/>
      <c r="CN155" s="131"/>
      <c r="CO155" s="131"/>
      <c r="CP155" s="131"/>
      <c r="CQ155" s="131"/>
      <c r="CR155" s="131"/>
      <c r="CS155" s="131"/>
      <c r="CT155" s="131"/>
      <c r="CU155" s="131"/>
      <c r="CV155" s="131"/>
      <c r="CW155" s="131"/>
      <c r="CX155" s="131"/>
      <c r="CY155" s="131"/>
      <c r="CZ155" s="131"/>
      <c r="DA155" s="131"/>
      <c r="DB155" s="131"/>
      <c r="DC155" s="131"/>
      <c r="DD155" s="131"/>
      <c r="DE155" s="131"/>
      <c r="DF155" s="131"/>
      <c r="DG155" s="131"/>
      <c r="DH155" s="131"/>
      <c r="DI155" s="131"/>
      <c r="DJ155" s="131"/>
      <c r="DK155" s="131"/>
      <c r="DL155" s="131"/>
      <c r="DM155" s="131"/>
      <c r="DN155" s="131"/>
      <c r="DO155" s="131"/>
      <c r="DP155" s="131"/>
      <c r="DQ155" s="131"/>
      <c r="DR155" s="131"/>
      <c r="DS155" s="131"/>
      <c r="DT155" s="131"/>
      <c r="DU155" s="131"/>
      <c r="DV155" s="131"/>
      <c r="DW155" s="131"/>
      <c r="DX155" s="131"/>
      <c r="DY155" s="131"/>
      <c r="DZ155" s="131"/>
      <c r="EA155" s="131"/>
      <c r="EB155" s="131"/>
      <c r="EC155" s="131"/>
      <c r="ED155" s="131"/>
      <c r="EE155" s="131"/>
      <c r="EF155" s="131"/>
      <c r="EG155" s="131"/>
      <c r="EH155" s="131"/>
      <c r="EI155" s="131"/>
      <c r="EJ155" s="131"/>
      <c r="EK155" s="131">
        <v>1</v>
      </c>
      <c r="EL155" s="131"/>
      <c r="EM155" s="131"/>
      <c r="EN155" s="131"/>
      <c r="EO155" s="131"/>
      <c r="EP155" s="131"/>
      <c r="EQ155" s="131"/>
      <c r="ER155" s="131"/>
      <c r="ES155" s="131"/>
      <c r="ET155" s="131"/>
      <c r="EU155" s="131"/>
      <c r="EV155" s="131"/>
      <c r="EW155" s="131"/>
      <c r="EX155" s="131"/>
      <c r="EY155" s="131"/>
      <c r="EZ155" s="131"/>
      <c r="FA155" s="131"/>
      <c r="FB155" s="131"/>
      <c r="FC155" s="131"/>
      <c r="FD155" s="131"/>
      <c r="FE155" s="131"/>
      <c r="FF155" s="131"/>
      <c r="FG155" s="131"/>
      <c r="FH155" s="131"/>
      <c r="FI155" s="131"/>
      <c r="FJ155" s="131"/>
      <c r="FK155" s="131"/>
      <c r="FL155" s="131"/>
      <c r="FM155" s="131"/>
      <c r="FN155" s="131"/>
      <c r="FO155" s="131"/>
      <c r="FP155" s="131"/>
      <c r="FQ155" s="131"/>
      <c r="FR155" s="131"/>
      <c r="FS155" s="131"/>
      <c r="FT155" s="131"/>
      <c r="FU155" s="131"/>
      <c r="FV155" s="131"/>
      <c r="FW155" s="131"/>
      <c r="FX155" s="131"/>
      <c r="FY155" s="131"/>
      <c r="FZ155" s="131"/>
      <c r="GA155" s="131"/>
      <c r="GB155" s="131"/>
      <c r="GC155" s="131"/>
      <c r="GD155" s="131"/>
      <c r="GE155" s="131"/>
      <c r="GF155" s="131"/>
      <c r="GG155" s="131"/>
      <c r="GH155" s="131"/>
      <c r="GI155" s="131"/>
      <c r="GJ155" s="131"/>
      <c r="GK155" s="131"/>
      <c r="GL155" s="131"/>
      <c r="GM155" s="131"/>
      <c r="GN155" s="131"/>
      <c r="GO155" s="131"/>
      <c r="GP155" s="131"/>
      <c r="GQ155" s="131"/>
      <c r="GR155" s="131"/>
      <c r="GS155" s="131"/>
      <c r="GT155" s="131"/>
      <c r="GU155" s="131"/>
      <c r="GV155" s="131"/>
      <c r="GW155" s="131"/>
      <c r="GX155" s="131"/>
      <c r="GY155" s="131"/>
      <c r="GZ155" s="131"/>
      <c r="HA155" s="131"/>
      <c r="HB155" s="131"/>
      <c r="HC155" s="131"/>
      <c r="HD155" s="131"/>
      <c r="HE155" s="131"/>
      <c r="HF155" s="131"/>
      <c r="HG155" s="131"/>
      <c r="HH155" s="131"/>
      <c r="HI155" s="131"/>
      <c r="HJ155" s="131"/>
      <c r="HK155" s="131"/>
      <c r="HL155" s="131"/>
      <c r="HM155" s="131"/>
      <c r="HN155" s="131"/>
      <c r="HO155" s="131"/>
      <c r="HP155" s="131">
        <v>1.1000000000000001</v>
      </c>
      <c r="HQ155" s="131"/>
      <c r="HR155" s="131"/>
      <c r="HS155" s="131"/>
      <c r="HT155" s="131"/>
      <c r="HU155" s="131"/>
      <c r="HV155" s="131"/>
      <c r="HW155" s="131"/>
      <c r="HX155" s="131"/>
      <c r="HY155" s="131"/>
      <c r="HZ155" s="131"/>
      <c r="IA155" s="131"/>
      <c r="IB155" s="131"/>
      <c r="IC155" s="131"/>
      <c r="ID155" s="131"/>
      <c r="IE155" s="131"/>
      <c r="IF155" s="131"/>
      <c r="IG155" s="131"/>
      <c r="IH155" s="131"/>
      <c r="II155" s="131"/>
      <c r="IJ155" s="131"/>
      <c r="IK155" s="131"/>
      <c r="IL155" s="131"/>
      <c r="IM155" s="131"/>
      <c r="IN155" s="131"/>
      <c r="IO155" s="131"/>
      <c r="IP155" s="131"/>
      <c r="IQ155" s="131"/>
      <c r="IR155" s="131"/>
      <c r="IS155" s="131"/>
      <c r="IT155" s="131"/>
      <c r="IU155" s="131"/>
      <c r="IV155" s="131"/>
      <c r="IW155" s="131"/>
      <c r="IX155" s="131"/>
      <c r="IY155" s="131"/>
      <c r="IZ155" s="131"/>
      <c r="JA155" s="131"/>
      <c r="JB155" s="131"/>
      <c r="JC155" s="131"/>
      <c r="JD155" s="131"/>
      <c r="JE155" s="131"/>
      <c r="JF155" s="131"/>
      <c r="JG155" s="131"/>
      <c r="JH155" s="131"/>
      <c r="JI155" s="131"/>
      <c r="JJ155" s="131"/>
      <c r="JK155" s="131"/>
      <c r="JL155" s="131"/>
      <c r="JM155" s="131"/>
      <c r="JN155" s="131"/>
      <c r="JO155" s="131"/>
      <c r="JP155" s="131"/>
      <c r="JQ155" s="131"/>
      <c r="JR155" s="131"/>
      <c r="JS155" s="131"/>
      <c r="JT155" s="131"/>
      <c r="JU155" s="131"/>
      <c r="JV155" s="131"/>
      <c r="JW155" s="131"/>
      <c r="JX155" s="131"/>
      <c r="JY155" s="131"/>
      <c r="JZ155" s="131"/>
      <c r="KA155" s="131"/>
      <c r="KB155" s="131"/>
      <c r="KC155" s="131"/>
      <c r="KD155" s="131"/>
      <c r="KE155" s="131"/>
      <c r="KF155" s="131"/>
      <c r="KG155" s="131"/>
      <c r="KH155" s="131"/>
      <c r="KI155" s="131"/>
      <c r="KJ155" s="131"/>
      <c r="KK155" s="131"/>
      <c r="KL155" s="131"/>
      <c r="KM155" s="131"/>
      <c r="KN155" s="131"/>
      <c r="KO155" s="131"/>
      <c r="KP155" s="131"/>
      <c r="KQ155" s="131"/>
      <c r="KR155" s="131"/>
      <c r="KS155" s="131"/>
      <c r="KT155" s="131"/>
      <c r="KU155" s="131"/>
      <c r="KV155" s="131"/>
      <c r="KW155" s="131"/>
      <c r="KX155" s="131"/>
      <c r="KY155" s="131"/>
      <c r="KZ155" s="131"/>
      <c r="LA155" s="131"/>
      <c r="LB155" s="131"/>
      <c r="LC155" s="131"/>
      <c r="LD155" s="131"/>
      <c r="LE155" s="131"/>
      <c r="LF155" s="131"/>
      <c r="LG155" s="131"/>
      <c r="LH155" s="131"/>
      <c r="LI155" s="131"/>
      <c r="LJ155" s="131"/>
      <c r="LK155" s="131"/>
      <c r="LL155" s="131"/>
      <c r="LM155" s="131"/>
      <c r="LN155" s="131"/>
      <c r="LO155" s="131"/>
      <c r="LP155" s="131"/>
      <c r="LQ155" s="131"/>
      <c r="LR155" s="131"/>
      <c r="LS155" s="131"/>
      <c r="LT155" s="131"/>
      <c r="LU155" s="131"/>
      <c r="LV155" s="131"/>
      <c r="LW155" s="131"/>
      <c r="LX155" s="131"/>
      <c r="LY155" s="131"/>
      <c r="LZ155" s="131"/>
      <c r="MA155" s="131"/>
      <c r="MB155" s="131"/>
      <c r="MC155" s="131"/>
      <c r="MD155" s="131"/>
      <c r="ME155" s="131"/>
      <c r="MF155" s="131"/>
      <c r="MG155" s="131"/>
      <c r="MH155" s="131"/>
      <c r="MI155" s="131"/>
      <c r="MJ155" s="131"/>
      <c r="MK155" s="131"/>
      <c r="ML155" s="131"/>
      <c r="MM155" s="131"/>
      <c r="MN155" s="131"/>
      <c r="MO155" s="131"/>
      <c r="MP155" s="131"/>
      <c r="MQ155" s="131"/>
      <c r="MR155" s="131"/>
      <c r="MS155" s="131"/>
      <c r="MT155" s="131"/>
      <c r="MU155" s="131"/>
      <c r="MV155" s="131"/>
      <c r="MW155" s="131"/>
      <c r="MX155" s="131"/>
      <c r="MY155" s="131"/>
      <c r="MZ155" s="131"/>
      <c r="NA155" s="131"/>
      <c r="NB155" s="131"/>
      <c r="NC155" s="131"/>
      <c r="ND155" s="131"/>
      <c r="NE155" s="131"/>
      <c r="NF155" s="131"/>
      <c r="NG155" s="131"/>
      <c r="NH155" s="131"/>
      <c r="NI155" s="131"/>
      <c r="NJ155" s="131"/>
      <c r="NK155" s="131"/>
      <c r="NL155" s="131"/>
      <c r="NM155" s="131"/>
      <c r="NN155" s="131"/>
      <c r="NO155" s="131"/>
      <c r="NP155" s="131"/>
      <c r="NQ155" s="131"/>
      <c r="NR155" s="131"/>
      <c r="NS155" s="131"/>
      <c r="NT155" s="131"/>
      <c r="NU155" s="131"/>
      <c r="NV155" s="131"/>
      <c r="NW155" s="24">
        <f t="shared" si="17"/>
        <v>2.1</v>
      </c>
      <c r="NX155" s="56" t="s">
        <v>36</v>
      </c>
      <c r="NY155" s="127">
        <v>117.05</v>
      </c>
      <c r="NZ155" s="78">
        <f t="shared" si="18"/>
        <v>0</v>
      </c>
      <c r="OA155" s="78">
        <v>71.028999999999996</v>
      </c>
      <c r="OB155" s="127">
        <f t="shared" si="19"/>
        <v>117.05</v>
      </c>
      <c r="OC155" s="153"/>
      <c r="OD155" s="108">
        <f t="shared" si="15"/>
        <v>1.6479184558419802</v>
      </c>
      <c r="OE155" s="160" t="s">
        <v>537</v>
      </c>
    </row>
    <row r="156" spans="1:395" s="5" customFormat="1" ht="12.75" customHeight="1" x14ac:dyDescent="0.25">
      <c r="A156" s="62">
        <v>44586</v>
      </c>
      <c r="B156" s="106" t="s">
        <v>388</v>
      </c>
      <c r="C156" s="129"/>
      <c r="D156" s="129"/>
      <c r="E156" s="130"/>
      <c r="F156" s="130"/>
      <c r="G156" s="130"/>
      <c r="H156" s="130"/>
      <c r="I156" s="130"/>
      <c r="J156" s="130"/>
      <c r="K156" s="130"/>
      <c r="L156" s="130"/>
      <c r="M156" s="131"/>
      <c r="N156" s="131"/>
      <c r="O156" s="131"/>
      <c r="P156" s="131"/>
      <c r="Q156" s="131"/>
      <c r="R156" s="131"/>
      <c r="S156" s="131"/>
      <c r="T156" s="131"/>
      <c r="U156" s="131"/>
      <c r="V156" s="131"/>
      <c r="W156" s="131"/>
      <c r="X156" s="131"/>
      <c r="Y156" s="131"/>
      <c r="Z156" s="131"/>
      <c r="AA156" s="131"/>
      <c r="AB156" s="131"/>
      <c r="AC156" s="131"/>
      <c r="AD156" s="131">
        <v>9</v>
      </c>
      <c r="AE156" s="131"/>
      <c r="AF156" s="131"/>
      <c r="AG156" s="131"/>
      <c r="AH156" s="131"/>
      <c r="AI156" s="131"/>
      <c r="AJ156" s="131"/>
      <c r="AK156" s="131"/>
      <c r="AL156" s="131"/>
      <c r="AM156" s="131"/>
      <c r="AN156" s="131"/>
      <c r="AO156" s="131"/>
      <c r="AP156" s="131"/>
      <c r="AQ156" s="131"/>
      <c r="AR156" s="131"/>
      <c r="AS156" s="131"/>
      <c r="AT156" s="131"/>
      <c r="AU156" s="131"/>
      <c r="AV156" s="131"/>
      <c r="AW156" s="131"/>
      <c r="AX156" s="131"/>
      <c r="AY156" s="131"/>
      <c r="AZ156" s="131"/>
      <c r="BA156" s="131"/>
      <c r="BB156" s="131"/>
      <c r="BC156" s="131"/>
      <c r="BD156" s="131"/>
      <c r="BE156" s="131"/>
      <c r="BF156" s="131"/>
      <c r="BG156" s="131"/>
      <c r="BH156" s="131"/>
      <c r="BI156" s="131"/>
      <c r="BJ156" s="131"/>
      <c r="BK156" s="131"/>
      <c r="BL156" s="131"/>
      <c r="BM156" s="131"/>
      <c r="BN156" s="131"/>
      <c r="BO156" s="131"/>
      <c r="BP156" s="131"/>
      <c r="BQ156" s="131"/>
      <c r="BR156" s="131"/>
      <c r="BS156" s="131"/>
      <c r="BT156" s="131"/>
      <c r="BU156" s="131"/>
      <c r="BV156" s="131"/>
      <c r="BW156" s="131"/>
      <c r="BX156" s="131"/>
      <c r="BY156" s="131"/>
      <c r="BZ156" s="131"/>
      <c r="CA156" s="131"/>
      <c r="CB156" s="131"/>
      <c r="CC156" s="131"/>
      <c r="CD156" s="131"/>
      <c r="CE156" s="131"/>
      <c r="CF156" s="131"/>
      <c r="CG156" s="131"/>
      <c r="CH156" s="131"/>
      <c r="CI156" s="131"/>
      <c r="CJ156" s="131"/>
      <c r="CK156" s="131"/>
      <c r="CL156" s="131"/>
      <c r="CM156" s="131"/>
      <c r="CN156" s="131"/>
      <c r="CO156" s="131"/>
      <c r="CP156" s="131"/>
      <c r="CQ156" s="131"/>
      <c r="CR156" s="131"/>
      <c r="CS156" s="131"/>
      <c r="CT156" s="131"/>
      <c r="CU156" s="131"/>
      <c r="CV156" s="131"/>
      <c r="CW156" s="131"/>
      <c r="CX156" s="131"/>
      <c r="CY156" s="131"/>
      <c r="CZ156" s="131"/>
      <c r="DA156" s="131"/>
      <c r="DB156" s="131"/>
      <c r="DC156" s="131"/>
      <c r="DD156" s="131"/>
      <c r="DE156" s="131"/>
      <c r="DF156" s="131"/>
      <c r="DG156" s="131"/>
      <c r="DH156" s="131">
        <v>10</v>
      </c>
      <c r="DI156" s="131"/>
      <c r="DJ156" s="131"/>
      <c r="DK156" s="131"/>
      <c r="DL156" s="131"/>
      <c r="DM156" s="131"/>
      <c r="DN156" s="131"/>
      <c r="DO156" s="131"/>
      <c r="DP156" s="131"/>
      <c r="DQ156" s="131"/>
      <c r="DR156" s="131"/>
      <c r="DS156" s="131"/>
      <c r="DT156" s="131"/>
      <c r="DU156" s="131"/>
      <c r="DV156" s="131"/>
      <c r="DW156" s="131"/>
      <c r="DX156" s="131"/>
      <c r="DY156" s="131"/>
      <c r="DZ156" s="131"/>
      <c r="EA156" s="131"/>
      <c r="EB156" s="131"/>
      <c r="EC156" s="131"/>
      <c r="ED156" s="131"/>
      <c r="EE156" s="131"/>
      <c r="EF156" s="131"/>
      <c r="EG156" s="131"/>
      <c r="EH156" s="131"/>
      <c r="EI156" s="131"/>
      <c r="EJ156" s="131"/>
      <c r="EK156" s="131"/>
      <c r="EL156" s="131"/>
      <c r="EM156" s="131"/>
      <c r="EN156" s="131"/>
      <c r="EO156" s="131"/>
      <c r="EP156" s="131"/>
      <c r="EQ156" s="131"/>
      <c r="ER156" s="131"/>
      <c r="ES156" s="131"/>
      <c r="ET156" s="131"/>
      <c r="EU156" s="131"/>
      <c r="EV156" s="131"/>
      <c r="EW156" s="131"/>
      <c r="EX156" s="131"/>
      <c r="EY156" s="131"/>
      <c r="EZ156" s="131"/>
      <c r="FA156" s="131"/>
      <c r="FB156" s="131"/>
      <c r="FC156" s="131"/>
      <c r="FD156" s="131"/>
      <c r="FE156" s="131"/>
      <c r="FF156" s="131"/>
      <c r="FG156" s="131"/>
      <c r="FH156" s="131"/>
      <c r="FI156" s="131"/>
      <c r="FJ156" s="131"/>
      <c r="FK156" s="131"/>
      <c r="FL156" s="131"/>
      <c r="FM156" s="131"/>
      <c r="FN156" s="131"/>
      <c r="FO156" s="131"/>
      <c r="FP156" s="131"/>
      <c r="FQ156" s="131"/>
      <c r="FR156" s="131"/>
      <c r="FS156" s="131"/>
      <c r="FT156" s="131"/>
      <c r="FU156" s="131"/>
      <c r="FV156" s="131"/>
      <c r="FW156" s="131"/>
      <c r="FX156" s="131"/>
      <c r="FY156" s="131"/>
      <c r="FZ156" s="131"/>
      <c r="GA156" s="131"/>
      <c r="GB156" s="131"/>
      <c r="GC156" s="131"/>
      <c r="GD156" s="131"/>
      <c r="GE156" s="131"/>
      <c r="GF156" s="131"/>
      <c r="GG156" s="131"/>
      <c r="GH156" s="131"/>
      <c r="GI156" s="131"/>
      <c r="GJ156" s="131"/>
      <c r="GK156" s="131"/>
      <c r="GL156" s="131"/>
      <c r="GM156" s="131"/>
      <c r="GN156" s="131"/>
      <c r="GO156" s="131"/>
      <c r="GP156" s="131"/>
      <c r="GQ156" s="131"/>
      <c r="GR156" s="131"/>
      <c r="GS156" s="131"/>
      <c r="GT156" s="131"/>
      <c r="GU156" s="131"/>
      <c r="GV156" s="131"/>
      <c r="GW156" s="131"/>
      <c r="GX156" s="131"/>
      <c r="GY156" s="131"/>
      <c r="GZ156" s="131"/>
      <c r="HA156" s="131"/>
      <c r="HB156" s="131"/>
      <c r="HC156" s="131"/>
      <c r="HD156" s="131"/>
      <c r="HE156" s="131"/>
      <c r="HF156" s="131"/>
      <c r="HG156" s="131"/>
      <c r="HH156" s="131"/>
      <c r="HI156" s="131"/>
      <c r="HJ156" s="131"/>
      <c r="HK156" s="131"/>
      <c r="HL156" s="131"/>
      <c r="HM156" s="131"/>
      <c r="HN156" s="131"/>
      <c r="HO156" s="131"/>
      <c r="HP156" s="131"/>
      <c r="HQ156" s="131">
        <v>50</v>
      </c>
      <c r="HR156" s="131"/>
      <c r="HS156" s="131"/>
      <c r="HT156" s="131"/>
      <c r="HU156" s="131"/>
      <c r="HV156" s="131"/>
      <c r="HW156" s="131"/>
      <c r="HX156" s="131"/>
      <c r="HY156" s="131"/>
      <c r="HZ156" s="131"/>
      <c r="IA156" s="131"/>
      <c r="IB156" s="131"/>
      <c r="IC156" s="131"/>
      <c r="ID156" s="131"/>
      <c r="IE156" s="131"/>
      <c r="IF156" s="131"/>
      <c r="IG156" s="131"/>
      <c r="IH156" s="131"/>
      <c r="II156" s="131"/>
      <c r="IJ156" s="131"/>
      <c r="IK156" s="131"/>
      <c r="IL156" s="131"/>
      <c r="IM156" s="131"/>
      <c r="IN156" s="131"/>
      <c r="IO156" s="131"/>
      <c r="IP156" s="131"/>
      <c r="IQ156" s="131"/>
      <c r="IR156" s="131"/>
      <c r="IS156" s="131"/>
      <c r="IT156" s="131"/>
      <c r="IU156" s="131"/>
      <c r="IV156" s="131"/>
      <c r="IW156" s="131"/>
      <c r="IX156" s="131"/>
      <c r="IY156" s="131"/>
      <c r="IZ156" s="131"/>
      <c r="JA156" s="131"/>
      <c r="JB156" s="131"/>
      <c r="JC156" s="131"/>
      <c r="JD156" s="131"/>
      <c r="JE156" s="131"/>
      <c r="JF156" s="131"/>
      <c r="JG156" s="131"/>
      <c r="JH156" s="131"/>
      <c r="JI156" s="131"/>
      <c r="JJ156" s="131"/>
      <c r="JK156" s="131"/>
      <c r="JL156" s="131"/>
      <c r="JM156" s="131"/>
      <c r="JN156" s="131"/>
      <c r="JO156" s="131"/>
      <c r="JP156" s="131"/>
      <c r="JQ156" s="131"/>
      <c r="JR156" s="131"/>
      <c r="JS156" s="131"/>
      <c r="JT156" s="131"/>
      <c r="JU156" s="131"/>
      <c r="JV156" s="131"/>
      <c r="JW156" s="131"/>
      <c r="JX156" s="131"/>
      <c r="JY156" s="131"/>
      <c r="JZ156" s="131"/>
      <c r="KA156" s="131"/>
      <c r="KB156" s="131"/>
      <c r="KC156" s="131"/>
      <c r="KD156" s="131"/>
      <c r="KE156" s="131"/>
      <c r="KF156" s="131"/>
      <c r="KG156" s="131"/>
      <c r="KH156" s="131"/>
      <c r="KI156" s="131"/>
      <c r="KJ156" s="131"/>
      <c r="KK156" s="131">
        <v>5</v>
      </c>
      <c r="KL156" s="131"/>
      <c r="KM156" s="131"/>
      <c r="KN156" s="131"/>
      <c r="KO156" s="131"/>
      <c r="KP156" s="131"/>
      <c r="KQ156" s="131"/>
      <c r="KR156" s="131"/>
      <c r="KS156" s="131"/>
      <c r="KT156" s="131"/>
      <c r="KU156" s="131"/>
      <c r="KV156" s="131"/>
      <c r="KW156" s="131"/>
      <c r="KX156" s="131"/>
      <c r="KY156" s="131"/>
      <c r="KZ156" s="131"/>
      <c r="LA156" s="131"/>
      <c r="LB156" s="131"/>
      <c r="LC156" s="131"/>
      <c r="LD156" s="131"/>
      <c r="LE156" s="131"/>
      <c r="LF156" s="131"/>
      <c r="LG156" s="131"/>
      <c r="LH156" s="131"/>
      <c r="LI156" s="131"/>
      <c r="LJ156" s="131"/>
      <c r="LK156" s="131"/>
      <c r="LL156" s="131"/>
      <c r="LM156" s="131"/>
      <c r="LN156" s="131"/>
      <c r="LO156" s="131"/>
      <c r="LP156" s="131"/>
      <c r="LQ156" s="131"/>
      <c r="LR156" s="131"/>
      <c r="LS156" s="131"/>
      <c r="LT156" s="131"/>
      <c r="LU156" s="131"/>
      <c r="LV156" s="131"/>
      <c r="LW156" s="131"/>
      <c r="LX156" s="131"/>
      <c r="LY156" s="131"/>
      <c r="LZ156" s="131"/>
      <c r="MA156" s="131"/>
      <c r="MB156" s="131"/>
      <c r="MC156" s="131"/>
      <c r="MD156" s="131"/>
      <c r="ME156" s="131"/>
      <c r="MF156" s="131"/>
      <c r="MG156" s="131"/>
      <c r="MH156" s="131"/>
      <c r="MI156" s="131"/>
      <c r="MJ156" s="131"/>
      <c r="MK156" s="131"/>
      <c r="ML156" s="131"/>
      <c r="MM156" s="131"/>
      <c r="MN156" s="131"/>
      <c r="MO156" s="131"/>
      <c r="MP156" s="131"/>
      <c r="MQ156" s="131"/>
      <c r="MR156" s="131"/>
      <c r="MS156" s="131"/>
      <c r="MT156" s="131"/>
      <c r="MU156" s="131"/>
      <c r="MV156" s="131"/>
      <c r="MW156" s="131"/>
      <c r="MX156" s="131"/>
      <c r="MY156" s="131"/>
      <c r="MZ156" s="131"/>
      <c r="NA156" s="131"/>
      <c r="NB156" s="131"/>
      <c r="NC156" s="131"/>
      <c r="ND156" s="131"/>
      <c r="NE156" s="131"/>
      <c r="NF156" s="131"/>
      <c r="NG156" s="131"/>
      <c r="NH156" s="131"/>
      <c r="NI156" s="131"/>
      <c r="NJ156" s="131"/>
      <c r="NK156" s="131"/>
      <c r="NL156" s="131"/>
      <c r="NM156" s="131"/>
      <c r="NN156" s="131"/>
      <c r="NO156" s="131"/>
      <c r="NP156" s="131"/>
      <c r="NQ156" s="131"/>
      <c r="NR156" s="131"/>
      <c r="NS156" s="131"/>
      <c r="NT156" s="131"/>
      <c r="NU156" s="131"/>
      <c r="NV156" s="131"/>
      <c r="NW156" s="24">
        <f t="shared" si="17"/>
        <v>74</v>
      </c>
      <c r="NX156" s="56" t="s">
        <v>36</v>
      </c>
      <c r="NY156" s="127">
        <v>4216.3</v>
      </c>
      <c r="NZ156" s="78">
        <f t="shared" si="18"/>
        <v>0</v>
      </c>
      <c r="OA156" s="78">
        <v>2505.08</v>
      </c>
      <c r="OB156" s="127">
        <f t="shared" si="19"/>
        <v>4216.3</v>
      </c>
      <c r="OC156" s="153"/>
      <c r="OD156" s="108">
        <f t="shared" si="15"/>
        <v>1.6830999409200507</v>
      </c>
      <c r="OE156" s="160" t="s">
        <v>583</v>
      </c>
    </row>
    <row r="157" spans="1:395" s="5" customFormat="1" ht="12.75" customHeight="1" x14ac:dyDescent="0.25">
      <c r="A157" s="62">
        <v>44586</v>
      </c>
      <c r="B157" s="116" t="s">
        <v>66</v>
      </c>
      <c r="C157" s="129"/>
      <c r="D157" s="129"/>
      <c r="E157" s="130"/>
      <c r="F157" s="130"/>
      <c r="G157" s="130"/>
      <c r="H157" s="130"/>
      <c r="I157" s="130"/>
      <c r="J157" s="130"/>
      <c r="K157" s="130"/>
      <c r="L157" s="130"/>
      <c r="M157" s="131"/>
      <c r="N157" s="131"/>
      <c r="O157" s="131"/>
      <c r="P157" s="131"/>
      <c r="Q157" s="131"/>
      <c r="R157" s="131"/>
      <c r="S157" s="131"/>
      <c r="T157" s="131"/>
      <c r="U157" s="131"/>
      <c r="V157" s="131"/>
      <c r="W157" s="131"/>
      <c r="X157" s="131"/>
      <c r="Y157" s="131"/>
      <c r="Z157" s="131"/>
      <c r="AA157" s="131"/>
      <c r="AB157" s="131"/>
      <c r="AC157" s="131"/>
      <c r="AD157" s="131"/>
      <c r="AE157" s="131"/>
      <c r="AF157" s="131"/>
      <c r="AG157" s="131"/>
      <c r="AH157" s="131"/>
      <c r="AI157" s="131"/>
      <c r="AJ157" s="131"/>
      <c r="AK157" s="131"/>
      <c r="AL157" s="131"/>
      <c r="AM157" s="131"/>
      <c r="AN157" s="131"/>
      <c r="AO157" s="131"/>
      <c r="AP157" s="131"/>
      <c r="AQ157" s="131"/>
      <c r="AR157" s="131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1"/>
      <c r="BD157" s="131"/>
      <c r="BE157" s="131"/>
      <c r="BF157" s="131"/>
      <c r="BG157" s="131"/>
      <c r="BH157" s="131"/>
      <c r="BI157" s="131"/>
      <c r="BJ157" s="131"/>
      <c r="BK157" s="131"/>
      <c r="BL157" s="131"/>
      <c r="BM157" s="131"/>
      <c r="BN157" s="131"/>
      <c r="BO157" s="131"/>
      <c r="BP157" s="131"/>
      <c r="BQ157" s="131"/>
      <c r="BR157" s="131"/>
      <c r="BS157" s="131"/>
      <c r="BT157" s="131"/>
      <c r="BU157" s="131"/>
      <c r="BV157" s="131"/>
      <c r="BW157" s="131"/>
      <c r="BX157" s="131"/>
      <c r="BY157" s="131"/>
      <c r="BZ157" s="131"/>
      <c r="CA157" s="131"/>
      <c r="CB157" s="131"/>
      <c r="CC157" s="131"/>
      <c r="CD157" s="131"/>
      <c r="CE157" s="131"/>
      <c r="CF157" s="131"/>
      <c r="CG157" s="131"/>
      <c r="CH157" s="131"/>
      <c r="CI157" s="131"/>
      <c r="CJ157" s="131"/>
      <c r="CK157" s="131"/>
      <c r="CL157" s="131"/>
      <c r="CM157" s="131"/>
      <c r="CN157" s="131"/>
      <c r="CO157" s="131"/>
      <c r="CP157" s="131"/>
      <c r="CQ157" s="131"/>
      <c r="CR157" s="131"/>
      <c r="CS157" s="131"/>
      <c r="CT157" s="131"/>
      <c r="CU157" s="131"/>
      <c r="CV157" s="131"/>
      <c r="CW157" s="131"/>
      <c r="CX157" s="131"/>
      <c r="CY157" s="131"/>
      <c r="CZ157" s="131"/>
      <c r="DA157" s="131"/>
      <c r="DB157" s="131"/>
      <c r="DC157" s="131"/>
      <c r="DD157" s="131"/>
      <c r="DE157" s="131"/>
      <c r="DF157" s="131"/>
      <c r="DG157" s="131"/>
      <c r="DH157" s="131"/>
      <c r="DI157" s="131"/>
      <c r="DJ157" s="131"/>
      <c r="DK157" s="131"/>
      <c r="DL157" s="131"/>
      <c r="DM157" s="131"/>
      <c r="DN157" s="131"/>
      <c r="DO157" s="131"/>
      <c r="DP157" s="131"/>
      <c r="DQ157" s="131"/>
      <c r="DR157" s="131"/>
      <c r="DS157" s="131"/>
      <c r="DT157" s="131"/>
      <c r="DU157" s="131"/>
      <c r="DV157" s="131"/>
      <c r="DW157" s="131"/>
      <c r="DX157" s="131"/>
      <c r="DY157" s="131"/>
      <c r="DZ157" s="131"/>
      <c r="EA157" s="131"/>
      <c r="EB157" s="131"/>
      <c r="EC157" s="131"/>
      <c r="ED157" s="131"/>
      <c r="EE157" s="131"/>
      <c r="EF157" s="131"/>
      <c r="EG157" s="131"/>
      <c r="EH157" s="131"/>
      <c r="EI157" s="131"/>
      <c r="EJ157" s="131"/>
      <c r="EK157" s="131"/>
      <c r="EL157" s="131"/>
      <c r="EM157" s="131"/>
      <c r="EN157" s="131"/>
      <c r="EO157" s="131"/>
      <c r="EP157" s="131"/>
      <c r="EQ157" s="131"/>
      <c r="ER157" s="131"/>
      <c r="ES157" s="131"/>
      <c r="ET157" s="131"/>
      <c r="EU157" s="131"/>
      <c r="EV157" s="131"/>
      <c r="EW157" s="131"/>
      <c r="EX157" s="131"/>
      <c r="EY157" s="131"/>
      <c r="EZ157" s="131"/>
      <c r="FA157" s="131"/>
      <c r="FB157" s="131"/>
      <c r="FC157" s="131"/>
      <c r="FD157" s="131"/>
      <c r="FE157" s="131"/>
      <c r="FF157" s="131"/>
      <c r="FG157" s="131"/>
      <c r="FH157" s="131"/>
      <c r="FI157" s="131"/>
      <c r="FJ157" s="131"/>
      <c r="FK157" s="131"/>
      <c r="FL157" s="131"/>
      <c r="FM157" s="131"/>
      <c r="FN157" s="131"/>
      <c r="FO157" s="131"/>
      <c r="FP157" s="131"/>
      <c r="FQ157" s="131"/>
      <c r="FR157" s="131"/>
      <c r="FS157" s="131"/>
      <c r="FT157" s="131"/>
      <c r="FU157" s="131"/>
      <c r="FV157" s="131"/>
      <c r="FW157" s="131"/>
      <c r="FX157" s="131"/>
      <c r="FY157" s="131"/>
      <c r="FZ157" s="131"/>
      <c r="GA157" s="131"/>
      <c r="GB157" s="131"/>
      <c r="GC157" s="131"/>
      <c r="GD157" s="131"/>
      <c r="GE157" s="131"/>
      <c r="GF157" s="131"/>
      <c r="GG157" s="131"/>
      <c r="GH157" s="131"/>
      <c r="GI157" s="131"/>
      <c r="GJ157" s="131"/>
      <c r="GK157" s="131"/>
      <c r="GL157" s="131"/>
      <c r="GM157" s="131"/>
      <c r="GN157" s="131"/>
      <c r="GO157" s="131"/>
      <c r="GP157" s="131"/>
      <c r="GQ157" s="131"/>
      <c r="GR157" s="131"/>
      <c r="GS157" s="131"/>
      <c r="GT157" s="131"/>
      <c r="GU157" s="131"/>
      <c r="GV157" s="131"/>
      <c r="GW157" s="131"/>
      <c r="GX157" s="131"/>
      <c r="GY157" s="131"/>
      <c r="GZ157" s="131"/>
      <c r="HA157" s="131"/>
      <c r="HB157" s="131"/>
      <c r="HC157" s="131"/>
      <c r="HD157" s="131"/>
      <c r="HE157" s="131"/>
      <c r="HF157" s="131"/>
      <c r="HG157" s="131"/>
      <c r="HH157" s="131"/>
      <c r="HI157" s="131"/>
      <c r="HJ157" s="131"/>
      <c r="HK157" s="131"/>
      <c r="HL157" s="131"/>
      <c r="HM157" s="131"/>
      <c r="HN157" s="131"/>
      <c r="HO157" s="131"/>
      <c r="HP157" s="131"/>
      <c r="HQ157" s="131"/>
      <c r="HR157" s="131"/>
      <c r="HS157" s="131"/>
      <c r="HT157" s="131"/>
      <c r="HU157" s="131"/>
      <c r="HV157" s="131"/>
      <c r="HW157" s="131">
        <v>30</v>
      </c>
      <c r="HX157" s="131"/>
      <c r="HY157" s="131"/>
      <c r="HZ157" s="131"/>
      <c r="IA157" s="131"/>
      <c r="IB157" s="131"/>
      <c r="IC157" s="131"/>
      <c r="ID157" s="131"/>
      <c r="IE157" s="131"/>
      <c r="IF157" s="131"/>
      <c r="IG157" s="131"/>
      <c r="IH157" s="131"/>
      <c r="II157" s="131"/>
      <c r="IJ157" s="131"/>
      <c r="IK157" s="131"/>
      <c r="IL157" s="131"/>
      <c r="IM157" s="131"/>
      <c r="IN157" s="131"/>
      <c r="IO157" s="131"/>
      <c r="IP157" s="131"/>
      <c r="IQ157" s="131"/>
      <c r="IR157" s="131"/>
      <c r="IS157" s="131"/>
      <c r="IT157" s="131"/>
      <c r="IU157" s="131"/>
      <c r="IV157" s="131"/>
      <c r="IW157" s="131"/>
      <c r="IX157" s="131"/>
      <c r="IY157" s="131"/>
      <c r="IZ157" s="131"/>
      <c r="JA157" s="131"/>
      <c r="JB157" s="131"/>
      <c r="JC157" s="131"/>
      <c r="JD157" s="131"/>
      <c r="JE157" s="131"/>
      <c r="JF157" s="131"/>
      <c r="JG157" s="131"/>
      <c r="JH157" s="131"/>
      <c r="JI157" s="131"/>
      <c r="JJ157" s="131"/>
      <c r="JK157" s="131"/>
      <c r="JL157" s="131"/>
      <c r="JM157" s="131"/>
      <c r="JN157" s="131"/>
      <c r="JO157" s="131"/>
      <c r="JP157" s="131"/>
      <c r="JQ157" s="131"/>
      <c r="JR157" s="131"/>
      <c r="JS157" s="131"/>
      <c r="JT157" s="131"/>
      <c r="JU157" s="131"/>
      <c r="JV157" s="131"/>
      <c r="JW157" s="131"/>
      <c r="JX157" s="131"/>
      <c r="JY157" s="131"/>
      <c r="JZ157" s="131"/>
      <c r="KA157" s="131"/>
      <c r="KB157" s="131"/>
      <c r="KC157" s="131"/>
      <c r="KD157" s="131"/>
      <c r="KE157" s="131"/>
      <c r="KF157" s="131"/>
      <c r="KG157" s="131"/>
      <c r="KH157" s="131"/>
      <c r="KI157" s="131"/>
      <c r="KJ157" s="131"/>
      <c r="KK157" s="131"/>
      <c r="KL157" s="131"/>
      <c r="KM157" s="131"/>
      <c r="KN157" s="131"/>
      <c r="KO157" s="131"/>
      <c r="KP157" s="131"/>
      <c r="KQ157" s="131"/>
      <c r="KR157" s="131"/>
      <c r="KS157" s="131"/>
      <c r="KT157" s="131"/>
      <c r="KU157" s="131"/>
      <c r="KV157" s="131"/>
      <c r="KW157" s="131"/>
      <c r="KX157" s="131"/>
      <c r="KY157" s="131"/>
      <c r="KZ157" s="131"/>
      <c r="LA157" s="131"/>
      <c r="LB157" s="131"/>
      <c r="LC157" s="131"/>
      <c r="LD157" s="131"/>
      <c r="LE157" s="131"/>
      <c r="LF157" s="131"/>
      <c r="LG157" s="131"/>
      <c r="LH157" s="131"/>
      <c r="LI157" s="131"/>
      <c r="LJ157" s="131"/>
      <c r="LK157" s="131"/>
      <c r="LL157" s="131"/>
      <c r="LM157" s="131"/>
      <c r="LN157" s="131"/>
      <c r="LO157" s="131"/>
      <c r="LP157" s="131"/>
      <c r="LQ157" s="131"/>
      <c r="LR157" s="131"/>
      <c r="LS157" s="131"/>
      <c r="LT157" s="131"/>
      <c r="LU157" s="131"/>
      <c r="LV157" s="131"/>
      <c r="LW157" s="131"/>
      <c r="LX157" s="131"/>
      <c r="LY157" s="131"/>
      <c r="LZ157" s="131"/>
      <c r="MA157" s="131"/>
      <c r="MB157" s="131"/>
      <c r="MC157" s="131"/>
      <c r="MD157" s="131"/>
      <c r="ME157" s="131"/>
      <c r="MF157" s="131"/>
      <c r="MG157" s="131"/>
      <c r="MH157" s="131"/>
      <c r="MI157" s="131"/>
      <c r="MJ157" s="131"/>
      <c r="MK157" s="131"/>
      <c r="ML157" s="131"/>
      <c r="MM157" s="131"/>
      <c r="MN157" s="131"/>
      <c r="MO157" s="131"/>
      <c r="MP157" s="131"/>
      <c r="MQ157" s="131"/>
      <c r="MR157" s="131"/>
      <c r="MS157" s="131"/>
      <c r="MT157" s="131"/>
      <c r="MU157" s="131"/>
      <c r="MV157" s="131"/>
      <c r="MW157" s="131"/>
      <c r="MX157" s="131"/>
      <c r="MY157" s="131"/>
      <c r="MZ157" s="131"/>
      <c r="NA157" s="131"/>
      <c r="NB157" s="131"/>
      <c r="NC157" s="131"/>
      <c r="ND157" s="131"/>
      <c r="NE157" s="131"/>
      <c r="NF157" s="131"/>
      <c r="NG157" s="131"/>
      <c r="NH157" s="131"/>
      <c r="NI157" s="131"/>
      <c r="NJ157" s="131"/>
      <c r="NK157" s="131"/>
      <c r="NL157" s="131"/>
      <c r="NM157" s="131"/>
      <c r="NN157" s="131"/>
      <c r="NO157" s="131"/>
      <c r="NP157" s="131"/>
      <c r="NQ157" s="131"/>
      <c r="NR157" s="131"/>
      <c r="NS157" s="131"/>
      <c r="NT157" s="131"/>
      <c r="NU157" s="131"/>
      <c r="NV157" s="131"/>
      <c r="NW157" s="24">
        <f t="shared" si="17"/>
        <v>30</v>
      </c>
      <c r="NX157" s="56" t="s">
        <v>36</v>
      </c>
      <c r="NY157" s="127">
        <v>1185.1199999999999</v>
      </c>
      <c r="NZ157" s="78">
        <f t="shared" si="18"/>
        <v>0</v>
      </c>
      <c r="OA157" s="78">
        <v>592.80000000000007</v>
      </c>
      <c r="OB157" s="127">
        <f t="shared" si="19"/>
        <v>1185.1199999999999</v>
      </c>
      <c r="OC157" s="153"/>
      <c r="OD157" s="108">
        <f t="shared" si="15"/>
        <v>1.9991902834008093</v>
      </c>
      <c r="OE157" s="160" t="s">
        <v>537</v>
      </c>
    </row>
    <row r="158" spans="1:395" s="5" customFormat="1" ht="12.75" customHeight="1" x14ac:dyDescent="0.25">
      <c r="A158" s="62">
        <v>44586</v>
      </c>
      <c r="B158" s="116" t="s">
        <v>94</v>
      </c>
      <c r="C158" s="129"/>
      <c r="D158" s="129"/>
      <c r="E158" s="130"/>
      <c r="F158" s="130"/>
      <c r="G158" s="130"/>
      <c r="H158" s="130"/>
      <c r="I158" s="130"/>
      <c r="J158" s="130"/>
      <c r="K158" s="130"/>
      <c r="L158" s="130"/>
      <c r="M158" s="131"/>
      <c r="N158" s="131"/>
      <c r="O158" s="131"/>
      <c r="P158" s="131"/>
      <c r="Q158" s="131"/>
      <c r="R158" s="131"/>
      <c r="S158" s="131"/>
      <c r="T158" s="131"/>
      <c r="U158" s="131"/>
      <c r="V158" s="131"/>
      <c r="W158" s="131"/>
      <c r="X158" s="131"/>
      <c r="Y158" s="131"/>
      <c r="Z158" s="131"/>
      <c r="AA158" s="131"/>
      <c r="AB158" s="131"/>
      <c r="AC158" s="131"/>
      <c r="AD158" s="131"/>
      <c r="AE158" s="131"/>
      <c r="AF158" s="131"/>
      <c r="AG158" s="131"/>
      <c r="AH158" s="131"/>
      <c r="AI158" s="131"/>
      <c r="AJ158" s="131"/>
      <c r="AK158" s="131"/>
      <c r="AL158" s="131"/>
      <c r="AM158" s="131"/>
      <c r="AN158" s="131"/>
      <c r="AO158" s="131"/>
      <c r="AP158" s="131"/>
      <c r="AQ158" s="131"/>
      <c r="AR158" s="131"/>
      <c r="AS158" s="131"/>
      <c r="AT158" s="131"/>
      <c r="AU158" s="131"/>
      <c r="AV158" s="131">
        <v>100</v>
      </c>
      <c r="AW158" s="131"/>
      <c r="AX158" s="131"/>
      <c r="AY158" s="131"/>
      <c r="AZ158" s="131"/>
      <c r="BA158" s="131"/>
      <c r="BB158" s="131"/>
      <c r="BC158" s="131"/>
      <c r="BD158" s="131"/>
      <c r="BE158" s="131"/>
      <c r="BF158" s="131"/>
      <c r="BG158" s="131"/>
      <c r="BH158" s="131"/>
      <c r="BI158" s="131"/>
      <c r="BJ158" s="131"/>
      <c r="BK158" s="131"/>
      <c r="BL158" s="131"/>
      <c r="BM158" s="131"/>
      <c r="BN158" s="131"/>
      <c r="BO158" s="131"/>
      <c r="BP158" s="131"/>
      <c r="BQ158" s="131"/>
      <c r="BR158" s="131"/>
      <c r="BS158" s="131"/>
      <c r="BT158" s="131"/>
      <c r="BU158" s="131"/>
      <c r="BV158" s="131"/>
      <c r="BW158" s="131"/>
      <c r="BX158" s="131"/>
      <c r="BY158" s="131"/>
      <c r="BZ158" s="131"/>
      <c r="CA158" s="131"/>
      <c r="CB158" s="131"/>
      <c r="CC158" s="131"/>
      <c r="CD158" s="131"/>
      <c r="CE158" s="131"/>
      <c r="CF158" s="131"/>
      <c r="CG158" s="131"/>
      <c r="CH158" s="131"/>
      <c r="CI158" s="131"/>
      <c r="CJ158" s="131"/>
      <c r="CK158" s="131"/>
      <c r="CL158" s="131"/>
      <c r="CM158" s="131"/>
      <c r="CN158" s="131"/>
      <c r="CO158" s="131"/>
      <c r="CP158" s="131"/>
      <c r="CQ158" s="131"/>
      <c r="CR158" s="131"/>
      <c r="CS158" s="131"/>
      <c r="CT158" s="131"/>
      <c r="CU158" s="131"/>
      <c r="CV158" s="131"/>
      <c r="CW158" s="131"/>
      <c r="CX158" s="131"/>
      <c r="CY158" s="131"/>
      <c r="CZ158" s="131"/>
      <c r="DA158" s="131"/>
      <c r="DB158" s="131">
        <v>1</v>
      </c>
      <c r="DC158" s="131"/>
      <c r="DD158" s="131"/>
      <c r="DE158" s="131"/>
      <c r="DF158" s="131"/>
      <c r="DG158" s="131"/>
      <c r="DH158" s="131"/>
      <c r="DI158" s="131"/>
      <c r="DJ158" s="131"/>
      <c r="DK158" s="131"/>
      <c r="DL158" s="131"/>
      <c r="DM158" s="131"/>
      <c r="DN158" s="131"/>
      <c r="DO158" s="131"/>
      <c r="DP158" s="131"/>
      <c r="DQ158" s="131"/>
      <c r="DR158" s="131"/>
      <c r="DS158" s="131"/>
      <c r="DT158" s="131"/>
      <c r="DU158" s="131"/>
      <c r="DV158" s="131"/>
      <c r="DW158" s="131"/>
      <c r="DX158" s="131"/>
      <c r="DY158" s="131"/>
      <c r="DZ158" s="131"/>
      <c r="EA158" s="131"/>
      <c r="EB158" s="131"/>
      <c r="EC158" s="131"/>
      <c r="ED158" s="131"/>
      <c r="EE158" s="131"/>
      <c r="EF158" s="131"/>
      <c r="EG158" s="131"/>
      <c r="EH158" s="131"/>
      <c r="EI158" s="131"/>
      <c r="EJ158" s="131"/>
      <c r="EK158" s="131"/>
      <c r="EL158" s="131"/>
      <c r="EM158" s="131"/>
      <c r="EN158" s="131"/>
      <c r="EO158" s="131"/>
      <c r="EP158" s="131"/>
      <c r="EQ158" s="131"/>
      <c r="ER158" s="131"/>
      <c r="ES158" s="131"/>
      <c r="ET158" s="131"/>
      <c r="EU158" s="131"/>
      <c r="EV158" s="131"/>
      <c r="EW158" s="131"/>
      <c r="EX158" s="131"/>
      <c r="EY158" s="131"/>
      <c r="EZ158" s="131"/>
      <c r="FA158" s="131"/>
      <c r="FB158" s="131"/>
      <c r="FC158" s="131"/>
      <c r="FD158" s="131"/>
      <c r="FE158" s="131"/>
      <c r="FF158" s="131"/>
      <c r="FG158" s="131"/>
      <c r="FH158" s="131"/>
      <c r="FI158" s="131"/>
      <c r="FJ158" s="131"/>
      <c r="FK158" s="131"/>
      <c r="FL158" s="131"/>
      <c r="FM158" s="131"/>
      <c r="FN158" s="131"/>
      <c r="FO158" s="131"/>
      <c r="FP158" s="131"/>
      <c r="FQ158" s="131"/>
      <c r="FR158" s="131"/>
      <c r="FS158" s="131"/>
      <c r="FT158" s="131"/>
      <c r="FU158" s="131"/>
      <c r="FV158" s="131"/>
      <c r="FW158" s="131"/>
      <c r="FX158" s="131"/>
      <c r="FY158" s="131"/>
      <c r="FZ158" s="131"/>
      <c r="GA158" s="131"/>
      <c r="GB158" s="131"/>
      <c r="GC158" s="131"/>
      <c r="GD158" s="131"/>
      <c r="GE158" s="131"/>
      <c r="GF158" s="131"/>
      <c r="GG158" s="131"/>
      <c r="GH158" s="131"/>
      <c r="GI158" s="131"/>
      <c r="GJ158" s="131"/>
      <c r="GK158" s="131"/>
      <c r="GL158" s="131"/>
      <c r="GM158" s="131"/>
      <c r="GN158" s="131"/>
      <c r="GO158" s="131"/>
      <c r="GP158" s="131"/>
      <c r="GQ158" s="131"/>
      <c r="GR158" s="131"/>
      <c r="GS158" s="131"/>
      <c r="GT158" s="131"/>
      <c r="GU158" s="131"/>
      <c r="GV158" s="131"/>
      <c r="GW158" s="131"/>
      <c r="GX158" s="131"/>
      <c r="GY158" s="131"/>
      <c r="GZ158" s="131"/>
      <c r="HA158" s="131"/>
      <c r="HB158" s="131"/>
      <c r="HC158" s="131"/>
      <c r="HD158" s="131"/>
      <c r="HE158" s="131"/>
      <c r="HF158" s="131"/>
      <c r="HG158" s="131"/>
      <c r="HH158" s="131"/>
      <c r="HI158" s="131"/>
      <c r="HJ158" s="131"/>
      <c r="HK158" s="131"/>
      <c r="HL158" s="131"/>
      <c r="HM158" s="131"/>
      <c r="HN158" s="131"/>
      <c r="HO158" s="131"/>
      <c r="HP158" s="131"/>
      <c r="HQ158" s="131"/>
      <c r="HR158" s="131"/>
      <c r="HS158" s="131"/>
      <c r="HT158" s="131"/>
      <c r="HU158" s="131"/>
      <c r="HV158" s="131"/>
      <c r="HW158" s="131"/>
      <c r="HX158" s="131"/>
      <c r="HY158" s="131">
        <v>3</v>
      </c>
      <c r="HZ158" s="131"/>
      <c r="IA158" s="131"/>
      <c r="IB158" s="131"/>
      <c r="IC158" s="131"/>
      <c r="ID158" s="131"/>
      <c r="IE158" s="131"/>
      <c r="IF158" s="131"/>
      <c r="IG158" s="131"/>
      <c r="IH158" s="131"/>
      <c r="II158" s="131"/>
      <c r="IJ158" s="131"/>
      <c r="IK158" s="131"/>
      <c r="IL158" s="131"/>
      <c r="IM158" s="131"/>
      <c r="IN158" s="131"/>
      <c r="IO158" s="131"/>
      <c r="IP158" s="131"/>
      <c r="IQ158" s="131"/>
      <c r="IR158" s="131"/>
      <c r="IS158" s="131"/>
      <c r="IT158" s="131"/>
      <c r="IU158" s="131"/>
      <c r="IV158" s="131"/>
      <c r="IW158" s="131"/>
      <c r="IX158" s="131"/>
      <c r="IY158" s="131"/>
      <c r="IZ158" s="131"/>
      <c r="JA158" s="131"/>
      <c r="JB158" s="131"/>
      <c r="JC158" s="131"/>
      <c r="JD158" s="131"/>
      <c r="JE158" s="131"/>
      <c r="JF158" s="131"/>
      <c r="JG158" s="131"/>
      <c r="JH158" s="131"/>
      <c r="JI158" s="131"/>
      <c r="JJ158" s="131"/>
      <c r="JK158" s="131"/>
      <c r="JL158" s="131"/>
      <c r="JM158" s="131"/>
      <c r="JN158" s="131"/>
      <c r="JO158" s="131"/>
      <c r="JP158" s="131"/>
      <c r="JQ158" s="131"/>
      <c r="JR158" s="131"/>
      <c r="JS158" s="131"/>
      <c r="JT158" s="131"/>
      <c r="JU158" s="131"/>
      <c r="JV158" s="131"/>
      <c r="JW158" s="131"/>
      <c r="JX158" s="131"/>
      <c r="JY158" s="131"/>
      <c r="JZ158" s="131"/>
      <c r="KA158" s="131"/>
      <c r="KB158" s="131"/>
      <c r="KC158" s="131"/>
      <c r="KD158" s="131"/>
      <c r="KE158" s="131"/>
      <c r="KF158" s="131"/>
      <c r="KG158" s="131"/>
      <c r="KH158" s="131"/>
      <c r="KI158" s="131"/>
      <c r="KJ158" s="131"/>
      <c r="KK158" s="131"/>
      <c r="KL158" s="131"/>
      <c r="KM158" s="131"/>
      <c r="KN158" s="131"/>
      <c r="KO158" s="131"/>
      <c r="KP158" s="131"/>
      <c r="KQ158" s="131"/>
      <c r="KR158" s="131"/>
      <c r="KS158" s="131"/>
      <c r="KT158" s="131"/>
      <c r="KU158" s="131"/>
      <c r="KV158" s="131"/>
      <c r="KW158" s="131"/>
      <c r="KX158" s="131"/>
      <c r="KY158" s="131"/>
      <c r="KZ158" s="131"/>
      <c r="LA158" s="131"/>
      <c r="LB158" s="131"/>
      <c r="LC158" s="131"/>
      <c r="LD158" s="131"/>
      <c r="LE158" s="131"/>
      <c r="LF158" s="131"/>
      <c r="LG158" s="131"/>
      <c r="LH158" s="131"/>
      <c r="LI158" s="131"/>
      <c r="LJ158" s="131"/>
      <c r="LK158" s="131"/>
      <c r="LL158" s="131"/>
      <c r="LM158" s="131"/>
      <c r="LN158" s="131"/>
      <c r="LO158" s="131"/>
      <c r="LP158" s="131"/>
      <c r="LQ158" s="131"/>
      <c r="LR158" s="131"/>
      <c r="LS158" s="131"/>
      <c r="LT158" s="131"/>
      <c r="LU158" s="131"/>
      <c r="LV158" s="131"/>
      <c r="LW158" s="131"/>
      <c r="LX158" s="131"/>
      <c r="LY158" s="131"/>
      <c r="LZ158" s="131"/>
      <c r="MA158" s="131"/>
      <c r="MB158" s="131"/>
      <c r="MC158" s="131"/>
      <c r="MD158" s="131"/>
      <c r="ME158" s="131"/>
      <c r="MF158" s="131"/>
      <c r="MG158" s="131"/>
      <c r="MH158" s="131"/>
      <c r="MI158" s="131"/>
      <c r="MJ158" s="131"/>
      <c r="MK158" s="131"/>
      <c r="ML158" s="131"/>
      <c r="MM158" s="131"/>
      <c r="MN158" s="131"/>
      <c r="MO158" s="131"/>
      <c r="MP158" s="131"/>
      <c r="MQ158" s="131"/>
      <c r="MR158" s="131"/>
      <c r="MS158" s="131"/>
      <c r="MT158" s="131"/>
      <c r="MU158" s="131"/>
      <c r="MV158" s="131"/>
      <c r="MW158" s="131"/>
      <c r="MX158" s="131"/>
      <c r="MY158" s="131"/>
      <c r="MZ158" s="131"/>
      <c r="NA158" s="131"/>
      <c r="NB158" s="131"/>
      <c r="NC158" s="131"/>
      <c r="ND158" s="131"/>
      <c r="NE158" s="131"/>
      <c r="NF158" s="131"/>
      <c r="NG158" s="131"/>
      <c r="NH158" s="131"/>
      <c r="NI158" s="131"/>
      <c r="NJ158" s="131"/>
      <c r="NK158" s="131"/>
      <c r="NL158" s="131"/>
      <c r="NM158" s="131"/>
      <c r="NN158" s="131"/>
      <c r="NO158" s="131"/>
      <c r="NP158" s="131"/>
      <c r="NQ158" s="131"/>
      <c r="NR158" s="131"/>
      <c r="NS158" s="131"/>
      <c r="NT158" s="131"/>
      <c r="NU158" s="131"/>
      <c r="NV158" s="131"/>
      <c r="NW158" s="24">
        <f t="shared" si="17"/>
        <v>104</v>
      </c>
      <c r="NX158" s="56" t="s">
        <v>36</v>
      </c>
      <c r="NY158" s="127">
        <v>5049.46</v>
      </c>
      <c r="NZ158" s="78">
        <f t="shared" si="18"/>
        <v>0</v>
      </c>
      <c r="OA158" s="78">
        <v>2954.09</v>
      </c>
      <c r="OB158" s="127">
        <f t="shared" si="19"/>
        <v>5049.46</v>
      </c>
      <c r="OC158" s="153"/>
      <c r="OD158" s="108">
        <f t="shared" si="15"/>
        <v>1.7093114969415284</v>
      </c>
      <c r="OE158" s="160" t="s">
        <v>537</v>
      </c>
    </row>
    <row r="159" spans="1:395" s="5" customFormat="1" ht="12.75" hidden="1" customHeight="1" x14ac:dyDescent="0.25">
      <c r="A159" s="62">
        <v>44586</v>
      </c>
      <c r="B159" s="187" t="s">
        <v>576</v>
      </c>
      <c r="C159" s="129"/>
      <c r="D159" s="129"/>
      <c r="E159" s="130"/>
      <c r="F159" s="130"/>
      <c r="G159" s="130"/>
      <c r="H159" s="130"/>
      <c r="I159" s="130"/>
      <c r="J159" s="130"/>
      <c r="K159" s="130"/>
      <c r="L159" s="130"/>
      <c r="M159" s="131"/>
      <c r="N159" s="131"/>
      <c r="O159" s="131"/>
      <c r="P159" s="131"/>
      <c r="Q159" s="131"/>
      <c r="R159" s="131"/>
      <c r="S159" s="131"/>
      <c r="T159" s="131"/>
      <c r="U159" s="131"/>
      <c r="V159" s="131"/>
      <c r="W159" s="131"/>
      <c r="X159" s="131"/>
      <c r="Y159" s="131"/>
      <c r="Z159" s="131"/>
      <c r="AA159" s="131"/>
      <c r="AB159" s="131"/>
      <c r="AC159" s="131"/>
      <c r="AD159" s="131"/>
      <c r="AE159" s="131"/>
      <c r="AF159" s="131"/>
      <c r="AG159" s="131"/>
      <c r="AH159" s="131"/>
      <c r="AI159" s="131"/>
      <c r="AJ159" s="131"/>
      <c r="AK159" s="131"/>
      <c r="AL159" s="131"/>
      <c r="AM159" s="131"/>
      <c r="AN159" s="131"/>
      <c r="AO159" s="131"/>
      <c r="AP159" s="131"/>
      <c r="AQ159" s="131"/>
      <c r="AR159" s="131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1"/>
      <c r="BC159" s="131"/>
      <c r="BD159" s="131"/>
      <c r="BE159" s="131"/>
      <c r="BF159" s="131"/>
      <c r="BG159" s="131"/>
      <c r="BH159" s="131"/>
      <c r="BI159" s="131"/>
      <c r="BJ159" s="131"/>
      <c r="BK159" s="131"/>
      <c r="BL159" s="131"/>
      <c r="BM159" s="131"/>
      <c r="BN159" s="131"/>
      <c r="BO159" s="131"/>
      <c r="BP159" s="131"/>
      <c r="BQ159" s="131"/>
      <c r="BR159" s="131"/>
      <c r="BS159" s="131"/>
      <c r="BT159" s="131"/>
      <c r="BU159" s="131"/>
      <c r="BV159" s="131"/>
      <c r="BW159" s="131"/>
      <c r="BX159" s="131"/>
      <c r="BY159" s="131"/>
      <c r="BZ159" s="131"/>
      <c r="CA159" s="131"/>
      <c r="CB159" s="131"/>
      <c r="CC159" s="131"/>
      <c r="CD159" s="131"/>
      <c r="CE159" s="131"/>
      <c r="CF159" s="131"/>
      <c r="CG159" s="131"/>
      <c r="CH159" s="131"/>
      <c r="CI159" s="131"/>
      <c r="CJ159" s="131"/>
      <c r="CK159" s="131"/>
      <c r="CL159" s="131"/>
      <c r="CM159" s="131"/>
      <c r="CN159" s="131"/>
      <c r="CO159" s="131"/>
      <c r="CP159" s="131"/>
      <c r="CQ159" s="131"/>
      <c r="CR159" s="131"/>
      <c r="CS159" s="131"/>
      <c r="CT159" s="131"/>
      <c r="CU159" s="131"/>
      <c r="CV159" s="131"/>
      <c r="CW159" s="131"/>
      <c r="CX159" s="131"/>
      <c r="CY159" s="131"/>
      <c r="CZ159" s="131"/>
      <c r="DA159" s="131"/>
      <c r="DB159" s="131"/>
      <c r="DC159" s="131"/>
      <c r="DD159" s="131"/>
      <c r="DE159" s="131"/>
      <c r="DF159" s="131"/>
      <c r="DG159" s="131"/>
      <c r="DH159" s="131"/>
      <c r="DI159" s="131"/>
      <c r="DJ159" s="131"/>
      <c r="DK159" s="131"/>
      <c r="DL159" s="131"/>
      <c r="DM159" s="131"/>
      <c r="DN159" s="131"/>
      <c r="DO159" s="131"/>
      <c r="DP159" s="131"/>
      <c r="DQ159" s="131"/>
      <c r="DR159" s="131"/>
      <c r="DS159" s="131"/>
      <c r="DT159" s="131"/>
      <c r="DU159" s="131"/>
      <c r="DV159" s="131"/>
      <c r="DW159" s="131"/>
      <c r="DX159" s="131"/>
      <c r="DY159" s="131"/>
      <c r="DZ159" s="131"/>
      <c r="EA159" s="131"/>
      <c r="EB159" s="131"/>
      <c r="EC159" s="131"/>
      <c r="ED159" s="131"/>
      <c r="EE159" s="131"/>
      <c r="EF159" s="131"/>
      <c r="EG159" s="131"/>
      <c r="EH159" s="131"/>
      <c r="EI159" s="131"/>
      <c r="EJ159" s="131"/>
      <c r="EK159" s="131"/>
      <c r="EL159" s="131"/>
      <c r="EM159" s="131"/>
      <c r="EN159" s="131"/>
      <c r="EO159" s="131"/>
      <c r="EP159" s="131"/>
      <c r="EQ159" s="131"/>
      <c r="ER159" s="131"/>
      <c r="ES159" s="131"/>
      <c r="ET159" s="131"/>
      <c r="EU159" s="131"/>
      <c r="EV159" s="131"/>
      <c r="EW159" s="131"/>
      <c r="EX159" s="131"/>
      <c r="EY159" s="131"/>
      <c r="EZ159" s="131"/>
      <c r="FA159" s="131"/>
      <c r="FB159" s="131"/>
      <c r="FC159" s="131"/>
      <c r="FD159" s="131"/>
      <c r="FE159" s="131"/>
      <c r="FF159" s="131"/>
      <c r="FG159" s="131"/>
      <c r="FH159" s="131"/>
      <c r="FI159" s="131"/>
      <c r="FJ159" s="131"/>
      <c r="FK159" s="131"/>
      <c r="FL159" s="131"/>
      <c r="FM159" s="131"/>
      <c r="FN159" s="131"/>
      <c r="FO159" s="131"/>
      <c r="FP159" s="131"/>
      <c r="FQ159" s="131"/>
      <c r="FR159" s="131"/>
      <c r="FS159" s="131"/>
      <c r="FT159" s="131"/>
      <c r="FU159" s="131"/>
      <c r="FV159" s="131"/>
      <c r="FW159" s="131"/>
      <c r="FX159" s="131"/>
      <c r="FY159" s="131"/>
      <c r="FZ159" s="131"/>
      <c r="GA159" s="131"/>
      <c r="GB159" s="131"/>
      <c r="GC159" s="131"/>
      <c r="GD159" s="131"/>
      <c r="GE159" s="131"/>
      <c r="GF159" s="131"/>
      <c r="GG159" s="131"/>
      <c r="GH159" s="131"/>
      <c r="GI159" s="131"/>
      <c r="GJ159" s="131"/>
      <c r="GK159" s="131"/>
      <c r="GL159" s="131"/>
      <c r="GM159" s="131"/>
      <c r="GN159" s="131"/>
      <c r="GO159" s="131"/>
      <c r="GP159" s="131"/>
      <c r="GQ159" s="131"/>
      <c r="GR159" s="131"/>
      <c r="GS159" s="131"/>
      <c r="GT159" s="131"/>
      <c r="GU159" s="131"/>
      <c r="GV159" s="131"/>
      <c r="GW159" s="131"/>
      <c r="GX159" s="131"/>
      <c r="GY159" s="131"/>
      <c r="GZ159" s="131"/>
      <c r="HA159" s="131"/>
      <c r="HB159" s="131"/>
      <c r="HC159" s="131"/>
      <c r="HD159" s="131"/>
      <c r="HE159" s="131"/>
      <c r="HF159" s="131"/>
      <c r="HG159" s="131"/>
      <c r="HH159" s="131"/>
      <c r="HI159" s="131"/>
      <c r="HJ159" s="131"/>
      <c r="HK159" s="131"/>
      <c r="HL159" s="131"/>
      <c r="HM159" s="131"/>
      <c r="HN159" s="131"/>
      <c r="HO159" s="131"/>
      <c r="HP159" s="131"/>
      <c r="HQ159" s="131"/>
      <c r="HR159" s="131"/>
      <c r="HS159" s="131"/>
      <c r="HT159" s="131"/>
      <c r="HU159" s="131"/>
      <c r="HV159" s="131"/>
      <c r="HW159" s="131"/>
      <c r="HX159" s="131"/>
      <c r="HY159" s="131"/>
      <c r="HZ159" s="131"/>
      <c r="IA159" s="131"/>
      <c r="IB159" s="131"/>
      <c r="IC159" s="131"/>
      <c r="ID159" s="131"/>
      <c r="IE159" s="131"/>
      <c r="IF159" s="131"/>
      <c r="IG159" s="131"/>
      <c r="IH159" s="131"/>
      <c r="II159" s="131"/>
      <c r="IJ159" s="131"/>
      <c r="IK159" s="131"/>
      <c r="IL159" s="131"/>
      <c r="IM159" s="131"/>
      <c r="IN159" s="131"/>
      <c r="IO159" s="131"/>
      <c r="IP159" s="131"/>
      <c r="IQ159" s="131"/>
      <c r="IR159" s="131"/>
      <c r="IS159" s="131"/>
      <c r="IT159" s="131"/>
      <c r="IU159" s="131"/>
      <c r="IV159" s="131"/>
      <c r="IW159" s="131"/>
      <c r="IX159" s="131">
        <v>2</v>
      </c>
      <c r="IY159" s="131"/>
      <c r="IZ159" s="131"/>
      <c r="JA159" s="131"/>
      <c r="JB159" s="131"/>
      <c r="JC159" s="131"/>
      <c r="JD159" s="131"/>
      <c r="JE159" s="131"/>
      <c r="JF159" s="131"/>
      <c r="JG159" s="131"/>
      <c r="JH159" s="131"/>
      <c r="JI159" s="131"/>
      <c r="JJ159" s="131"/>
      <c r="JK159" s="131"/>
      <c r="JL159" s="131"/>
      <c r="JM159" s="131"/>
      <c r="JN159" s="131"/>
      <c r="JO159" s="131"/>
      <c r="JP159" s="131"/>
      <c r="JQ159" s="131"/>
      <c r="JR159" s="131"/>
      <c r="JS159" s="131"/>
      <c r="JT159" s="131"/>
      <c r="JU159" s="131"/>
      <c r="JV159" s="131"/>
      <c r="JW159" s="131"/>
      <c r="JX159" s="131"/>
      <c r="JY159" s="131"/>
      <c r="JZ159" s="131"/>
      <c r="KA159" s="131"/>
      <c r="KB159" s="131"/>
      <c r="KC159" s="131"/>
      <c r="KD159" s="131"/>
      <c r="KE159" s="131"/>
      <c r="KF159" s="131"/>
      <c r="KG159" s="131"/>
      <c r="KH159" s="131"/>
      <c r="KI159" s="131"/>
      <c r="KJ159" s="131"/>
      <c r="KK159" s="131"/>
      <c r="KL159" s="131"/>
      <c r="KM159" s="131"/>
      <c r="KN159" s="131"/>
      <c r="KO159" s="131"/>
      <c r="KP159" s="131"/>
      <c r="KQ159" s="131"/>
      <c r="KR159" s="131"/>
      <c r="KS159" s="131"/>
      <c r="KT159" s="131"/>
      <c r="KU159" s="131"/>
      <c r="KV159" s="131"/>
      <c r="KW159" s="131"/>
      <c r="KX159" s="131"/>
      <c r="KY159" s="131"/>
      <c r="KZ159" s="131"/>
      <c r="LA159" s="131"/>
      <c r="LB159" s="131"/>
      <c r="LC159" s="131"/>
      <c r="LD159" s="131"/>
      <c r="LE159" s="131"/>
      <c r="LF159" s="131"/>
      <c r="LG159" s="131"/>
      <c r="LH159" s="131"/>
      <c r="LI159" s="131"/>
      <c r="LJ159" s="131"/>
      <c r="LK159" s="131"/>
      <c r="LL159" s="131"/>
      <c r="LM159" s="131"/>
      <c r="LN159" s="131"/>
      <c r="LO159" s="131"/>
      <c r="LP159" s="131"/>
      <c r="LQ159" s="131"/>
      <c r="LR159" s="131"/>
      <c r="LS159" s="131"/>
      <c r="LT159" s="131"/>
      <c r="LU159" s="131"/>
      <c r="LV159" s="131"/>
      <c r="LW159" s="131"/>
      <c r="LX159" s="131"/>
      <c r="LY159" s="131"/>
      <c r="LZ159" s="131"/>
      <c r="MA159" s="131"/>
      <c r="MB159" s="131"/>
      <c r="MC159" s="131"/>
      <c r="MD159" s="131"/>
      <c r="ME159" s="131"/>
      <c r="MF159" s="131"/>
      <c r="MG159" s="131"/>
      <c r="MH159" s="131"/>
      <c r="MI159" s="131"/>
      <c r="MJ159" s="131"/>
      <c r="MK159" s="131"/>
      <c r="ML159" s="131"/>
      <c r="MM159" s="131"/>
      <c r="MN159" s="131"/>
      <c r="MO159" s="131"/>
      <c r="MP159" s="131"/>
      <c r="MQ159" s="131"/>
      <c r="MR159" s="131"/>
      <c r="MS159" s="131"/>
      <c r="MT159" s="131"/>
      <c r="MU159" s="131"/>
      <c r="MV159" s="131"/>
      <c r="MW159" s="131"/>
      <c r="MX159" s="131"/>
      <c r="MY159" s="131"/>
      <c r="MZ159" s="131"/>
      <c r="NA159" s="131"/>
      <c r="NB159" s="131"/>
      <c r="NC159" s="131"/>
      <c r="ND159" s="131"/>
      <c r="NE159" s="131"/>
      <c r="NF159" s="131"/>
      <c r="NG159" s="131"/>
      <c r="NH159" s="131"/>
      <c r="NI159" s="131"/>
      <c r="NJ159" s="131"/>
      <c r="NK159" s="131"/>
      <c r="NL159" s="131"/>
      <c r="NM159" s="131"/>
      <c r="NN159" s="131"/>
      <c r="NO159" s="131"/>
      <c r="NP159" s="131"/>
      <c r="NQ159" s="131"/>
      <c r="NR159" s="131"/>
      <c r="NS159" s="131"/>
      <c r="NT159" s="131"/>
      <c r="NU159" s="131"/>
      <c r="NV159" s="131"/>
      <c r="NW159" s="24">
        <f t="shared" si="17"/>
        <v>0</v>
      </c>
      <c r="NX159" s="56" t="s">
        <v>36</v>
      </c>
      <c r="NY159" s="127">
        <v>86.95</v>
      </c>
      <c r="NZ159" s="78">
        <f t="shared" si="18"/>
        <v>86.95</v>
      </c>
      <c r="OA159" s="78">
        <v>52.9</v>
      </c>
      <c r="OB159" s="127">
        <f t="shared" si="19"/>
        <v>0</v>
      </c>
      <c r="OC159" s="153">
        <v>86.95</v>
      </c>
      <c r="OD159" s="108">
        <f t="shared" si="15"/>
        <v>1.6436672967863895</v>
      </c>
      <c r="OE159" s="160"/>
    </row>
    <row r="160" spans="1:395" s="5" customFormat="1" ht="12.75" customHeight="1" x14ac:dyDescent="0.25">
      <c r="A160" s="62">
        <v>44586</v>
      </c>
      <c r="B160" s="106" t="s">
        <v>577</v>
      </c>
      <c r="C160" s="129"/>
      <c r="D160" s="129"/>
      <c r="E160" s="130"/>
      <c r="F160" s="130"/>
      <c r="G160" s="130"/>
      <c r="H160" s="130"/>
      <c r="I160" s="130"/>
      <c r="J160" s="130"/>
      <c r="K160" s="130"/>
      <c r="L160" s="130"/>
      <c r="M160" s="131"/>
      <c r="N160" s="131"/>
      <c r="O160" s="131"/>
      <c r="P160" s="131"/>
      <c r="Q160" s="131"/>
      <c r="R160" s="131"/>
      <c r="S160" s="131"/>
      <c r="T160" s="131"/>
      <c r="U160" s="131"/>
      <c r="V160" s="131"/>
      <c r="W160" s="131"/>
      <c r="X160" s="131"/>
      <c r="Y160" s="131"/>
      <c r="Z160" s="131"/>
      <c r="AA160" s="131"/>
      <c r="AB160" s="131"/>
      <c r="AC160" s="131"/>
      <c r="AD160" s="131"/>
      <c r="AE160" s="131"/>
      <c r="AF160" s="131"/>
      <c r="AG160" s="131"/>
      <c r="AH160" s="131"/>
      <c r="AI160" s="131"/>
      <c r="AJ160" s="131"/>
      <c r="AK160" s="131"/>
      <c r="AL160" s="131"/>
      <c r="AM160" s="131"/>
      <c r="AN160" s="131"/>
      <c r="AO160" s="131"/>
      <c r="AP160" s="131"/>
      <c r="AQ160" s="131"/>
      <c r="AR160" s="131"/>
      <c r="AS160" s="131"/>
      <c r="AT160" s="131"/>
      <c r="AU160" s="131"/>
      <c r="AV160" s="131"/>
      <c r="AW160" s="131"/>
      <c r="AX160" s="131"/>
      <c r="AY160" s="131"/>
      <c r="AZ160" s="131"/>
      <c r="BA160" s="131"/>
      <c r="BB160" s="131"/>
      <c r="BC160" s="131"/>
      <c r="BD160" s="131"/>
      <c r="BE160" s="131"/>
      <c r="BF160" s="131"/>
      <c r="BG160" s="131"/>
      <c r="BH160" s="131"/>
      <c r="BI160" s="131"/>
      <c r="BJ160" s="131"/>
      <c r="BK160" s="131"/>
      <c r="BL160" s="131"/>
      <c r="BM160" s="131"/>
      <c r="BN160" s="131"/>
      <c r="BO160" s="131"/>
      <c r="BP160" s="131"/>
      <c r="BQ160" s="131"/>
      <c r="BR160" s="131"/>
      <c r="BS160" s="131"/>
      <c r="BT160" s="131"/>
      <c r="BU160" s="131"/>
      <c r="BV160" s="131"/>
      <c r="BW160" s="131"/>
      <c r="BX160" s="131"/>
      <c r="BY160" s="131"/>
      <c r="BZ160" s="131"/>
      <c r="CA160" s="131"/>
      <c r="CB160" s="131"/>
      <c r="CC160" s="131"/>
      <c r="CD160" s="131"/>
      <c r="CE160" s="131"/>
      <c r="CF160" s="131"/>
      <c r="CG160" s="131"/>
      <c r="CH160" s="131"/>
      <c r="CI160" s="131"/>
      <c r="CJ160" s="131"/>
      <c r="CK160" s="131"/>
      <c r="CL160" s="131"/>
      <c r="CM160" s="131"/>
      <c r="CN160" s="131"/>
      <c r="CO160" s="131"/>
      <c r="CP160" s="131"/>
      <c r="CQ160" s="131"/>
      <c r="CR160" s="131"/>
      <c r="CS160" s="131"/>
      <c r="CT160" s="131"/>
      <c r="CU160" s="131"/>
      <c r="CV160" s="131"/>
      <c r="CW160" s="131"/>
      <c r="CX160" s="131"/>
      <c r="CY160" s="131"/>
      <c r="CZ160" s="131"/>
      <c r="DA160" s="131"/>
      <c r="DB160" s="131"/>
      <c r="DC160" s="131"/>
      <c r="DD160" s="131"/>
      <c r="DE160" s="131"/>
      <c r="DF160" s="131"/>
      <c r="DG160" s="131"/>
      <c r="DH160" s="131"/>
      <c r="DI160" s="131"/>
      <c r="DJ160" s="131"/>
      <c r="DK160" s="131"/>
      <c r="DL160" s="131"/>
      <c r="DM160" s="131"/>
      <c r="DN160" s="131"/>
      <c r="DO160" s="131"/>
      <c r="DP160" s="131"/>
      <c r="DQ160" s="131"/>
      <c r="DR160" s="131"/>
      <c r="DS160" s="131"/>
      <c r="DT160" s="131"/>
      <c r="DU160" s="131"/>
      <c r="DV160" s="131"/>
      <c r="DW160" s="131"/>
      <c r="DX160" s="131"/>
      <c r="DY160" s="131"/>
      <c r="DZ160" s="131"/>
      <c r="EA160" s="131"/>
      <c r="EB160" s="131"/>
      <c r="EC160" s="131"/>
      <c r="ED160" s="131"/>
      <c r="EE160" s="131"/>
      <c r="EF160" s="131"/>
      <c r="EG160" s="131"/>
      <c r="EH160" s="131"/>
      <c r="EI160" s="131"/>
      <c r="EJ160" s="131"/>
      <c r="EK160" s="131"/>
      <c r="EL160" s="131"/>
      <c r="EM160" s="131"/>
      <c r="EN160" s="131"/>
      <c r="EO160" s="131"/>
      <c r="EP160" s="131"/>
      <c r="EQ160" s="131"/>
      <c r="ER160" s="131"/>
      <c r="ES160" s="131"/>
      <c r="ET160" s="131"/>
      <c r="EU160" s="131"/>
      <c r="EV160" s="131"/>
      <c r="EW160" s="131"/>
      <c r="EX160" s="131"/>
      <c r="EY160" s="131"/>
      <c r="EZ160" s="131"/>
      <c r="FA160" s="131"/>
      <c r="FB160" s="131"/>
      <c r="FC160" s="131"/>
      <c r="FD160" s="131"/>
      <c r="FE160" s="131"/>
      <c r="FF160" s="131"/>
      <c r="FG160" s="131"/>
      <c r="FH160" s="131"/>
      <c r="FI160" s="131"/>
      <c r="FJ160" s="131"/>
      <c r="FK160" s="131"/>
      <c r="FL160" s="131"/>
      <c r="FM160" s="131"/>
      <c r="FN160" s="131"/>
      <c r="FO160" s="131"/>
      <c r="FP160" s="131"/>
      <c r="FQ160" s="131"/>
      <c r="FR160" s="131"/>
      <c r="FS160" s="131"/>
      <c r="FT160" s="131"/>
      <c r="FU160" s="131"/>
      <c r="FV160" s="131"/>
      <c r="FW160" s="131"/>
      <c r="FX160" s="131"/>
      <c r="FY160" s="131"/>
      <c r="FZ160" s="131"/>
      <c r="GA160" s="131"/>
      <c r="GB160" s="131"/>
      <c r="GC160" s="131"/>
      <c r="GD160" s="131"/>
      <c r="GE160" s="131"/>
      <c r="GF160" s="131"/>
      <c r="GG160" s="131"/>
      <c r="GH160" s="131"/>
      <c r="GI160" s="131"/>
      <c r="GJ160" s="131"/>
      <c r="GK160" s="131"/>
      <c r="GL160" s="131"/>
      <c r="GM160" s="131"/>
      <c r="GN160" s="131"/>
      <c r="GO160" s="131"/>
      <c r="GP160" s="131"/>
      <c r="GQ160" s="131"/>
      <c r="GR160" s="131"/>
      <c r="GS160" s="131"/>
      <c r="GT160" s="131"/>
      <c r="GU160" s="131"/>
      <c r="GV160" s="131"/>
      <c r="GW160" s="131"/>
      <c r="GX160" s="131"/>
      <c r="GY160" s="131"/>
      <c r="GZ160" s="131"/>
      <c r="HA160" s="131"/>
      <c r="HB160" s="131"/>
      <c r="HC160" s="131"/>
      <c r="HD160" s="131"/>
      <c r="HE160" s="131"/>
      <c r="HF160" s="131"/>
      <c r="HG160" s="131"/>
      <c r="HH160" s="131"/>
      <c r="HI160" s="131"/>
      <c r="HJ160" s="131"/>
      <c r="HK160" s="131"/>
      <c r="HL160" s="131"/>
      <c r="HM160" s="131"/>
      <c r="HN160" s="131"/>
      <c r="HO160" s="131"/>
      <c r="HP160" s="131"/>
      <c r="HQ160" s="131"/>
      <c r="HR160" s="131"/>
      <c r="HS160" s="131"/>
      <c r="HT160" s="131"/>
      <c r="HU160" s="131"/>
      <c r="HV160" s="131"/>
      <c r="HW160" s="131"/>
      <c r="HX160" s="131"/>
      <c r="HY160" s="131"/>
      <c r="HZ160" s="131"/>
      <c r="IA160" s="131"/>
      <c r="IB160" s="131"/>
      <c r="IC160" s="131"/>
      <c r="ID160" s="131"/>
      <c r="IE160" s="131"/>
      <c r="IF160" s="131"/>
      <c r="IG160" s="131"/>
      <c r="IH160" s="131"/>
      <c r="II160" s="131"/>
      <c r="IJ160" s="131"/>
      <c r="IK160" s="131"/>
      <c r="IL160" s="131"/>
      <c r="IM160" s="131"/>
      <c r="IN160" s="131"/>
      <c r="IO160" s="131"/>
      <c r="IP160" s="131"/>
      <c r="IQ160" s="131"/>
      <c r="IR160" s="131"/>
      <c r="IS160" s="131"/>
      <c r="IT160" s="131"/>
      <c r="IU160" s="131"/>
      <c r="IV160" s="131"/>
      <c r="IW160" s="131"/>
      <c r="IX160" s="131"/>
      <c r="IY160" s="131"/>
      <c r="IZ160" s="131"/>
      <c r="JA160" s="131"/>
      <c r="JB160" s="131"/>
      <c r="JC160" s="131"/>
      <c r="JD160" s="131"/>
      <c r="JE160" s="131"/>
      <c r="JF160" s="131"/>
      <c r="JG160" s="131"/>
      <c r="JH160" s="131"/>
      <c r="JI160" s="131"/>
      <c r="JJ160" s="131"/>
      <c r="JK160" s="131"/>
      <c r="JL160" s="131"/>
      <c r="JM160" s="131"/>
      <c r="JN160" s="131"/>
      <c r="JO160" s="131"/>
      <c r="JP160" s="131"/>
      <c r="JQ160" s="131"/>
      <c r="JR160" s="131"/>
      <c r="JS160" s="131"/>
      <c r="JT160" s="131"/>
      <c r="JU160" s="131"/>
      <c r="JV160" s="131"/>
      <c r="JW160" s="131"/>
      <c r="JX160" s="131"/>
      <c r="JY160" s="131"/>
      <c r="JZ160" s="131"/>
      <c r="KA160" s="131"/>
      <c r="KB160" s="131"/>
      <c r="KC160" s="131"/>
      <c r="KD160" s="131"/>
      <c r="KE160" s="131"/>
      <c r="KF160" s="131"/>
      <c r="KG160" s="131"/>
      <c r="KH160" s="131"/>
      <c r="KI160" s="131"/>
      <c r="KJ160" s="131"/>
      <c r="KK160" s="131"/>
      <c r="KL160" s="131"/>
      <c r="KM160" s="131"/>
      <c r="KN160" s="131"/>
      <c r="KO160" s="131"/>
      <c r="KP160" s="131"/>
      <c r="KQ160" s="131"/>
      <c r="KR160" s="131"/>
      <c r="KS160" s="131"/>
      <c r="KT160" s="131"/>
      <c r="KU160" s="131"/>
      <c r="KV160" s="131"/>
      <c r="KW160" s="131"/>
      <c r="KX160" s="131"/>
      <c r="KY160" s="131"/>
      <c r="KZ160" s="131"/>
      <c r="LA160" s="131"/>
      <c r="LB160" s="131"/>
      <c r="LC160" s="131"/>
      <c r="LD160" s="131"/>
      <c r="LE160" s="131"/>
      <c r="LF160" s="131"/>
      <c r="LG160" s="131"/>
      <c r="LH160" s="131"/>
      <c r="LI160" s="131"/>
      <c r="LJ160" s="131"/>
      <c r="LK160" s="131"/>
      <c r="LL160" s="131"/>
      <c r="LM160" s="131"/>
      <c r="LN160" s="131"/>
      <c r="LO160" s="131"/>
      <c r="LP160" s="131"/>
      <c r="LQ160" s="131"/>
      <c r="LR160" s="131"/>
      <c r="LS160" s="131"/>
      <c r="LT160" s="131"/>
      <c r="LU160" s="131"/>
      <c r="LV160" s="131"/>
      <c r="LW160" s="131"/>
      <c r="LX160" s="131"/>
      <c r="LY160" s="131"/>
      <c r="LZ160" s="131"/>
      <c r="MA160" s="131"/>
      <c r="MB160" s="131"/>
      <c r="MC160" s="131"/>
      <c r="MD160" s="131"/>
      <c r="ME160" s="131"/>
      <c r="MF160" s="131"/>
      <c r="MG160" s="131"/>
      <c r="MH160" s="131"/>
      <c r="MI160" s="131"/>
      <c r="MJ160" s="131"/>
      <c r="MK160" s="131"/>
      <c r="ML160" s="131"/>
      <c r="MM160" s="131"/>
      <c r="MN160" s="131"/>
      <c r="MO160" s="131"/>
      <c r="MP160" s="131"/>
      <c r="MQ160" s="131"/>
      <c r="MR160" s="131"/>
      <c r="MS160" s="131"/>
      <c r="MT160" s="131"/>
      <c r="MU160" s="131"/>
      <c r="MV160" s="131"/>
      <c r="MW160" s="131"/>
      <c r="MX160" s="131"/>
      <c r="MY160" s="131"/>
      <c r="MZ160" s="131"/>
      <c r="NA160" s="131"/>
      <c r="NB160" s="131">
        <v>4</v>
      </c>
      <c r="NC160" s="131"/>
      <c r="ND160" s="131"/>
      <c r="NE160" s="131"/>
      <c r="NF160" s="131"/>
      <c r="NG160" s="131"/>
      <c r="NH160" s="131"/>
      <c r="NI160" s="131"/>
      <c r="NJ160" s="131"/>
      <c r="NK160" s="131"/>
      <c r="NL160" s="131"/>
      <c r="NM160" s="131"/>
      <c r="NN160" s="131"/>
      <c r="NO160" s="131"/>
      <c r="NP160" s="131"/>
      <c r="NQ160" s="131"/>
      <c r="NR160" s="131"/>
      <c r="NS160" s="131"/>
      <c r="NT160" s="131"/>
      <c r="NU160" s="131"/>
      <c r="NV160" s="131"/>
      <c r="NW160" s="24">
        <f t="shared" si="17"/>
        <v>4</v>
      </c>
      <c r="NX160" s="56" t="s">
        <v>72</v>
      </c>
      <c r="NY160" s="127">
        <v>395.57</v>
      </c>
      <c r="NZ160" s="78">
        <f t="shared" si="18"/>
        <v>0</v>
      </c>
      <c r="OA160" s="78">
        <v>271.60000000000002</v>
      </c>
      <c r="OB160" s="127">
        <f t="shared" si="19"/>
        <v>395.57</v>
      </c>
      <c r="OC160" s="153"/>
      <c r="OD160" s="108">
        <f t="shared" si="15"/>
        <v>1.4564432989690721</v>
      </c>
      <c r="OE160" s="160" t="s">
        <v>537</v>
      </c>
    </row>
    <row r="161" spans="1:395" s="5" customFormat="1" ht="12.75" customHeight="1" x14ac:dyDescent="0.25">
      <c r="A161" s="62">
        <v>44586</v>
      </c>
      <c r="B161" s="116" t="s">
        <v>244</v>
      </c>
      <c r="C161" s="129"/>
      <c r="D161" s="129"/>
      <c r="E161" s="130"/>
      <c r="F161" s="130"/>
      <c r="G161" s="130"/>
      <c r="H161" s="130"/>
      <c r="I161" s="130"/>
      <c r="J161" s="130"/>
      <c r="K161" s="130"/>
      <c r="L161" s="130"/>
      <c r="M161" s="131"/>
      <c r="N161" s="131"/>
      <c r="O161" s="131"/>
      <c r="P161" s="131"/>
      <c r="Q161" s="131"/>
      <c r="R161" s="131"/>
      <c r="S161" s="131"/>
      <c r="T161" s="131"/>
      <c r="U161" s="131"/>
      <c r="V161" s="131"/>
      <c r="W161" s="131"/>
      <c r="X161" s="131"/>
      <c r="Y161" s="131"/>
      <c r="Z161" s="131"/>
      <c r="AA161" s="131"/>
      <c r="AB161" s="131"/>
      <c r="AC161" s="131"/>
      <c r="AD161" s="131"/>
      <c r="AE161" s="131"/>
      <c r="AF161" s="131"/>
      <c r="AG161" s="131"/>
      <c r="AH161" s="131"/>
      <c r="AI161" s="131"/>
      <c r="AJ161" s="131"/>
      <c r="AK161" s="131"/>
      <c r="AL161" s="131"/>
      <c r="AM161" s="131"/>
      <c r="AN161" s="131"/>
      <c r="AO161" s="131"/>
      <c r="AP161" s="131"/>
      <c r="AQ161" s="131"/>
      <c r="AR161" s="131"/>
      <c r="AS161" s="131"/>
      <c r="AT161" s="131"/>
      <c r="AU161" s="131"/>
      <c r="AV161" s="131"/>
      <c r="AW161" s="131"/>
      <c r="AX161" s="131"/>
      <c r="AY161" s="131"/>
      <c r="AZ161" s="131"/>
      <c r="BA161" s="131"/>
      <c r="BB161" s="131"/>
      <c r="BC161" s="131"/>
      <c r="BD161" s="131"/>
      <c r="BE161" s="131"/>
      <c r="BF161" s="131"/>
      <c r="BG161" s="131"/>
      <c r="BH161" s="131"/>
      <c r="BI161" s="131"/>
      <c r="BJ161" s="131"/>
      <c r="BK161" s="131"/>
      <c r="BL161" s="131"/>
      <c r="BM161" s="131"/>
      <c r="BN161" s="131"/>
      <c r="BO161" s="131"/>
      <c r="BP161" s="131"/>
      <c r="BQ161" s="131"/>
      <c r="BR161" s="131"/>
      <c r="BS161" s="131"/>
      <c r="BT161" s="131"/>
      <c r="BU161" s="131"/>
      <c r="BV161" s="131"/>
      <c r="BW161" s="131"/>
      <c r="BX161" s="131"/>
      <c r="BY161" s="131"/>
      <c r="BZ161" s="131"/>
      <c r="CA161" s="131"/>
      <c r="CB161" s="131"/>
      <c r="CC161" s="131"/>
      <c r="CD161" s="131"/>
      <c r="CE161" s="131"/>
      <c r="CF161" s="131"/>
      <c r="CG161" s="131"/>
      <c r="CH161" s="131"/>
      <c r="CI161" s="131"/>
      <c r="CJ161" s="131"/>
      <c r="CK161" s="131"/>
      <c r="CL161" s="131"/>
      <c r="CM161" s="131"/>
      <c r="CN161" s="131"/>
      <c r="CO161" s="131"/>
      <c r="CP161" s="131"/>
      <c r="CQ161" s="131"/>
      <c r="CR161" s="131"/>
      <c r="CS161" s="131"/>
      <c r="CT161" s="131"/>
      <c r="CU161" s="131"/>
      <c r="CV161" s="131"/>
      <c r="CW161" s="131"/>
      <c r="CX161" s="131"/>
      <c r="CY161" s="131"/>
      <c r="CZ161" s="131"/>
      <c r="DA161" s="131"/>
      <c r="DB161" s="131"/>
      <c r="DC161" s="131"/>
      <c r="DD161" s="131"/>
      <c r="DE161" s="131"/>
      <c r="DF161" s="131"/>
      <c r="DG161" s="131"/>
      <c r="DH161" s="131"/>
      <c r="DI161" s="131"/>
      <c r="DJ161" s="131"/>
      <c r="DK161" s="131"/>
      <c r="DL161" s="131"/>
      <c r="DM161" s="131"/>
      <c r="DN161" s="131"/>
      <c r="DO161" s="131"/>
      <c r="DP161" s="131"/>
      <c r="DQ161" s="131"/>
      <c r="DR161" s="131"/>
      <c r="DS161" s="131"/>
      <c r="DT161" s="131"/>
      <c r="DU161" s="131"/>
      <c r="DV161" s="131"/>
      <c r="DW161" s="131"/>
      <c r="DX161" s="131"/>
      <c r="DY161" s="131"/>
      <c r="DZ161" s="131"/>
      <c r="EA161" s="131"/>
      <c r="EB161" s="131"/>
      <c r="EC161" s="131"/>
      <c r="ED161" s="131"/>
      <c r="EE161" s="131"/>
      <c r="EF161" s="131"/>
      <c r="EG161" s="131"/>
      <c r="EH161" s="131"/>
      <c r="EI161" s="131"/>
      <c r="EJ161" s="131"/>
      <c r="EK161" s="131"/>
      <c r="EL161" s="131"/>
      <c r="EM161" s="131"/>
      <c r="EN161" s="131"/>
      <c r="EO161" s="131"/>
      <c r="EP161" s="131"/>
      <c r="EQ161" s="131"/>
      <c r="ER161" s="131"/>
      <c r="ES161" s="131"/>
      <c r="ET161" s="131"/>
      <c r="EU161" s="131"/>
      <c r="EV161" s="131"/>
      <c r="EW161" s="131"/>
      <c r="EX161" s="131"/>
      <c r="EY161" s="131"/>
      <c r="EZ161" s="131"/>
      <c r="FA161" s="131"/>
      <c r="FB161" s="131"/>
      <c r="FC161" s="131"/>
      <c r="FD161" s="131"/>
      <c r="FE161" s="131"/>
      <c r="FF161" s="131"/>
      <c r="FG161" s="131"/>
      <c r="FH161" s="131"/>
      <c r="FI161" s="131"/>
      <c r="FJ161" s="131"/>
      <c r="FK161" s="131"/>
      <c r="FL161" s="131"/>
      <c r="FM161" s="131"/>
      <c r="FN161" s="131"/>
      <c r="FO161" s="131"/>
      <c r="FP161" s="131"/>
      <c r="FQ161" s="131"/>
      <c r="FR161" s="131"/>
      <c r="FS161" s="131"/>
      <c r="FT161" s="131"/>
      <c r="FU161" s="131"/>
      <c r="FV161" s="131"/>
      <c r="FW161" s="131"/>
      <c r="FX161" s="131"/>
      <c r="FY161" s="131"/>
      <c r="FZ161" s="131"/>
      <c r="GA161" s="131"/>
      <c r="GB161" s="131"/>
      <c r="GC161" s="131"/>
      <c r="GD161" s="131"/>
      <c r="GE161" s="131"/>
      <c r="GF161" s="131"/>
      <c r="GG161" s="131"/>
      <c r="GH161" s="131"/>
      <c r="GI161" s="131"/>
      <c r="GJ161" s="131"/>
      <c r="GK161" s="131"/>
      <c r="GL161" s="131"/>
      <c r="GM161" s="131"/>
      <c r="GN161" s="131"/>
      <c r="GO161" s="131"/>
      <c r="GP161" s="131"/>
      <c r="GQ161" s="131"/>
      <c r="GR161" s="131"/>
      <c r="GS161" s="131"/>
      <c r="GT161" s="131"/>
      <c r="GU161" s="131"/>
      <c r="GV161" s="131"/>
      <c r="GW161" s="131"/>
      <c r="GX161" s="131"/>
      <c r="GY161" s="131"/>
      <c r="GZ161" s="131"/>
      <c r="HA161" s="131"/>
      <c r="HB161" s="131"/>
      <c r="HC161" s="131"/>
      <c r="HD161" s="131"/>
      <c r="HE161" s="131"/>
      <c r="HF161" s="131"/>
      <c r="HG161" s="131"/>
      <c r="HH161" s="131"/>
      <c r="HI161" s="131"/>
      <c r="HJ161" s="131"/>
      <c r="HK161" s="131"/>
      <c r="HL161" s="131"/>
      <c r="HM161" s="131"/>
      <c r="HN161" s="131"/>
      <c r="HO161" s="131"/>
      <c r="HP161" s="131"/>
      <c r="HQ161" s="131"/>
      <c r="HR161" s="131"/>
      <c r="HS161" s="131"/>
      <c r="HT161" s="131"/>
      <c r="HU161" s="131"/>
      <c r="HV161" s="131"/>
      <c r="HW161" s="131"/>
      <c r="HX161" s="131"/>
      <c r="HY161" s="131"/>
      <c r="HZ161" s="131"/>
      <c r="IA161" s="131"/>
      <c r="IB161" s="131"/>
      <c r="IC161" s="131"/>
      <c r="ID161" s="131"/>
      <c r="IE161" s="131"/>
      <c r="IF161" s="131"/>
      <c r="IG161" s="131"/>
      <c r="IH161" s="131"/>
      <c r="II161" s="131"/>
      <c r="IJ161" s="131"/>
      <c r="IK161" s="131"/>
      <c r="IL161" s="131"/>
      <c r="IM161" s="131"/>
      <c r="IN161" s="131"/>
      <c r="IO161" s="131"/>
      <c r="IP161" s="131"/>
      <c r="IQ161" s="131"/>
      <c r="IR161" s="131"/>
      <c r="IS161" s="131"/>
      <c r="IT161" s="131"/>
      <c r="IU161" s="131"/>
      <c r="IV161" s="131"/>
      <c r="IW161" s="131"/>
      <c r="IX161" s="131"/>
      <c r="IY161" s="131"/>
      <c r="IZ161" s="131"/>
      <c r="JA161" s="131"/>
      <c r="JB161" s="131"/>
      <c r="JC161" s="131"/>
      <c r="JD161" s="131"/>
      <c r="JE161" s="131"/>
      <c r="JF161" s="131"/>
      <c r="JG161" s="131"/>
      <c r="JH161" s="131"/>
      <c r="JI161" s="131"/>
      <c r="JJ161" s="131"/>
      <c r="JK161" s="131"/>
      <c r="JL161" s="131"/>
      <c r="JM161" s="131"/>
      <c r="JN161" s="131"/>
      <c r="JO161" s="131"/>
      <c r="JP161" s="131"/>
      <c r="JQ161" s="131"/>
      <c r="JR161" s="131"/>
      <c r="JS161" s="131"/>
      <c r="JT161" s="131"/>
      <c r="JU161" s="131"/>
      <c r="JV161" s="131"/>
      <c r="JW161" s="131"/>
      <c r="JX161" s="131"/>
      <c r="JY161" s="131"/>
      <c r="JZ161" s="131"/>
      <c r="KA161" s="131"/>
      <c r="KB161" s="131"/>
      <c r="KC161" s="131"/>
      <c r="KD161" s="131"/>
      <c r="KE161" s="131"/>
      <c r="KF161" s="131"/>
      <c r="KG161" s="131"/>
      <c r="KH161" s="131"/>
      <c r="KI161" s="131"/>
      <c r="KJ161" s="131"/>
      <c r="KK161" s="131"/>
      <c r="KL161" s="131"/>
      <c r="KM161" s="131"/>
      <c r="KN161" s="131"/>
      <c r="KO161" s="131"/>
      <c r="KP161" s="131"/>
      <c r="KQ161" s="131"/>
      <c r="KR161" s="131"/>
      <c r="KS161" s="131"/>
      <c r="KT161" s="131"/>
      <c r="KU161" s="131"/>
      <c r="KV161" s="131"/>
      <c r="KW161" s="131"/>
      <c r="KX161" s="131"/>
      <c r="KY161" s="131"/>
      <c r="KZ161" s="131"/>
      <c r="LA161" s="131"/>
      <c r="LB161" s="131"/>
      <c r="LC161" s="131"/>
      <c r="LD161" s="131"/>
      <c r="LE161" s="131"/>
      <c r="LF161" s="131"/>
      <c r="LG161" s="131"/>
      <c r="LH161" s="131"/>
      <c r="LI161" s="131"/>
      <c r="LJ161" s="131"/>
      <c r="LK161" s="131"/>
      <c r="LL161" s="131"/>
      <c r="LM161" s="131"/>
      <c r="LN161" s="131"/>
      <c r="LO161" s="131"/>
      <c r="LP161" s="131"/>
      <c r="LQ161" s="131"/>
      <c r="LR161" s="131"/>
      <c r="LS161" s="131"/>
      <c r="LT161" s="131"/>
      <c r="LU161" s="131"/>
      <c r="LV161" s="131"/>
      <c r="LW161" s="131"/>
      <c r="LX161" s="131"/>
      <c r="LY161" s="131"/>
      <c r="LZ161" s="131"/>
      <c r="MA161" s="131"/>
      <c r="MB161" s="131"/>
      <c r="MC161" s="131"/>
      <c r="MD161" s="131"/>
      <c r="ME161" s="131"/>
      <c r="MF161" s="131"/>
      <c r="MG161" s="131"/>
      <c r="MH161" s="131"/>
      <c r="MI161" s="131"/>
      <c r="MJ161" s="131"/>
      <c r="MK161" s="131"/>
      <c r="ML161" s="131"/>
      <c r="MM161" s="131"/>
      <c r="MN161" s="131"/>
      <c r="MO161" s="131"/>
      <c r="MP161" s="131"/>
      <c r="MQ161" s="131">
        <v>176</v>
      </c>
      <c r="MR161" s="131"/>
      <c r="MS161" s="131"/>
      <c r="MT161" s="131"/>
      <c r="MU161" s="131"/>
      <c r="MV161" s="131"/>
      <c r="MW161" s="131"/>
      <c r="MX161" s="131"/>
      <c r="MY161" s="131"/>
      <c r="MZ161" s="131"/>
      <c r="NA161" s="131"/>
      <c r="NB161" s="131"/>
      <c r="NC161" s="131"/>
      <c r="ND161" s="131"/>
      <c r="NE161" s="131"/>
      <c r="NF161" s="131"/>
      <c r="NG161" s="131"/>
      <c r="NH161" s="131"/>
      <c r="NI161" s="131"/>
      <c r="NJ161" s="131"/>
      <c r="NK161" s="131"/>
      <c r="NL161" s="131"/>
      <c r="NM161" s="131"/>
      <c r="NN161" s="131"/>
      <c r="NO161" s="131"/>
      <c r="NP161" s="131"/>
      <c r="NQ161" s="131"/>
      <c r="NR161" s="131"/>
      <c r="NS161" s="131"/>
      <c r="NT161" s="131"/>
      <c r="NU161" s="131"/>
      <c r="NV161" s="131"/>
      <c r="NW161" s="24">
        <f t="shared" si="17"/>
        <v>176</v>
      </c>
      <c r="NX161" s="56" t="s">
        <v>72</v>
      </c>
      <c r="NY161" s="127">
        <v>1488.96</v>
      </c>
      <c r="NZ161" s="78">
        <f t="shared" si="18"/>
        <v>0</v>
      </c>
      <c r="OA161" s="78">
        <v>851.83999999999992</v>
      </c>
      <c r="OB161" s="127">
        <f t="shared" si="19"/>
        <v>1488.96</v>
      </c>
      <c r="OC161" s="153"/>
      <c r="OD161" s="108">
        <f t="shared" si="15"/>
        <v>1.7479338842975209</v>
      </c>
      <c r="OE161" s="160" t="s">
        <v>537</v>
      </c>
    </row>
    <row r="162" spans="1:395" s="5" customFormat="1" ht="12.75" customHeight="1" x14ac:dyDescent="0.25">
      <c r="A162" s="62">
        <v>44586</v>
      </c>
      <c r="B162" s="116" t="s">
        <v>439</v>
      </c>
      <c r="C162" s="129"/>
      <c r="D162" s="129"/>
      <c r="E162" s="130"/>
      <c r="F162" s="130"/>
      <c r="G162" s="130"/>
      <c r="H162" s="130"/>
      <c r="I162" s="130"/>
      <c r="J162" s="130"/>
      <c r="K162" s="130"/>
      <c r="L162" s="130"/>
      <c r="M162" s="131"/>
      <c r="N162" s="131"/>
      <c r="O162" s="131"/>
      <c r="P162" s="131"/>
      <c r="Q162" s="131"/>
      <c r="R162" s="131"/>
      <c r="S162" s="131"/>
      <c r="T162" s="131"/>
      <c r="U162" s="131"/>
      <c r="V162" s="131"/>
      <c r="W162" s="131"/>
      <c r="X162" s="131"/>
      <c r="Y162" s="131"/>
      <c r="Z162" s="131"/>
      <c r="AA162" s="131"/>
      <c r="AB162" s="131"/>
      <c r="AC162" s="131"/>
      <c r="AD162" s="131"/>
      <c r="AE162" s="131"/>
      <c r="AF162" s="131"/>
      <c r="AG162" s="131"/>
      <c r="AH162" s="131"/>
      <c r="AI162" s="131"/>
      <c r="AJ162" s="131"/>
      <c r="AK162" s="131"/>
      <c r="AL162" s="131"/>
      <c r="AM162" s="131"/>
      <c r="AN162" s="131"/>
      <c r="AO162" s="131"/>
      <c r="AP162" s="131"/>
      <c r="AQ162" s="131"/>
      <c r="AR162" s="131"/>
      <c r="AS162" s="131"/>
      <c r="AT162" s="131"/>
      <c r="AU162" s="131"/>
      <c r="AV162" s="131"/>
      <c r="AW162" s="131"/>
      <c r="AX162" s="131"/>
      <c r="AY162" s="131"/>
      <c r="AZ162" s="131"/>
      <c r="BA162" s="131"/>
      <c r="BB162" s="131"/>
      <c r="BC162" s="131"/>
      <c r="BD162" s="131"/>
      <c r="BE162" s="131"/>
      <c r="BF162" s="131"/>
      <c r="BG162" s="131"/>
      <c r="BH162" s="131"/>
      <c r="BI162" s="131"/>
      <c r="BJ162" s="131"/>
      <c r="BK162" s="131"/>
      <c r="BL162" s="131"/>
      <c r="BM162" s="131"/>
      <c r="BN162" s="131"/>
      <c r="BO162" s="131"/>
      <c r="BP162" s="131"/>
      <c r="BQ162" s="131"/>
      <c r="BR162" s="131"/>
      <c r="BS162" s="131"/>
      <c r="BT162" s="131"/>
      <c r="BU162" s="131"/>
      <c r="BV162" s="131"/>
      <c r="BW162" s="131"/>
      <c r="BX162" s="131"/>
      <c r="BY162" s="131"/>
      <c r="BZ162" s="131"/>
      <c r="CA162" s="131"/>
      <c r="CB162" s="131"/>
      <c r="CC162" s="131"/>
      <c r="CD162" s="131"/>
      <c r="CE162" s="131"/>
      <c r="CF162" s="131"/>
      <c r="CG162" s="131"/>
      <c r="CH162" s="131"/>
      <c r="CI162" s="131"/>
      <c r="CJ162" s="131"/>
      <c r="CK162" s="131"/>
      <c r="CL162" s="131"/>
      <c r="CM162" s="131"/>
      <c r="CN162" s="131"/>
      <c r="CO162" s="131"/>
      <c r="CP162" s="131"/>
      <c r="CQ162" s="131"/>
      <c r="CR162" s="131"/>
      <c r="CS162" s="131"/>
      <c r="CT162" s="131"/>
      <c r="CU162" s="131"/>
      <c r="CV162" s="131"/>
      <c r="CW162" s="131"/>
      <c r="CX162" s="131"/>
      <c r="CY162" s="131"/>
      <c r="CZ162" s="131"/>
      <c r="DA162" s="131"/>
      <c r="DB162" s="131"/>
      <c r="DC162" s="131"/>
      <c r="DD162" s="131"/>
      <c r="DE162" s="131"/>
      <c r="DF162" s="131"/>
      <c r="DG162" s="131"/>
      <c r="DH162" s="131"/>
      <c r="DI162" s="131"/>
      <c r="DJ162" s="131"/>
      <c r="DK162" s="131"/>
      <c r="DL162" s="131"/>
      <c r="DM162" s="131"/>
      <c r="DN162" s="131"/>
      <c r="DO162" s="131"/>
      <c r="DP162" s="131"/>
      <c r="DQ162" s="131"/>
      <c r="DR162" s="131"/>
      <c r="DS162" s="131"/>
      <c r="DT162" s="131"/>
      <c r="DU162" s="131"/>
      <c r="DV162" s="131"/>
      <c r="DW162" s="131"/>
      <c r="DX162" s="131"/>
      <c r="DY162" s="131"/>
      <c r="DZ162" s="131"/>
      <c r="EA162" s="131"/>
      <c r="EB162" s="131"/>
      <c r="EC162" s="131"/>
      <c r="ED162" s="131"/>
      <c r="EE162" s="131"/>
      <c r="EF162" s="131"/>
      <c r="EG162" s="131"/>
      <c r="EH162" s="131"/>
      <c r="EI162" s="131"/>
      <c r="EJ162" s="131"/>
      <c r="EK162" s="131"/>
      <c r="EL162" s="131"/>
      <c r="EM162" s="131"/>
      <c r="EN162" s="131"/>
      <c r="EO162" s="131"/>
      <c r="EP162" s="131"/>
      <c r="EQ162" s="131"/>
      <c r="ER162" s="131"/>
      <c r="ES162" s="131"/>
      <c r="ET162" s="131"/>
      <c r="EU162" s="131"/>
      <c r="EV162" s="131"/>
      <c r="EW162" s="131"/>
      <c r="EX162" s="131"/>
      <c r="EY162" s="131"/>
      <c r="EZ162" s="131"/>
      <c r="FA162" s="131"/>
      <c r="FB162" s="131"/>
      <c r="FC162" s="131"/>
      <c r="FD162" s="131"/>
      <c r="FE162" s="131"/>
      <c r="FF162" s="131"/>
      <c r="FG162" s="131"/>
      <c r="FH162" s="131"/>
      <c r="FI162" s="131"/>
      <c r="FJ162" s="131"/>
      <c r="FK162" s="131"/>
      <c r="FL162" s="131"/>
      <c r="FM162" s="131"/>
      <c r="FN162" s="131"/>
      <c r="FO162" s="131"/>
      <c r="FP162" s="131">
        <v>20</v>
      </c>
      <c r="FQ162" s="131"/>
      <c r="FR162" s="131"/>
      <c r="FS162" s="131"/>
      <c r="FT162" s="131"/>
      <c r="FU162" s="131"/>
      <c r="FV162" s="131"/>
      <c r="FW162" s="131"/>
      <c r="FX162" s="131"/>
      <c r="FY162" s="131"/>
      <c r="FZ162" s="131"/>
      <c r="GA162" s="131"/>
      <c r="GB162" s="131"/>
      <c r="GC162" s="131"/>
      <c r="GD162" s="131"/>
      <c r="GE162" s="131"/>
      <c r="GF162" s="131"/>
      <c r="GG162" s="131"/>
      <c r="GH162" s="131"/>
      <c r="GI162" s="131"/>
      <c r="GJ162" s="131"/>
      <c r="GK162" s="131"/>
      <c r="GL162" s="131"/>
      <c r="GM162" s="131"/>
      <c r="GN162" s="131"/>
      <c r="GO162" s="131"/>
      <c r="GP162" s="131"/>
      <c r="GQ162" s="131"/>
      <c r="GR162" s="131"/>
      <c r="GS162" s="131"/>
      <c r="GT162" s="131"/>
      <c r="GU162" s="131"/>
      <c r="GV162" s="131"/>
      <c r="GW162" s="131"/>
      <c r="GX162" s="131"/>
      <c r="GY162" s="131"/>
      <c r="GZ162" s="131"/>
      <c r="HA162" s="131"/>
      <c r="HB162" s="131"/>
      <c r="HC162" s="131"/>
      <c r="HD162" s="131"/>
      <c r="HE162" s="131"/>
      <c r="HF162" s="131"/>
      <c r="HG162" s="131"/>
      <c r="HH162" s="131"/>
      <c r="HI162" s="131"/>
      <c r="HJ162" s="131"/>
      <c r="HK162" s="131"/>
      <c r="HL162" s="131"/>
      <c r="HM162" s="131"/>
      <c r="HN162" s="131"/>
      <c r="HO162" s="131"/>
      <c r="HP162" s="131"/>
      <c r="HQ162" s="131"/>
      <c r="HR162" s="131"/>
      <c r="HS162" s="131"/>
      <c r="HT162" s="131"/>
      <c r="HU162" s="131"/>
      <c r="HV162" s="131"/>
      <c r="HW162" s="131"/>
      <c r="HX162" s="131"/>
      <c r="HY162" s="131"/>
      <c r="HZ162" s="131"/>
      <c r="IA162" s="131"/>
      <c r="IB162" s="131"/>
      <c r="IC162" s="131"/>
      <c r="ID162" s="131"/>
      <c r="IE162" s="131"/>
      <c r="IF162" s="131"/>
      <c r="IG162" s="131"/>
      <c r="IH162" s="131"/>
      <c r="II162" s="131"/>
      <c r="IJ162" s="131"/>
      <c r="IK162" s="131"/>
      <c r="IL162" s="131"/>
      <c r="IM162" s="131"/>
      <c r="IN162" s="131"/>
      <c r="IO162" s="131"/>
      <c r="IP162" s="131"/>
      <c r="IQ162" s="131"/>
      <c r="IR162" s="131"/>
      <c r="IS162" s="131"/>
      <c r="IT162" s="131"/>
      <c r="IU162" s="131"/>
      <c r="IV162" s="131"/>
      <c r="IW162" s="131"/>
      <c r="IX162" s="131"/>
      <c r="IY162" s="131"/>
      <c r="IZ162" s="131"/>
      <c r="JA162" s="131"/>
      <c r="JB162" s="131"/>
      <c r="JC162" s="131"/>
      <c r="JD162" s="131"/>
      <c r="JE162" s="131"/>
      <c r="JF162" s="131"/>
      <c r="JG162" s="131"/>
      <c r="JH162" s="131"/>
      <c r="JI162" s="131"/>
      <c r="JJ162" s="131"/>
      <c r="JK162" s="131"/>
      <c r="JL162" s="131"/>
      <c r="JM162" s="131"/>
      <c r="JN162" s="131"/>
      <c r="JO162" s="131"/>
      <c r="JP162" s="131"/>
      <c r="JQ162" s="131"/>
      <c r="JR162" s="131"/>
      <c r="JS162" s="131"/>
      <c r="JT162" s="131"/>
      <c r="JU162" s="131"/>
      <c r="JV162" s="131"/>
      <c r="JW162" s="131"/>
      <c r="JX162" s="131"/>
      <c r="JY162" s="131"/>
      <c r="JZ162" s="131"/>
      <c r="KA162" s="131"/>
      <c r="KB162" s="131"/>
      <c r="KC162" s="131"/>
      <c r="KD162" s="131"/>
      <c r="KE162" s="131"/>
      <c r="KF162" s="131"/>
      <c r="KG162" s="131"/>
      <c r="KH162" s="131"/>
      <c r="KI162" s="131"/>
      <c r="KJ162" s="131"/>
      <c r="KK162" s="131"/>
      <c r="KL162" s="131"/>
      <c r="KM162" s="131"/>
      <c r="KN162" s="131"/>
      <c r="KO162" s="131"/>
      <c r="KP162" s="131"/>
      <c r="KQ162" s="131"/>
      <c r="KR162" s="131"/>
      <c r="KS162" s="131"/>
      <c r="KT162" s="131"/>
      <c r="KU162" s="131"/>
      <c r="KV162" s="131"/>
      <c r="KW162" s="131"/>
      <c r="KX162" s="131"/>
      <c r="KY162" s="131"/>
      <c r="KZ162" s="131"/>
      <c r="LA162" s="131"/>
      <c r="LB162" s="131"/>
      <c r="LC162" s="131"/>
      <c r="LD162" s="131"/>
      <c r="LE162" s="131"/>
      <c r="LF162" s="131"/>
      <c r="LG162" s="131"/>
      <c r="LH162" s="131"/>
      <c r="LI162" s="131"/>
      <c r="LJ162" s="131"/>
      <c r="LK162" s="131"/>
      <c r="LL162" s="131"/>
      <c r="LM162" s="131"/>
      <c r="LN162" s="131"/>
      <c r="LO162" s="131"/>
      <c r="LP162" s="131"/>
      <c r="LQ162" s="131"/>
      <c r="LR162" s="131"/>
      <c r="LS162" s="131"/>
      <c r="LT162" s="131"/>
      <c r="LU162" s="131"/>
      <c r="LV162" s="131"/>
      <c r="LW162" s="131"/>
      <c r="LX162" s="131"/>
      <c r="LY162" s="131"/>
      <c r="LZ162" s="131"/>
      <c r="MA162" s="131"/>
      <c r="MB162" s="131"/>
      <c r="MC162" s="131"/>
      <c r="MD162" s="131"/>
      <c r="ME162" s="131"/>
      <c r="MF162" s="131"/>
      <c r="MG162" s="131"/>
      <c r="MH162" s="131"/>
      <c r="MI162" s="131"/>
      <c r="MJ162" s="131"/>
      <c r="MK162" s="131"/>
      <c r="ML162" s="131"/>
      <c r="MM162" s="131"/>
      <c r="MN162" s="131"/>
      <c r="MO162" s="131"/>
      <c r="MP162" s="131"/>
      <c r="MQ162" s="131"/>
      <c r="MR162" s="131"/>
      <c r="MS162" s="131"/>
      <c r="MT162" s="131"/>
      <c r="MU162" s="131"/>
      <c r="MV162" s="131"/>
      <c r="MW162" s="131"/>
      <c r="MX162" s="131"/>
      <c r="MY162" s="131"/>
      <c r="MZ162" s="131"/>
      <c r="NA162" s="131"/>
      <c r="NB162" s="131"/>
      <c r="NC162" s="131"/>
      <c r="ND162" s="131"/>
      <c r="NE162" s="131"/>
      <c r="NF162" s="131"/>
      <c r="NG162" s="131"/>
      <c r="NH162" s="131"/>
      <c r="NI162" s="131"/>
      <c r="NJ162" s="131"/>
      <c r="NK162" s="131"/>
      <c r="NL162" s="131"/>
      <c r="NM162" s="131"/>
      <c r="NN162" s="131"/>
      <c r="NO162" s="131"/>
      <c r="NP162" s="131"/>
      <c r="NQ162" s="131"/>
      <c r="NR162" s="131"/>
      <c r="NS162" s="131"/>
      <c r="NT162" s="131"/>
      <c r="NU162" s="131"/>
      <c r="NV162" s="131"/>
      <c r="NW162" s="24">
        <f t="shared" si="17"/>
        <v>20</v>
      </c>
      <c r="NX162" s="56" t="s">
        <v>36</v>
      </c>
      <c r="NY162" s="127">
        <v>870.72</v>
      </c>
      <c r="NZ162" s="78">
        <f t="shared" si="18"/>
        <v>0</v>
      </c>
      <c r="OA162" s="78">
        <v>453.6</v>
      </c>
      <c r="OB162" s="127">
        <f t="shared" si="19"/>
        <v>870.72</v>
      </c>
      <c r="OC162" s="153"/>
      <c r="OD162" s="108">
        <f t="shared" si="15"/>
        <v>1.9195767195767195</v>
      </c>
      <c r="OE162" s="160"/>
    </row>
    <row r="163" spans="1:395" s="5" customFormat="1" ht="12.75" customHeight="1" x14ac:dyDescent="0.25">
      <c r="A163" s="62">
        <v>44586</v>
      </c>
      <c r="B163" s="116" t="s">
        <v>578</v>
      </c>
      <c r="C163" s="129"/>
      <c r="D163" s="129"/>
      <c r="E163" s="130"/>
      <c r="F163" s="130"/>
      <c r="G163" s="130"/>
      <c r="H163" s="130"/>
      <c r="I163" s="130"/>
      <c r="J163" s="130"/>
      <c r="K163" s="130"/>
      <c r="L163" s="130"/>
      <c r="M163" s="131"/>
      <c r="N163" s="131"/>
      <c r="O163" s="131"/>
      <c r="P163" s="131"/>
      <c r="Q163" s="131"/>
      <c r="R163" s="131"/>
      <c r="S163" s="131"/>
      <c r="T163" s="131"/>
      <c r="U163" s="131"/>
      <c r="V163" s="131"/>
      <c r="W163" s="131"/>
      <c r="X163" s="131"/>
      <c r="Y163" s="131"/>
      <c r="Z163" s="131"/>
      <c r="AA163" s="131"/>
      <c r="AB163" s="131"/>
      <c r="AC163" s="131"/>
      <c r="AD163" s="131"/>
      <c r="AE163" s="131"/>
      <c r="AF163" s="131"/>
      <c r="AG163" s="131"/>
      <c r="AH163" s="131"/>
      <c r="AI163" s="131"/>
      <c r="AJ163" s="131"/>
      <c r="AK163" s="131"/>
      <c r="AL163" s="131"/>
      <c r="AM163" s="131"/>
      <c r="AN163" s="131"/>
      <c r="AO163" s="131"/>
      <c r="AP163" s="131"/>
      <c r="AQ163" s="131"/>
      <c r="AR163" s="131"/>
      <c r="AS163" s="131"/>
      <c r="AT163" s="131"/>
      <c r="AU163" s="131"/>
      <c r="AV163" s="131"/>
      <c r="AW163" s="131"/>
      <c r="AX163" s="131"/>
      <c r="AY163" s="131"/>
      <c r="AZ163" s="131"/>
      <c r="BA163" s="131"/>
      <c r="BB163" s="131"/>
      <c r="BC163" s="131"/>
      <c r="BD163" s="131"/>
      <c r="BE163" s="131"/>
      <c r="BF163" s="131"/>
      <c r="BG163" s="131"/>
      <c r="BH163" s="131"/>
      <c r="BI163" s="131"/>
      <c r="BJ163" s="131"/>
      <c r="BK163" s="131"/>
      <c r="BL163" s="131"/>
      <c r="BM163" s="131"/>
      <c r="BN163" s="131"/>
      <c r="BO163" s="131"/>
      <c r="BP163" s="131"/>
      <c r="BQ163" s="131"/>
      <c r="BR163" s="131"/>
      <c r="BS163" s="131"/>
      <c r="BT163" s="131"/>
      <c r="BU163" s="131"/>
      <c r="BV163" s="131"/>
      <c r="BW163" s="131"/>
      <c r="BX163" s="131"/>
      <c r="BY163" s="131"/>
      <c r="BZ163" s="131"/>
      <c r="CA163" s="131"/>
      <c r="CB163" s="131"/>
      <c r="CC163" s="131"/>
      <c r="CD163" s="131"/>
      <c r="CE163" s="131"/>
      <c r="CF163" s="131"/>
      <c r="CG163" s="131"/>
      <c r="CH163" s="131"/>
      <c r="CI163" s="131"/>
      <c r="CJ163" s="131"/>
      <c r="CK163" s="131"/>
      <c r="CL163" s="131"/>
      <c r="CM163" s="131"/>
      <c r="CN163" s="131"/>
      <c r="CO163" s="131"/>
      <c r="CP163" s="131"/>
      <c r="CQ163" s="131"/>
      <c r="CR163" s="131"/>
      <c r="CS163" s="131"/>
      <c r="CT163" s="131"/>
      <c r="CU163" s="131"/>
      <c r="CV163" s="131"/>
      <c r="CW163" s="131"/>
      <c r="CX163" s="131"/>
      <c r="CY163" s="131"/>
      <c r="CZ163" s="131"/>
      <c r="DA163" s="131"/>
      <c r="DB163" s="131"/>
      <c r="DC163" s="131"/>
      <c r="DD163" s="131"/>
      <c r="DE163" s="131"/>
      <c r="DF163" s="131"/>
      <c r="DG163" s="131"/>
      <c r="DH163" s="131"/>
      <c r="DI163" s="131"/>
      <c r="DJ163" s="131"/>
      <c r="DK163" s="131"/>
      <c r="DL163" s="131"/>
      <c r="DM163" s="131"/>
      <c r="DN163" s="131"/>
      <c r="DO163" s="131"/>
      <c r="DP163" s="131"/>
      <c r="DQ163" s="131"/>
      <c r="DR163" s="131"/>
      <c r="DS163" s="131"/>
      <c r="DT163" s="131"/>
      <c r="DU163" s="131"/>
      <c r="DV163" s="131"/>
      <c r="DW163" s="131"/>
      <c r="DX163" s="131"/>
      <c r="DY163" s="131"/>
      <c r="DZ163" s="131"/>
      <c r="EA163" s="131"/>
      <c r="EB163" s="131"/>
      <c r="EC163" s="131"/>
      <c r="ED163" s="131"/>
      <c r="EE163" s="131"/>
      <c r="EF163" s="131"/>
      <c r="EG163" s="131"/>
      <c r="EH163" s="131"/>
      <c r="EI163" s="131"/>
      <c r="EJ163" s="131"/>
      <c r="EK163" s="131"/>
      <c r="EL163" s="131"/>
      <c r="EM163" s="131"/>
      <c r="EN163" s="131"/>
      <c r="EO163" s="131"/>
      <c r="EP163" s="131"/>
      <c r="EQ163" s="131"/>
      <c r="ER163" s="131"/>
      <c r="ES163" s="131"/>
      <c r="ET163" s="131"/>
      <c r="EU163" s="131"/>
      <c r="EV163" s="131"/>
      <c r="EW163" s="131"/>
      <c r="EX163" s="131"/>
      <c r="EY163" s="131"/>
      <c r="EZ163" s="131"/>
      <c r="FA163" s="131"/>
      <c r="FB163" s="131"/>
      <c r="FC163" s="131"/>
      <c r="FD163" s="131"/>
      <c r="FE163" s="131"/>
      <c r="FF163" s="131"/>
      <c r="FG163" s="131"/>
      <c r="FH163" s="131"/>
      <c r="FI163" s="131"/>
      <c r="FJ163" s="131"/>
      <c r="FK163" s="131"/>
      <c r="FL163" s="131"/>
      <c r="FM163" s="131"/>
      <c r="FN163" s="131"/>
      <c r="FO163" s="131"/>
      <c r="FP163" s="131"/>
      <c r="FQ163" s="131"/>
      <c r="FR163" s="131"/>
      <c r="FS163" s="131"/>
      <c r="FT163" s="131"/>
      <c r="FU163" s="131"/>
      <c r="FV163" s="131"/>
      <c r="FW163" s="131"/>
      <c r="FX163" s="131"/>
      <c r="FY163" s="131"/>
      <c r="FZ163" s="131"/>
      <c r="GA163" s="131"/>
      <c r="GB163" s="131"/>
      <c r="GC163" s="131"/>
      <c r="GD163" s="131"/>
      <c r="GE163" s="131"/>
      <c r="GF163" s="131"/>
      <c r="GG163" s="131"/>
      <c r="GH163" s="131"/>
      <c r="GI163" s="131"/>
      <c r="GJ163" s="131"/>
      <c r="GK163" s="131"/>
      <c r="GL163" s="131"/>
      <c r="GM163" s="131"/>
      <c r="GN163" s="131"/>
      <c r="GO163" s="131"/>
      <c r="GP163" s="131"/>
      <c r="GQ163" s="131"/>
      <c r="GR163" s="131"/>
      <c r="GS163" s="131"/>
      <c r="GT163" s="131"/>
      <c r="GU163" s="131"/>
      <c r="GV163" s="131"/>
      <c r="GW163" s="131"/>
      <c r="GX163" s="131"/>
      <c r="GY163" s="131"/>
      <c r="GZ163" s="131"/>
      <c r="HA163" s="131"/>
      <c r="HB163" s="131"/>
      <c r="HC163" s="131"/>
      <c r="HD163" s="131"/>
      <c r="HE163" s="131"/>
      <c r="HF163" s="131"/>
      <c r="HG163" s="131"/>
      <c r="HH163" s="131"/>
      <c r="HI163" s="131"/>
      <c r="HJ163" s="131"/>
      <c r="HK163" s="131"/>
      <c r="HL163" s="131"/>
      <c r="HM163" s="131"/>
      <c r="HN163" s="131"/>
      <c r="HO163" s="131"/>
      <c r="HP163" s="131"/>
      <c r="HQ163" s="131"/>
      <c r="HR163" s="131"/>
      <c r="HS163" s="131"/>
      <c r="HT163" s="131"/>
      <c r="HU163" s="131"/>
      <c r="HV163" s="131"/>
      <c r="HW163" s="131"/>
      <c r="HX163" s="131"/>
      <c r="HY163" s="131"/>
      <c r="HZ163" s="131"/>
      <c r="IA163" s="131"/>
      <c r="IB163" s="131"/>
      <c r="IC163" s="131"/>
      <c r="ID163" s="131"/>
      <c r="IE163" s="131"/>
      <c r="IF163" s="131"/>
      <c r="IG163" s="131"/>
      <c r="IH163" s="131"/>
      <c r="II163" s="131"/>
      <c r="IJ163" s="131"/>
      <c r="IK163" s="131"/>
      <c r="IL163" s="131"/>
      <c r="IM163" s="131"/>
      <c r="IN163" s="131"/>
      <c r="IO163" s="131"/>
      <c r="IP163" s="131"/>
      <c r="IQ163" s="131"/>
      <c r="IR163" s="131"/>
      <c r="IS163" s="131"/>
      <c r="IT163" s="131"/>
      <c r="IU163" s="131"/>
      <c r="IV163" s="131"/>
      <c r="IW163" s="131"/>
      <c r="IX163" s="131"/>
      <c r="IY163" s="131"/>
      <c r="IZ163" s="131"/>
      <c r="JA163" s="131"/>
      <c r="JB163" s="131"/>
      <c r="JC163" s="131"/>
      <c r="JD163" s="131"/>
      <c r="JE163" s="131"/>
      <c r="JF163" s="131"/>
      <c r="JG163" s="131"/>
      <c r="JH163" s="131"/>
      <c r="JI163" s="131"/>
      <c r="JJ163" s="131"/>
      <c r="JK163" s="131"/>
      <c r="JL163" s="131"/>
      <c r="JM163" s="131"/>
      <c r="JN163" s="131"/>
      <c r="JO163" s="131"/>
      <c r="JP163" s="131"/>
      <c r="JQ163" s="131"/>
      <c r="JR163" s="131"/>
      <c r="JS163" s="131"/>
      <c r="JT163" s="131"/>
      <c r="JU163" s="131"/>
      <c r="JV163" s="131"/>
      <c r="JW163" s="131"/>
      <c r="JX163" s="131"/>
      <c r="JY163" s="131"/>
      <c r="JZ163" s="131"/>
      <c r="KA163" s="131"/>
      <c r="KB163" s="131"/>
      <c r="KC163" s="131"/>
      <c r="KD163" s="131"/>
      <c r="KE163" s="131"/>
      <c r="KF163" s="131"/>
      <c r="KG163" s="131"/>
      <c r="KH163" s="131"/>
      <c r="KI163" s="131"/>
      <c r="KJ163" s="131"/>
      <c r="KK163" s="131"/>
      <c r="KL163" s="131"/>
      <c r="KM163" s="131"/>
      <c r="KN163" s="131"/>
      <c r="KO163" s="131"/>
      <c r="KP163" s="131"/>
      <c r="KQ163" s="131"/>
      <c r="KR163" s="131"/>
      <c r="KS163" s="131"/>
      <c r="KT163" s="131"/>
      <c r="KU163" s="131"/>
      <c r="KV163" s="131"/>
      <c r="KW163" s="131"/>
      <c r="KX163" s="131"/>
      <c r="KY163" s="131"/>
      <c r="KZ163" s="131"/>
      <c r="LA163" s="131"/>
      <c r="LB163" s="131"/>
      <c r="LC163" s="131"/>
      <c r="LD163" s="131"/>
      <c r="LE163" s="131"/>
      <c r="LF163" s="131"/>
      <c r="LG163" s="131"/>
      <c r="LH163" s="131"/>
      <c r="LI163" s="131"/>
      <c r="LJ163" s="131"/>
      <c r="LK163" s="131"/>
      <c r="LL163" s="131"/>
      <c r="LM163" s="131"/>
      <c r="LN163" s="131"/>
      <c r="LO163" s="131"/>
      <c r="LP163" s="131"/>
      <c r="LQ163" s="131"/>
      <c r="LR163" s="131"/>
      <c r="LS163" s="131"/>
      <c r="LT163" s="131"/>
      <c r="LU163" s="131"/>
      <c r="LV163" s="131"/>
      <c r="LW163" s="131"/>
      <c r="LX163" s="131"/>
      <c r="LY163" s="131"/>
      <c r="LZ163" s="131"/>
      <c r="MA163" s="131"/>
      <c r="MB163" s="131"/>
      <c r="MC163" s="131"/>
      <c r="MD163" s="131"/>
      <c r="ME163" s="131"/>
      <c r="MF163" s="131"/>
      <c r="MG163" s="131"/>
      <c r="MH163" s="131"/>
      <c r="MI163" s="131"/>
      <c r="MJ163" s="131"/>
      <c r="MK163" s="131"/>
      <c r="ML163" s="131"/>
      <c r="MM163" s="131"/>
      <c r="MN163" s="131"/>
      <c r="MO163" s="131"/>
      <c r="MP163" s="131"/>
      <c r="MQ163" s="131">
        <v>55</v>
      </c>
      <c r="MR163" s="131"/>
      <c r="MS163" s="131"/>
      <c r="MT163" s="131"/>
      <c r="MU163" s="131"/>
      <c r="MV163" s="131"/>
      <c r="MW163" s="131"/>
      <c r="MX163" s="131"/>
      <c r="MY163" s="131"/>
      <c r="MZ163" s="131"/>
      <c r="NA163" s="131"/>
      <c r="NB163" s="131"/>
      <c r="NC163" s="131"/>
      <c r="ND163" s="131"/>
      <c r="NE163" s="131"/>
      <c r="NF163" s="131"/>
      <c r="NG163" s="131"/>
      <c r="NH163" s="131"/>
      <c r="NI163" s="131"/>
      <c r="NJ163" s="131"/>
      <c r="NK163" s="131"/>
      <c r="NL163" s="131"/>
      <c r="NM163" s="131"/>
      <c r="NN163" s="131"/>
      <c r="NO163" s="131"/>
      <c r="NP163" s="131"/>
      <c r="NQ163" s="131"/>
      <c r="NR163" s="131"/>
      <c r="NS163" s="131"/>
      <c r="NT163" s="131"/>
      <c r="NU163" s="131"/>
      <c r="NV163" s="131"/>
      <c r="NW163" s="24">
        <f t="shared" si="17"/>
        <v>55</v>
      </c>
      <c r="NX163" s="56" t="s">
        <v>72</v>
      </c>
      <c r="NY163" s="127">
        <v>465.3</v>
      </c>
      <c r="NZ163" s="78">
        <f t="shared" si="18"/>
        <v>0</v>
      </c>
      <c r="OA163" s="78">
        <v>266.2</v>
      </c>
      <c r="OB163" s="127">
        <f t="shared" si="19"/>
        <v>465.3</v>
      </c>
      <c r="OC163" s="153"/>
      <c r="OD163" s="108">
        <f t="shared" si="15"/>
        <v>1.7479338842975207</v>
      </c>
      <c r="OE163" s="160" t="s">
        <v>537</v>
      </c>
    </row>
    <row r="164" spans="1:395" s="5" customFormat="1" ht="12.75" customHeight="1" x14ac:dyDescent="0.25">
      <c r="A164" s="62">
        <v>44587</v>
      </c>
      <c r="B164" s="106" t="s">
        <v>487</v>
      </c>
      <c r="C164" s="129"/>
      <c r="D164" s="129"/>
      <c r="E164" s="130"/>
      <c r="F164" s="130"/>
      <c r="G164" s="130"/>
      <c r="H164" s="130"/>
      <c r="I164" s="130"/>
      <c r="J164" s="130"/>
      <c r="K164" s="130"/>
      <c r="L164" s="130"/>
      <c r="M164" s="131"/>
      <c r="N164" s="131"/>
      <c r="O164" s="131"/>
      <c r="P164" s="131"/>
      <c r="Q164" s="131"/>
      <c r="R164" s="131"/>
      <c r="S164" s="131"/>
      <c r="T164" s="131"/>
      <c r="U164" s="131"/>
      <c r="V164" s="131"/>
      <c r="W164" s="131"/>
      <c r="X164" s="131"/>
      <c r="Y164" s="131"/>
      <c r="Z164" s="131"/>
      <c r="AA164" s="131"/>
      <c r="AB164" s="131"/>
      <c r="AC164" s="131"/>
      <c r="AD164" s="131"/>
      <c r="AE164" s="131"/>
      <c r="AF164" s="131"/>
      <c r="AG164" s="131"/>
      <c r="AH164" s="131"/>
      <c r="AI164" s="131"/>
      <c r="AJ164" s="131"/>
      <c r="AK164" s="131"/>
      <c r="AL164" s="131"/>
      <c r="AM164" s="131"/>
      <c r="AN164" s="131"/>
      <c r="AO164" s="131"/>
      <c r="AP164" s="131"/>
      <c r="AQ164" s="131"/>
      <c r="AR164" s="131"/>
      <c r="AS164" s="131"/>
      <c r="AT164" s="131"/>
      <c r="AU164" s="131"/>
      <c r="AV164" s="131"/>
      <c r="AW164" s="131"/>
      <c r="AX164" s="131"/>
      <c r="AY164" s="131"/>
      <c r="AZ164" s="131"/>
      <c r="BA164" s="131"/>
      <c r="BB164" s="131"/>
      <c r="BC164" s="131"/>
      <c r="BD164" s="131"/>
      <c r="BE164" s="131"/>
      <c r="BF164" s="131"/>
      <c r="BG164" s="131"/>
      <c r="BH164" s="131"/>
      <c r="BI164" s="131"/>
      <c r="BJ164" s="131"/>
      <c r="BK164" s="131"/>
      <c r="BL164" s="131"/>
      <c r="BM164" s="131"/>
      <c r="BN164" s="131"/>
      <c r="BO164" s="131"/>
      <c r="BP164" s="131"/>
      <c r="BQ164" s="131"/>
      <c r="BR164" s="131"/>
      <c r="BS164" s="131"/>
      <c r="BT164" s="131"/>
      <c r="BU164" s="131"/>
      <c r="BV164" s="131"/>
      <c r="BW164" s="131"/>
      <c r="BX164" s="131"/>
      <c r="BY164" s="131"/>
      <c r="BZ164" s="131"/>
      <c r="CA164" s="131"/>
      <c r="CB164" s="131"/>
      <c r="CC164" s="131"/>
      <c r="CD164" s="131"/>
      <c r="CE164" s="131"/>
      <c r="CF164" s="131"/>
      <c r="CG164" s="131"/>
      <c r="CH164" s="131"/>
      <c r="CI164" s="131"/>
      <c r="CJ164" s="131"/>
      <c r="CK164" s="131">
        <v>50</v>
      </c>
      <c r="CL164" s="131"/>
      <c r="CM164" s="131"/>
      <c r="CN164" s="131"/>
      <c r="CO164" s="131"/>
      <c r="CP164" s="131"/>
      <c r="CQ164" s="131"/>
      <c r="CR164" s="131"/>
      <c r="CS164" s="131"/>
      <c r="CT164" s="131"/>
      <c r="CU164" s="131"/>
      <c r="CV164" s="131"/>
      <c r="CW164" s="131"/>
      <c r="CX164" s="131"/>
      <c r="CY164" s="131"/>
      <c r="CZ164" s="131"/>
      <c r="DA164" s="131"/>
      <c r="DB164" s="131"/>
      <c r="DC164" s="131"/>
      <c r="DD164" s="131"/>
      <c r="DE164" s="131"/>
      <c r="DF164" s="131"/>
      <c r="DG164" s="131"/>
      <c r="DH164" s="131"/>
      <c r="DI164" s="131"/>
      <c r="DJ164" s="131"/>
      <c r="DK164" s="131"/>
      <c r="DL164" s="131"/>
      <c r="DM164" s="131"/>
      <c r="DN164" s="131"/>
      <c r="DO164" s="131"/>
      <c r="DP164" s="131"/>
      <c r="DQ164" s="131"/>
      <c r="DR164" s="131"/>
      <c r="DS164" s="131"/>
      <c r="DT164" s="131"/>
      <c r="DU164" s="131"/>
      <c r="DV164" s="131"/>
      <c r="DW164" s="131"/>
      <c r="DX164" s="131"/>
      <c r="DY164" s="131"/>
      <c r="DZ164" s="131"/>
      <c r="EA164" s="131"/>
      <c r="EB164" s="131"/>
      <c r="EC164" s="131"/>
      <c r="ED164" s="131"/>
      <c r="EE164" s="131"/>
      <c r="EF164" s="131"/>
      <c r="EG164" s="131"/>
      <c r="EH164" s="131"/>
      <c r="EI164" s="131"/>
      <c r="EJ164" s="131"/>
      <c r="EK164" s="131"/>
      <c r="EL164" s="131"/>
      <c r="EM164" s="131"/>
      <c r="EN164" s="131"/>
      <c r="EO164" s="131"/>
      <c r="EP164" s="131"/>
      <c r="EQ164" s="131"/>
      <c r="ER164" s="131"/>
      <c r="ES164" s="131"/>
      <c r="ET164" s="131"/>
      <c r="EU164" s="131"/>
      <c r="EV164" s="131"/>
      <c r="EW164" s="131"/>
      <c r="EX164" s="131"/>
      <c r="EY164" s="131"/>
      <c r="EZ164" s="131"/>
      <c r="FA164" s="131"/>
      <c r="FB164" s="131"/>
      <c r="FC164" s="131"/>
      <c r="FD164" s="131"/>
      <c r="FE164" s="131"/>
      <c r="FF164" s="131"/>
      <c r="FG164" s="131"/>
      <c r="FH164" s="131"/>
      <c r="FI164" s="131"/>
      <c r="FJ164" s="131"/>
      <c r="FK164" s="131"/>
      <c r="FL164" s="131"/>
      <c r="FM164" s="131"/>
      <c r="FN164" s="131"/>
      <c r="FO164" s="131"/>
      <c r="FP164" s="131"/>
      <c r="FQ164" s="131"/>
      <c r="FR164" s="131"/>
      <c r="FS164" s="131"/>
      <c r="FT164" s="131"/>
      <c r="FU164" s="131"/>
      <c r="FV164" s="131"/>
      <c r="FW164" s="131"/>
      <c r="FX164" s="131"/>
      <c r="FY164" s="131"/>
      <c r="FZ164" s="131"/>
      <c r="GA164" s="131"/>
      <c r="GB164" s="131"/>
      <c r="GC164" s="131"/>
      <c r="GD164" s="131"/>
      <c r="GE164" s="131"/>
      <c r="GF164" s="131"/>
      <c r="GG164" s="131"/>
      <c r="GH164" s="131"/>
      <c r="GI164" s="131"/>
      <c r="GJ164" s="131"/>
      <c r="GK164" s="131"/>
      <c r="GL164" s="131"/>
      <c r="GM164" s="131"/>
      <c r="GN164" s="131"/>
      <c r="GO164" s="131"/>
      <c r="GP164" s="131"/>
      <c r="GQ164" s="131"/>
      <c r="GR164" s="131"/>
      <c r="GS164" s="131"/>
      <c r="GT164" s="131"/>
      <c r="GU164" s="131"/>
      <c r="GV164" s="131"/>
      <c r="GW164" s="131"/>
      <c r="GX164" s="131"/>
      <c r="GY164" s="131"/>
      <c r="GZ164" s="131"/>
      <c r="HA164" s="131"/>
      <c r="HB164" s="131"/>
      <c r="HC164" s="131"/>
      <c r="HD164" s="131"/>
      <c r="HE164" s="131"/>
      <c r="HF164" s="131"/>
      <c r="HG164" s="131"/>
      <c r="HH164" s="131"/>
      <c r="HI164" s="131"/>
      <c r="HJ164" s="131"/>
      <c r="HK164" s="131"/>
      <c r="HL164" s="131"/>
      <c r="HM164" s="131"/>
      <c r="HN164" s="131"/>
      <c r="HO164" s="131"/>
      <c r="HP164" s="131"/>
      <c r="HQ164" s="131"/>
      <c r="HR164" s="131"/>
      <c r="HS164" s="131"/>
      <c r="HT164" s="131"/>
      <c r="HU164" s="131"/>
      <c r="HV164" s="131"/>
      <c r="HW164" s="131"/>
      <c r="HX164" s="131"/>
      <c r="HY164" s="131"/>
      <c r="HZ164" s="131"/>
      <c r="IA164" s="131"/>
      <c r="IB164" s="131"/>
      <c r="IC164" s="131"/>
      <c r="ID164" s="131"/>
      <c r="IE164" s="131"/>
      <c r="IF164" s="131"/>
      <c r="IG164" s="131"/>
      <c r="IH164" s="131"/>
      <c r="II164" s="131"/>
      <c r="IJ164" s="131"/>
      <c r="IK164" s="131"/>
      <c r="IL164" s="131"/>
      <c r="IM164" s="131"/>
      <c r="IN164" s="131"/>
      <c r="IO164" s="131"/>
      <c r="IP164" s="131"/>
      <c r="IQ164" s="131"/>
      <c r="IR164" s="131"/>
      <c r="IS164" s="131"/>
      <c r="IT164" s="131"/>
      <c r="IU164" s="131"/>
      <c r="IV164" s="131"/>
      <c r="IW164" s="131"/>
      <c r="IX164" s="131"/>
      <c r="IY164" s="131"/>
      <c r="IZ164" s="131"/>
      <c r="JA164" s="131"/>
      <c r="JB164" s="131"/>
      <c r="JC164" s="131"/>
      <c r="JD164" s="131"/>
      <c r="JE164" s="131"/>
      <c r="JF164" s="131"/>
      <c r="JG164" s="131"/>
      <c r="JH164" s="131"/>
      <c r="JI164" s="131"/>
      <c r="JJ164" s="131"/>
      <c r="JK164" s="131"/>
      <c r="JL164" s="131"/>
      <c r="JM164" s="131"/>
      <c r="JN164" s="131"/>
      <c r="JO164" s="131"/>
      <c r="JP164" s="131"/>
      <c r="JQ164" s="131"/>
      <c r="JR164" s="131"/>
      <c r="JS164" s="131"/>
      <c r="JT164" s="131"/>
      <c r="JU164" s="131"/>
      <c r="JV164" s="131"/>
      <c r="JW164" s="131"/>
      <c r="JX164" s="131"/>
      <c r="JY164" s="131"/>
      <c r="JZ164" s="131"/>
      <c r="KA164" s="131"/>
      <c r="KB164" s="131"/>
      <c r="KC164" s="131"/>
      <c r="KD164" s="131"/>
      <c r="KE164" s="131"/>
      <c r="KF164" s="131"/>
      <c r="KG164" s="131"/>
      <c r="KH164" s="131"/>
      <c r="KI164" s="131"/>
      <c r="KJ164" s="131"/>
      <c r="KK164" s="131"/>
      <c r="KL164" s="131"/>
      <c r="KM164" s="131"/>
      <c r="KN164" s="131"/>
      <c r="KO164" s="131"/>
      <c r="KP164" s="131"/>
      <c r="KQ164" s="131"/>
      <c r="KR164" s="131"/>
      <c r="KS164" s="131"/>
      <c r="KT164" s="131"/>
      <c r="KU164" s="131"/>
      <c r="KV164" s="131"/>
      <c r="KW164" s="131"/>
      <c r="KX164" s="131"/>
      <c r="KY164" s="131"/>
      <c r="KZ164" s="131"/>
      <c r="LA164" s="131"/>
      <c r="LB164" s="131"/>
      <c r="LC164" s="131"/>
      <c r="LD164" s="131"/>
      <c r="LE164" s="131"/>
      <c r="LF164" s="131"/>
      <c r="LG164" s="131"/>
      <c r="LH164" s="131"/>
      <c r="LI164" s="131"/>
      <c r="LJ164" s="131"/>
      <c r="LK164" s="131"/>
      <c r="LL164" s="131"/>
      <c r="LM164" s="131"/>
      <c r="LN164" s="131"/>
      <c r="LO164" s="131"/>
      <c r="LP164" s="131"/>
      <c r="LQ164" s="131"/>
      <c r="LR164" s="131"/>
      <c r="LS164" s="131"/>
      <c r="LT164" s="131"/>
      <c r="LU164" s="131"/>
      <c r="LV164" s="131"/>
      <c r="LW164" s="131"/>
      <c r="LX164" s="131"/>
      <c r="LY164" s="131"/>
      <c r="LZ164" s="131"/>
      <c r="MA164" s="131"/>
      <c r="MB164" s="131"/>
      <c r="MC164" s="131"/>
      <c r="MD164" s="131"/>
      <c r="ME164" s="131"/>
      <c r="MF164" s="131"/>
      <c r="MG164" s="131"/>
      <c r="MH164" s="131"/>
      <c r="MI164" s="131"/>
      <c r="MJ164" s="131"/>
      <c r="MK164" s="131"/>
      <c r="ML164" s="131"/>
      <c r="MM164" s="131"/>
      <c r="MN164" s="131"/>
      <c r="MO164" s="131"/>
      <c r="MP164" s="131"/>
      <c r="MQ164" s="131"/>
      <c r="MR164" s="131"/>
      <c r="MS164" s="131"/>
      <c r="MT164" s="131"/>
      <c r="MU164" s="131"/>
      <c r="MV164" s="131"/>
      <c r="MW164" s="131"/>
      <c r="MX164" s="131"/>
      <c r="MY164" s="131"/>
      <c r="MZ164" s="131"/>
      <c r="NA164" s="131"/>
      <c r="NB164" s="131"/>
      <c r="NC164" s="131"/>
      <c r="ND164" s="131"/>
      <c r="NE164" s="131"/>
      <c r="NF164" s="131"/>
      <c r="NG164" s="131"/>
      <c r="NH164" s="131"/>
      <c r="NI164" s="131"/>
      <c r="NJ164" s="131"/>
      <c r="NK164" s="131"/>
      <c r="NL164" s="131"/>
      <c r="NM164" s="131"/>
      <c r="NN164" s="131"/>
      <c r="NO164" s="131"/>
      <c r="NP164" s="131"/>
      <c r="NQ164" s="131"/>
      <c r="NR164" s="131"/>
      <c r="NS164" s="131"/>
      <c r="NT164" s="131"/>
      <c r="NU164" s="131"/>
      <c r="NV164" s="131"/>
      <c r="NW164" s="24">
        <f t="shared" si="17"/>
        <v>50</v>
      </c>
      <c r="NX164" s="56" t="s">
        <v>36</v>
      </c>
      <c r="NY164" s="127">
        <v>2310</v>
      </c>
      <c r="NZ164" s="78">
        <f t="shared" si="18"/>
        <v>0</v>
      </c>
      <c r="OA164" s="78">
        <v>1269.5</v>
      </c>
      <c r="OB164" s="127">
        <f t="shared" si="19"/>
        <v>2310</v>
      </c>
      <c r="OC164" s="153"/>
      <c r="OD164" s="108">
        <f t="shared" si="15"/>
        <v>1.8196140212682159</v>
      </c>
      <c r="OE164" s="160" t="s">
        <v>585</v>
      </c>
    </row>
    <row r="165" spans="1:395" s="5" customFormat="1" ht="12.75" customHeight="1" x14ac:dyDescent="0.25">
      <c r="A165" s="62">
        <v>44587</v>
      </c>
      <c r="B165" s="106" t="s">
        <v>146</v>
      </c>
      <c r="C165" s="129"/>
      <c r="D165" s="129"/>
      <c r="E165" s="130"/>
      <c r="F165" s="130"/>
      <c r="G165" s="130"/>
      <c r="H165" s="130"/>
      <c r="I165" s="130"/>
      <c r="J165" s="130"/>
      <c r="K165" s="130"/>
      <c r="L165" s="130"/>
      <c r="M165" s="131"/>
      <c r="N165" s="131"/>
      <c r="O165" s="131"/>
      <c r="P165" s="131"/>
      <c r="Q165" s="131"/>
      <c r="R165" s="131"/>
      <c r="S165" s="131"/>
      <c r="T165" s="131"/>
      <c r="U165" s="131"/>
      <c r="V165" s="131"/>
      <c r="W165" s="131"/>
      <c r="X165" s="131"/>
      <c r="Y165" s="131"/>
      <c r="Z165" s="131"/>
      <c r="AA165" s="131"/>
      <c r="AB165" s="131"/>
      <c r="AC165" s="131"/>
      <c r="AD165" s="131"/>
      <c r="AE165" s="131"/>
      <c r="AF165" s="131"/>
      <c r="AG165" s="131"/>
      <c r="AH165" s="131"/>
      <c r="AI165" s="131"/>
      <c r="AJ165" s="131"/>
      <c r="AK165" s="131"/>
      <c r="AL165" s="131"/>
      <c r="AM165" s="131"/>
      <c r="AN165" s="131"/>
      <c r="AO165" s="131"/>
      <c r="AP165" s="131"/>
      <c r="AQ165" s="131"/>
      <c r="AR165" s="131"/>
      <c r="AS165" s="131"/>
      <c r="AT165" s="131"/>
      <c r="AU165" s="131"/>
      <c r="AV165" s="131"/>
      <c r="AW165" s="131"/>
      <c r="AX165" s="131"/>
      <c r="AY165" s="131"/>
      <c r="AZ165" s="131"/>
      <c r="BA165" s="131"/>
      <c r="BB165" s="131"/>
      <c r="BC165" s="131"/>
      <c r="BD165" s="131"/>
      <c r="BE165" s="131"/>
      <c r="BF165" s="131"/>
      <c r="BG165" s="131"/>
      <c r="BH165" s="131"/>
      <c r="BI165" s="131"/>
      <c r="BJ165" s="131"/>
      <c r="BK165" s="131"/>
      <c r="BL165" s="131"/>
      <c r="BM165" s="131"/>
      <c r="BN165" s="131"/>
      <c r="BO165" s="131"/>
      <c r="BP165" s="131"/>
      <c r="BQ165" s="131"/>
      <c r="BR165" s="131"/>
      <c r="BS165" s="131"/>
      <c r="BT165" s="131"/>
      <c r="BU165" s="131"/>
      <c r="BV165" s="131"/>
      <c r="BW165" s="131"/>
      <c r="BX165" s="131"/>
      <c r="BY165" s="131"/>
      <c r="BZ165" s="131"/>
      <c r="CA165" s="131"/>
      <c r="CB165" s="131"/>
      <c r="CC165" s="131"/>
      <c r="CD165" s="131"/>
      <c r="CE165" s="131"/>
      <c r="CF165" s="131"/>
      <c r="CG165" s="131"/>
      <c r="CH165" s="131"/>
      <c r="CI165" s="131"/>
      <c r="CJ165" s="131"/>
      <c r="CK165" s="131"/>
      <c r="CL165" s="131"/>
      <c r="CM165" s="131"/>
      <c r="CN165" s="131"/>
      <c r="CO165" s="131"/>
      <c r="CP165" s="131"/>
      <c r="CQ165" s="131"/>
      <c r="CR165" s="131"/>
      <c r="CS165" s="131"/>
      <c r="CT165" s="131"/>
      <c r="CU165" s="131"/>
      <c r="CV165" s="131"/>
      <c r="CW165" s="131"/>
      <c r="CX165" s="131"/>
      <c r="CY165" s="131"/>
      <c r="CZ165" s="131"/>
      <c r="DA165" s="131"/>
      <c r="DB165" s="131"/>
      <c r="DC165" s="131"/>
      <c r="DD165" s="131"/>
      <c r="DE165" s="131"/>
      <c r="DF165" s="131"/>
      <c r="DG165" s="131"/>
      <c r="DH165" s="131"/>
      <c r="DI165" s="131"/>
      <c r="DJ165" s="131"/>
      <c r="DK165" s="131"/>
      <c r="DL165" s="131"/>
      <c r="DM165" s="131"/>
      <c r="DN165" s="131"/>
      <c r="DO165" s="131"/>
      <c r="DP165" s="131"/>
      <c r="DQ165" s="131"/>
      <c r="DR165" s="131"/>
      <c r="DS165" s="131"/>
      <c r="DT165" s="131"/>
      <c r="DU165" s="131"/>
      <c r="DV165" s="131"/>
      <c r="DW165" s="131"/>
      <c r="DX165" s="131"/>
      <c r="DY165" s="131"/>
      <c r="DZ165" s="131"/>
      <c r="EA165" s="131"/>
      <c r="EB165" s="131"/>
      <c r="EC165" s="131"/>
      <c r="ED165" s="131"/>
      <c r="EE165" s="131"/>
      <c r="EF165" s="131">
        <v>10</v>
      </c>
      <c r="EG165" s="131"/>
      <c r="EH165" s="131"/>
      <c r="EI165" s="131"/>
      <c r="EJ165" s="131"/>
      <c r="EK165" s="131"/>
      <c r="EL165" s="131"/>
      <c r="EM165" s="131"/>
      <c r="EN165" s="131"/>
      <c r="EO165" s="131"/>
      <c r="EP165" s="131"/>
      <c r="EQ165" s="131"/>
      <c r="ER165" s="131"/>
      <c r="ES165" s="131"/>
      <c r="ET165" s="131"/>
      <c r="EU165" s="131"/>
      <c r="EV165" s="131"/>
      <c r="EW165" s="131"/>
      <c r="EX165" s="131"/>
      <c r="EY165" s="131"/>
      <c r="EZ165" s="131"/>
      <c r="FA165" s="131"/>
      <c r="FB165" s="131"/>
      <c r="FC165" s="131"/>
      <c r="FD165" s="131"/>
      <c r="FE165" s="131"/>
      <c r="FF165" s="131"/>
      <c r="FG165" s="131"/>
      <c r="FH165" s="131"/>
      <c r="FI165" s="131"/>
      <c r="FJ165" s="131"/>
      <c r="FK165" s="131"/>
      <c r="FL165" s="131"/>
      <c r="FM165" s="131"/>
      <c r="FN165" s="131"/>
      <c r="FO165" s="131"/>
      <c r="FP165" s="131"/>
      <c r="FQ165" s="131"/>
      <c r="FR165" s="131"/>
      <c r="FS165" s="131"/>
      <c r="FT165" s="131"/>
      <c r="FU165" s="131"/>
      <c r="FV165" s="131"/>
      <c r="FW165" s="131"/>
      <c r="FX165" s="131"/>
      <c r="FY165" s="131"/>
      <c r="FZ165" s="131"/>
      <c r="GA165" s="131"/>
      <c r="GB165" s="131"/>
      <c r="GC165" s="131">
        <v>10</v>
      </c>
      <c r="GD165" s="131"/>
      <c r="GE165" s="131"/>
      <c r="GF165" s="131"/>
      <c r="GG165" s="131"/>
      <c r="GH165" s="131"/>
      <c r="GI165" s="131"/>
      <c r="GJ165" s="131"/>
      <c r="GK165" s="131"/>
      <c r="GL165" s="131"/>
      <c r="GM165" s="131"/>
      <c r="GN165" s="131"/>
      <c r="GO165" s="131"/>
      <c r="GP165" s="131"/>
      <c r="GQ165" s="131"/>
      <c r="GR165" s="131"/>
      <c r="GS165" s="131"/>
      <c r="GT165" s="131"/>
      <c r="GU165" s="131"/>
      <c r="GV165" s="131"/>
      <c r="GW165" s="131"/>
      <c r="GX165" s="131"/>
      <c r="GY165" s="131"/>
      <c r="GZ165" s="131"/>
      <c r="HA165" s="131"/>
      <c r="HB165" s="131"/>
      <c r="HC165" s="131"/>
      <c r="HD165" s="131"/>
      <c r="HE165" s="131"/>
      <c r="HF165" s="131"/>
      <c r="HG165" s="131"/>
      <c r="HH165" s="131"/>
      <c r="HI165" s="131"/>
      <c r="HJ165" s="131"/>
      <c r="HK165" s="131"/>
      <c r="HL165" s="131"/>
      <c r="HM165" s="131">
        <v>11</v>
      </c>
      <c r="HN165" s="131"/>
      <c r="HO165" s="131"/>
      <c r="HP165" s="131"/>
      <c r="HQ165" s="131"/>
      <c r="HR165" s="131"/>
      <c r="HS165" s="131"/>
      <c r="HT165" s="131"/>
      <c r="HU165" s="131"/>
      <c r="HV165" s="131"/>
      <c r="HW165" s="131"/>
      <c r="HX165" s="131"/>
      <c r="HY165" s="131"/>
      <c r="HZ165" s="131"/>
      <c r="IA165" s="131"/>
      <c r="IB165" s="131"/>
      <c r="IC165" s="131"/>
      <c r="ID165" s="131"/>
      <c r="IE165" s="131"/>
      <c r="IF165" s="131"/>
      <c r="IG165" s="131"/>
      <c r="IH165" s="131"/>
      <c r="II165" s="131"/>
      <c r="IJ165" s="131"/>
      <c r="IK165" s="131"/>
      <c r="IL165" s="131"/>
      <c r="IM165" s="131"/>
      <c r="IN165" s="131"/>
      <c r="IO165" s="131"/>
      <c r="IP165" s="131"/>
      <c r="IQ165" s="131"/>
      <c r="IR165" s="131"/>
      <c r="IS165" s="131"/>
      <c r="IT165" s="131"/>
      <c r="IU165" s="131"/>
      <c r="IV165" s="131"/>
      <c r="IW165" s="131"/>
      <c r="IX165" s="131"/>
      <c r="IY165" s="131"/>
      <c r="IZ165" s="131"/>
      <c r="JA165" s="131"/>
      <c r="JB165" s="131"/>
      <c r="JC165" s="131"/>
      <c r="JD165" s="131"/>
      <c r="JE165" s="131"/>
      <c r="JF165" s="131"/>
      <c r="JG165" s="131"/>
      <c r="JH165" s="131"/>
      <c r="JI165" s="131"/>
      <c r="JJ165" s="131"/>
      <c r="JK165" s="131"/>
      <c r="JL165" s="131"/>
      <c r="JM165" s="131"/>
      <c r="JN165" s="131"/>
      <c r="JO165" s="131"/>
      <c r="JP165" s="131"/>
      <c r="JQ165" s="131"/>
      <c r="JR165" s="131"/>
      <c r="JS165" s="131"/>
      <c r="JT165" s="131"/>
      <c r="JU165" s="131"/>
      <c r="JV165" s="131"/>
      <c r="JW165" s="131"/>
      <c r="JX165" s="131"/>
      <c r="JY165" s="131"/>
      <c r="JZ165" s="131"/>
      <c r="KA165" s="131"/>
      <c r="KB165" s="131"/>
      <c r="KC165" s="131"/>
      <c r="KD165" s="131"/>
      <c r="KE165" s="131"/>
      <c r="KF165" s="131"/>
      <c r="KG165" s="131"/>
      <c r="KH165" s="131"/>
      <c r="KI165" s="131"/>
      <c r="KJ165" s="131"/>
      <c r="KK165" s="131"/>
      <c r="KL165" s="131"/>
      <c r="KM165" s="131"/>
      <c r="KN165" s="131"/>
      <c r="KO165" s="131"/>
      <c r="KP165" s="131"/>
      <c r="KQ165" s="131"/>
      <c r="KR165" s="131"/>
      <c r="KS165" s="131"/>
      <c r="KT165" s="131"/>
      <c r="KU165" s="131"/>
      <c r="KV165" s="131"/>
      <c r="KW165" s="131"/>
      <c r="KX165" s="131"/>
      <c r="KY165" s="131"/>
      <c r="KZ165" s="131"/>
      <c r="LA165" s="131"/>
      <c r="LB165" s="131"/>
      <c r="LC165" s="131"/>
      <c r="LD165" s="131"/>
      <c r="LE165" s="131"/>
      <c r="LF165" s="131"/>
      <c r="LG165" s="131"/>
      <c r="LH165" s="131"/>
      <c r="LI165" s="131"/>
      <c r="LJ165" s="131"/>
      <c r="LK165" s="131"/>
      <c r="LL165" s="131"/>
      <c r="LM165" s="131"/>
      <c r="LN165" s="131"/>
      <c r="LO165" s="131"/>
      <c r="LP165" s="131"/>
      <c r="LQ165" s="131"/>
      <c r="LR165" s="131"/>
      <c r="LS165" s="131"/>
      <c r="LT165" s="131"/>
      <c r="LU165" s="131"/>
      <c r="LV165" s="131"/>
      <c r="LW165" s="131"/>
      <c r="LX165" s="131"/>
      <c r="LY165" s="131"/>
      <c r="LZ165" s="131"/>
      <c r="MA165" s="131"/>
      <c r="MB165" s="131"/>
      <c r="MC165" s="131"/>
      <c r="MD165" s="131"/>
      <c r="ME165" s="131"/>
      <c r="MF165" s="131"/>
      <c r="MG165" s="131"/>
      <c r="MH165" s="131"/>
      <c r="MI165" s="131"/>
      <c r="MJ165" s="131"/>
      <c r="MK165" s="131"/>
      <c r="ML165" s="131"/>
      <c r="MM165" s="131"/>
      <c r="MN165" s="131"/>
      <c r="MO165" s="131"/>
      <c r="MP165" s="131"/>
      <c r="MQ165" s="131"/>
      <c r="MR165" s="131"/>
      <c r="MS165" s="131"/>
      <c r="MT165" s="131"/>
      <c r="MU165" s="131"/>
      <c r="MV165" s="131"/>
      <c r="MW165" s="131"/>
      <c r="MX165" s="131"/>
      <c r="MY165" s="131"/>
      <c r="MZ165" s="131"/>
      <c r="NA165" s="131"/>
      <c r="NB165" s="131"/>
      <c r="NC165" s="131"/>
      <c r="ND165" s="131"/>
      <c r="NE165" s="131"/>
      <c r="NF165" s="131"/>
      <c r="NG165" s="131"/>
      <c r="NH165" s="131"/>
      <c r="NI165" s="131"/>
      <c r="NJ165" s="131"/>
      <c r="NK165" s="131"/>
      <c r="NL165" s="131"/>
      <c r="NM165" s="131"/>
      <c r="NN165" s="131"/>
      <c r="NO165" s="131"/>
      <c r="NP165" s="131"/>
      <c r="NQ165" s="131"/>
      <c r="NR165" s="131"/>
      <c r="NS165" s="131"/>
      <c r="NT165" s="131"/>
      <c r="NU165" s="131"/>
      <c r="NV165" s="131"/>
      <c r="NW165" s="24">
        <f t="shared" si="17"/>
        <v>31</v>
      </c>
      <c r="NX165" s="56" t="s">
        <v>36</v>
      </c>
      <c r="NY165" s="127">
        <v>1324.46</v>
      </c>
      <c r="NZ165" s="78">
        <f t="shared" si="18"/>
        <v>0</v>
      </c>
      <c r="OA165" s="78">
        <v>594.09999999999991</v>
      </c>
      <c r="OB165" s="127">
        <f t="shared" si="19"/>
        <v>1324.46</v>
      </c>
      <c r="OC165" s="153"/>
      <c r="OD165" s="108">
        <f t="shared" si="15"/>
        <v>2.2293553273859623</v>
      </c>
      <c r="OE165" s="160" t="s">
        <v>586</v>
      </c>
    </row>
    <row r="166" spans="1:395" s="5" customFormat="1" ht="12.75" hidden="1" customHeight="1" x14ac:dyDescent="0.25">
      <c r="A166" s="62">
        <v>44587</v>
      </c>
      <c r="B166" s="187" t="s">
        <v>579</v>
      </c>
      <c r="C166" s="129"/>
      <c r="D166" s="129"/>
      <c r="E166" s="130"/>
      <c r="F166" s="130"/>
      <c r="G166" s="130"/>
      <c r="H166" s="130"/>
      <c r="I166" s="130"/>
      <c r="J166" s="130"/>
      <c r="K166" s="130"/>
      <c r="L166" s="130"/>
      <c r="M166" s="131"/>
      <c r="N166" s="131"/>
      <c r="O166" s="131"/>
      <c r="P166" s="131"/>
      <c r="Q166" s="131"/>
      <c r="R166" s="131"/>
      <c r="S166" s="131"/>
      <c r="T166" s="131"/>
      <c r="U166" s="131"/>
      <c r="V166" s="131"/>
      <c r="W166" s="131"/>
      <c r="X166" s="131"/>
      <c r="Y166" s="131"/>
      <c r="Z166" s="131"/>
      <c r="AA166" s="131"/>
      <c r="AB166" s="131"/>
      <c r="AC166" s="131"/>
      <c r="AD166" s="131"/>
      <c r="AE166" s="131"/>
      <c r="AF166" s="131"/>
      <c r="AG166" s="131"/>
      <c r="AH166" s="131"/>
      <c r="AI166" s="131"/>
      <c r="AJ166" s="131"/>
      <c r="AK166" s="131"/>
      <c r="AL166" s="131"/>
      <c r="AM166" s="131"/>
      <c r="AN166" s="131"/>
      <c r="AO166" s="131"/>
      <c r="AP166" s="131"/>
      <c r="AQ166" s="131"/>
      <c r="AR166" s="131"/>
      <c r="AS166" s="131"/>
      <c r="AT166" s="131"/>
      <c r="AU166" s="131"/>
      <c r="AV166" s="131"/>
      <c r="AW166" s="131"/>
      <c r="AX166" s="131"/>
      <c r="AY166" s="131"/>
      <c r="AZ166" s="131"/>
      <c r="BA166" s="131"/>
      <c r="BB166" s="131"/>
      <c r="BC166" s="131"/>
      <c r="BD166" s="131"/>
      <c r="BE166" s="131"/>
      <c r="BF166" s="131"/>
      <c r="BG166" s="131"/>
      <c r="BH166" s="131"/>
      <c r="BI166" s="131"/>
      <c r="BJ166" s="131"/>
      <c r="BK166" s="131"/>
      <c r="BL166" s="131"/>
      <c r="BM166" s="131"/>
      <c r="BN166" s="131"/>
      <c r="BO166" s="131"/>
      <c r="BP166" s="131"/>
      <c r="BQ166" s="131"/>
      <c r="BR166" s="131"/>
      <c r="BS166" s="131"/>
      <c r="BT166" s="131"/>
      <c r="BU166" s="131"/>
      <c r="BV166" s="131"/>
      <c r="BW166" s="131"/>
      <c r="BX166" s="131"/>
      <c r="BY166" s="131"/>
      <c r="BZ166" s="131"/>
      <c r="CA166" s="131"/>
      <c r="CB166" s="131"/>
      <c r="CC166" s="131"/>
      <c r="CD166" s="131"/>
      <c r="CE166" s="131"/>
      <c r="CF166" s="131"/>
      <c r="CG166" s="131"/>
      <c r="CH166" s="131"/>
      <c r="CI166" s="131"/>
      <c r="CJ166" s="131"/>
      <c r="CK166" s="131"/>
      <c r="CL166" s="131"/>
      <c r="CM166" s="131"/>
      <c r="CN166" s="131"/>
      <c r="CO166" s="131"/>
      <c r="CP166" s="131"/>
      <c r="CQ166" s="131"/>
      <c r="CR166" s="131"/>
      <c r="CS166" s="131"/>
      <c r="CT166" s="131"/>
      <c r="CU166" s="131"/>
      <c r="CV166" s="131"/>
      <c r="CW166" s="131"/>
      <c r="CX166" s="131"/>
      <c r="CY166" s="131"/>
      <c r="CZ166" s="131"/>
      <c r="DA166" s="131"/>
      <c r="DB166" s="131"/>
      <c r="DC166" s="131"/>
      <c r="DD166" s="131"/>
      <c r="DE166" s="131"/>
      <c r="DF166" s="131"/>
      <c r="DG166" s="131"/>
      <c r="DH166" s="131"/>
      <c r="DI166" s="131"/>
      <c r="DJ166" s="131"/>
      <c r="DK166" s="131"/>
      <c r="DL166" s="131"/>
      <c r="DM166" s="131"/>
      <c r="DN166" s="131"/>
      <c r="DO166" s="131"/>
      <c r="DP166" s="131"/>
      <c r="DQ166" s="131"/>
      <c r="DR166" s="131"/>
      <c r="DS166" s="131"/>
      <c r="DT166" s="131"/>
      <c r="DU166" s="131"/>
      <c r="DV166" s="131"/>
      <c r="DW166" s="131"/>
      <c r="DX166" s="131"/>
      <c r="DY166" s="131"/>
      <c r="DZ166" s="131"/>
      <c r="EA166" s="131"/>
      <c r="EB166" s="131"/>
      <c r="EC166" s="131"/>
      <c r="ED166" s="131"/>
      <c r="EE166" s="131"/>
      <c r="EF166" s="131"/>
      <c r="EG166" s="131"/>
      <c r="EH166" s="131"/>
      <c r="EI166" s="131"/>
      <c r="EJ166" s="131"/>
      <c r="EK166" s="131"/>
      <c r="EL166" s="131"/>
      <c r="EM166" s="131"/>
      <c r="EN166" s="131"/>
      <c r="EO166" s="131">
        <v>1.6</v>
      </c>
      <c r="EP166" s="131"/>
      <c r="EQ166" s="131"/>
      <c r="ER166" s="131"/>
      <c r="ES166" s="131"/>
      <c r="ET166" s="131"/>
      <c r="EU166" s="131"/>
      <c r="EV166" s="131"/>
      <c r="EW166" s="131"/>
      <c r="EX166" s="131"/>
      <c r="EY166" s="131"/>
      <c r="EZ166" s="131"/>
      <c r="FA166" s="131"/>
      <c r="FB166" s="131"/>
      <c r="FC166" s="131"/>
      <c r="FD166" s="131"/>
      <c r="FE166" s="131"/>
      <c r="FF166" s="131"/>
      <c r="FG166" s="131"/>
      <c r="FH166" s="131"/>
      <c r="FI166" s="131"/>
      <c r="FJ166" s="131"/>
      <c r="FK166" s="131"/>
      <c r="FL166" s="131"/>
      <c r="FM166" s="131"/>
      <c r="FN166" s="131"/>
      <c r="FO166" s="131"/>
      <c r="FP166" s="131"/>
      <c r="FQ166" s="131"/>
      <c r="FR166" s="131"/>
      <c r="FS166" s="131"/>
      <c r="FT166" s="131"/>
      <c r="FU166" s="131"/>
      <c r="FV166" s="131"/>
      <c r="FW166" s="131"/>
      <c r="FX166" s="131"/>
      <c r="FY166" s="131"/>
      <c r="FZ166" s="131"/>
      <c r="GA166" s="131"/>
      <c r="GB166" s="131"/>
      <c r="GC166" s="131"/>
      <c r="GD166" s="131"/>
      <c r="GE166" s="131"/>
      <c r="GF166" s="131"/>
      <c r="GG166" s="131"/>
      <c r="GH166" s="131"/>
      <c r="GI166" s="131"/>
      <c r="GJ166" s="131"/>
      <c r="GK166" s="131"/>
      <c r="GL166" s="131"/>
      <c r="GM166" s="131"/>
      <c r="GN166" s="131"/>
      <c r="GO166" s="131"/>
      <c r="GP166" s="131"/>
      <c r="GQ166" s="131"/>
      <c r="GR166" s="131"/>
      <c r="GS166" s="131"/>
      <c r="GT166" s="131"/>
      <c r="GU166" s="131"/>
      <c r="GV166" s="131"/>
      <c r="GW166" s="131"/>
      <c r="GX166" s="131"/>
      <c r="GY166" s="131"/>
      <c r="GZ166" s="131"/>
      <c r="HA166" s="131"/>
      <c r="HB166" s="131"/>
      <c r="HC166" s="131"/>
      <c r="HD166" s="131"/>
      <c r="HE166" s="131"/>
      <c r="HF166" s="131"/>
      <c r="HG166" s="131"/>
      <c r="HH166" s="131"/>
      <c r="HI166" s="131"/>
      <c r="HJ166" s="131"/>
      <c r="HK166" s="131"/>
      <c r="HL166" s="131"/>
      <c r="HM166" s="131"/>
      <c r="HN166" s="131"/>
      <c r="HO166" s="131"/>
      <c r="HP166" s="131">
        <v>2.2000000000000002</v>
      </c>
      <c r="HQ166" s="131"/>
      <c r="HR166" s="131"/>
      <c r="HS166" s="131"/>
      <c r="HT166" s="131"/>
      <c r="HU166" s="131"/>
      <c r="HV166" s="131"/>
      <c r="HW166" s="131"/>
      <c r="HX166" s="131"/>
      <c r="HY166" s="131"/>
      <c r="HZ166" s="131"/>
      <c r="IA166" s="131"/>
      <c r="IB166" s="131"/>
      <c r="IC166" s="131"/>
      <c r="ID166" s="131"/>
      <c r="IE166" s="131"/>
      <c r="IF166" s="131"/>
      <c r="IG166" s="131"/>
      <c r="IH166" s="131"/>
      <c r="II166" s="131"/>
      <c r="IJ166" s="131"/>
      <c r="IK166" s="131"/>
      <c r="IL166" s="131"/>
      <c r="IM166" s="131"/>
      <c r="IN166" s="131"/>
      <c r="IO166" s="131"/>
      <c r="IP166" s="131"/>
      <c r="IQ166" s="131"/>
      <c r="IR166" s="131"/>
      <c r="IS166" s="131"/>
      <c r="IT166" s="131"/>
      <c r="IU166" s="131"/>
      <c r="IV166" s="131"/>
      <c r="IW166" s="131"/>
      <c r="IX166" s="131"/>
      <c r="IY166" s="131"/>
      <c r="IZ166" s="131"/>
      <c r="JA166" s="131"/>
      <c r="JB166" s="131"/>
      <c r="JC166" s="131"/>
      <c r="JD166" s="131"/>
      <c r="JE166" s="131"/>
      <c r="JF166" s="131"/>
      <c r="JG166" s="131"/>
      <c r="JH166" s="131"/>
      <c r="JI166" s="131"/>
      <c r="JJ166" s="131"/>
      <c r="JK166" s="131"/>
      <c r="JL166" s="131"/>
      <c r="JM166" s="131"/>
      <c r="JN166" s="131"/>
      <c r="JO166" s="131"/>
      <c r="JP166" s="131"/>
      <c r="JQ166" s="131"/>
      <c r="JR166" s="131"/>
      <c r="JS166" s="131"/>
      <c r="JT166" s="131"/>
      <c r="JU166" s="131"/>
      <c r="JV166" s="131"/>
      <c r="JW166" s="131"/>
      <c r="JX166" s="131"/>
      <c r="JY166" s="131"/>
      <c r="JZ166" s="131"/>
      <c r="KA166" s="131"/>
      <c r="KB166" s="131"/>
      <c r="KC166" s="131"/>
      <c r="KD166" s="131"/>
      <c r="KE166" s="131"/>
      <c r="KF166" s="131"/>
      <c r="KG166" s="131"/>
      <c r="KH166" s="131"/>
      <c r="KI166" s="131"/>
      <c r="KJ166" s="131"/>
      <c r="KK166" s="131"/>
      <c r="KL166" s="131"/>
      <c r="KM166" s="131"/>
      <c r="KN166" s="131"/>
      <c r="KO166" s="131"/>
      <c r="KP166" s="131"/>
      <c r="KQ166" s="131"/>
      <c r="KR166" s="131"/>
      <c r="KS166" s="131"/>
      <c r="KT166" s="131"/>
      <c r="KU166" s="131"/>
      <c r="KV166" s="131"/>
      <c r="KW166" s="131"/>
      <c r="KX166" s="131"/>
      <c r="KY166" s="131"/>
      <c r="KZ166" s="131"/>
      <c r="LA166" s="131"/>
      <c r="LB166" s="131"/>
      <c r="LC166" s="131"/>
      <c r="LD166" s="131"/>
      <c r="LE166" s="131"/>
      <c r="LF166" s="131"/>
      <c r="LG166" s="131"/>
      <c r="LH166" s="131"/>
      <c r="LI166" s="131"/>
      <c r="LJ166" s="131"/>
      <c r="LK166" s="131"/>
      <c r="LL166" s="131"/>
      <c r="LM166" s="131"/>
      <c r="LN166" s="131"/>
      <c r="LO166" s="131"/>
      <c r="LP166" s="131"/>
      <c r="LQ166" s="131"/>
      <c r="LR166" s="131"/>
      <c r="LS166" s="131"/>
      <c r="LT166" s="131"/>
      <c r="LU166" s="131"/>
      <c r="LV166" s="131"/>
      <c r="LW166" s="131"/>
      <c r="LX166" s="131"/>
      <c r="LY166" s="131"/>
      <c r="LZ166" s="131"/>
      <c r="MA166" s="131"/>
      <c r="MB166" s="131"/>
      <c r="MC166" s="131"/>
      <c r="MD166" s="131"/>
      <c r="ME166" s="131"/>
      <c r="MF166" s="131"/>
      <c r="MG166" s="131"/>
      <c r="MH166" s="131"/>
      <c r="MI166" s="131"/>
      <c r="MJ166" s="131"/>
      <c r="MK166" s="131"/>
      <c r="ML166" s="131"/>
      <c r="MM166" s="131"/>
      <c r="MN166" s="131"/>
      <c r="MO166" s="131"/>
      <c r="MP166" s="131"/>
      <c r="MQ166" s="131"/>
      <c r="MR166" s="131"/>
      <c r="MS166" s="131"/>
      <c r="MT166" s="131"/>
      <c r="MU166" s="131"/>
      <c r="MV166" s="131"/>
      <c r="MW166" s="131"/>
      <c r="MX166" s="131"/>
      <c r="MY166" s="131"/>
      <c r="MZ166" s="131"/>
      <c r="NA166" s="131"/>
      <c r="NB166" s="131"/>
      <c r="NC166" s="131"/>
      <c r="ND166" s="131"/>
      <c r="NE166" s="131"/>
      <c r="NF166" s="131"/>
      <c r="NG166" s="131"/>
      <c r="NH166" s="131"/>
      <c r="NI166" s="131"/>
      <c r="NJ166" s="131"/>
      <c r="NK166" s="131"/>
      <c r="NL166" s="131"/>
      <c r="NM166" s="131"/>
      <c r="NN166" s="131"/>
      <c r="NO166" s="131"/>
      <c r="NP166" s="131"/>
      <c r="NQ166" s="131"/>
      <c r="NR166" s="131"/>
      <c r="NS166" s="131"/>
      <c r="NT166" s="131"/>
      <c r="NU166" s="131"/>
      <c r="NV166" s="131"/>
      <c r="NW166" s="24">
        <f t="shared" si="17"/>
        <v>0</v>
      </c>
      <c r="NX166" s="56" t="s">
        <v>36</v>
      </c>
      <c r="NY166" s="127">
        <v>233.3</v>
      </c>
      <c r="NZ166" s="78">
        <f t="shared" si="18"/>
        <v>233.3</v>
      </c>
      <c r="OA166" s="78">
        <v>124.346</v>
      </c>
      <c r="OB166" s="127">
        <f t="shared" si="19"/>
        <v>0</v>
      </c>
      <c r="OC166" s="153">
        <v>233.3</v>
      </c>
      <c r="OD166" s="108">
        <f t="shared" si="15"/>
        <v>1.8762163640165346</v>
      </c>
      <c r="OE166" s="160"/>
    </row>
    <row r="167" spans="1:395" s="5" customFormat="1" ht="12.75" customHeight="1" x14ac:dyDescent="0.25">
      <c r="A167" s="62">
        <v>44587</v>
      </c>
      <c r="B167" s="106" t="s">
        <v>580</v>
      </c>
      <c r="C167" s="129"/>
      <c r="D167" s="129"/>
      <c r="E167" s="130"/>
      <c r="F167" s="130"/>
      <c r="G167" s="130"/>
      <c r="H167" s="130"/>
      <c r="I167" s="130"/>
      <c r="J167" s="130"/>
      <c r="K167" s="130"/>
      <c r="L167" s="130"/>
      <c r="M167" s="131"/>
      <c r="N167" s="131"/>
      <c r="O167" s="131"/>
      <c r="P167" s="131"/>
      <c r="Q167" s="131"/>
      <c r="R167" s="131"/>
      <c r="S167" s="131"/>
      <c r="T167" s="131"/>
      <c r="U167" s="131"/>
      <c r="V167" s="131"/>
      <c r="W167" s="131"/>
      <c r="X167" s="131"/>
      <c r="Y167" s="131"/>
      <c r="Z167" s="131"/>
      <c r="AA167" s="131"/>
      <c r="AB167" s="131"/>
      <c r="AC167" s="131"/>
      <c r="AD167" s="131"/>
      <c r="AE167" s="131"/>
      <c r="AF167" s="131"/>
      <c r="AG167" s="131"/>
      <c r="AH167" s="131"/>
      <c r="AI167" s="131"/>
      <c r="AJ167" s="131"/>
      <c r="AK167" s="131"/>
      <c r="AL167" s="131"/>
      <c r="AM167" s="131"/>
      <c r="AN167" s="131"/>
      <c r="AO167" s="131"/>
      <c r="AP167" s="131"/>
      <c r="AQ167" s="131"/>
      <c r="AR167" s="131"/>
      <c r="AS167" s="131"/>
      <c r="AT167" s="131"/>
      <c r="AU167" s="131"/>
      <c r="AV167" s="131"/>
      <c r="AW167" s="131"/>
      <c r="AX167" s="131"/>
      <c r="AY167" s="131"/>
      <c r="AZ167" s="131"/>
      <c r="BA167" s="131"/>
      <c r="BB167" s="131"/>
      <c r="BC167" s="131">
        <v>1</v>
      </c>
      <c r="BD167" s="131"/>
      <c r="BE167" s="131"/>
      <c r="BF167" s="131"/>
      <c r="BG167" s="131"/>
      <c r="BH167" s="131"/>
      <c r="BI167" s="131"/>
      <c r="BJ167" s="131"/>
      <c r="BK167" s="131"/>
      <c r="BL167" s="131"/>
      <c r="BM167" s="131"/>
      <c r="BN167" s="131"/>
      <c r="BO167" s="131"/>
      <c r="BP167" s="131"/>
      <c r="BQ167" s="131"/>
      <c r="BR167" s="131"/>
      <c r="BS167" s="131"/>
      <c r="BT167" s="131"/>
      <c r="BU167" s="131"/>
      <c r="BV167" s="131"/>
      <c r="BW167" s="131"/>
      <c r="BX167" s="131"/>
      <c r="BY167" s="131"/>
      <c r="BZ167" s="131"/>
      <c r="CA167" s="131"/>
      <c r="CB167" s="131"/>
      <c r="CC167" s="131"/>
      <c r="CD167" s="131"/>
      <c r="CE167" s="131"/>
      <c r="CF167" s="131"/>
      <c r="CG167" s="131"/>
      <c r="CH167" s="131"/>
      <c r="CI167" s="131"/>
      <c r="CJ167" s="131"/>
      <c r="CK167" s="131"/>
      <c r="CL167" s="131"/>
      <c r="CM167" s="131"/>
      <c r="CN167" s="131"/>
      <c r="CO167" s="131"/>
      <c r="CP167" s="131"/>
      <c r="CQ167" s="131"/>
      <c r="CR167" s="131"/>
      <c r="CS167" s="131"/>
      <c r="CT167" s="131"/>
      <c r="CU167" s="131"/>
      <c r="CV167" s="131"/>
      <c r="CW167" s="131"/>
      <c r="CX167" s="131"/>
      <c r="CY167" s="131"/>
      <c r="CZ167" s="131"/>
      <c r="DA167" s="131"/>
      <c r="DB167" s="131"/>
      <c r="DC167" s="131"/>
      <c r="DD167" s="131"/>
      <c r="DE167" s="131"/>
      <c r="DF167" s="131"/>
      <c r="DG167" s="131"/>
      <c r="DH167" s="131"/>
      <c r="DI167" s="131"/>
      <c r="DJ167" s="131"/>
      <c r="DK167" s="131"/>
      <c r="DL167" s="131"/>
      <c r="DM167" s="131"/>
      <c r="DN167" s="131"/>
      <c r="DO167" s="131"/>
      <c r="DP167" s="131"/>
      <c r="DQ167" s="131"/>
      <c r="DR167" s="131"/>
      <c r="DS167" s="131"/>
      <c r="DT167" s="131"/>
      <c r="DU167" s="131"/>
      <c r="DV167" s="131"/>
      <c r="DW167" s="131"/>
      <c r="DX167" s="131"/>
      <c r="DY167" s="131"/>
      <c r="DZ167" s="131"/>
      <c r="EA167" s="131"/>
      <c r="EB167" s="131"/>
      <c r="EC167" s="131"/>
      <c r="ED167" s="131"/>
      <c r="EE167" s="131"/>
      <c r="EF167" s="131"/>
      <c r="EG167" s="131"/>
      <c r="EH167" s="131"/>
      <c r="EI167" s="131"/>
      <c r="EJ167" s="131"/>
      <c r="EK167" s="131"/>
      <c r="EL167" s="131"/>
      <c r="EM167" s="131"/>
      <c r="EN167" s="131"/>
      <c r="EO167" s="131"/>
      <c r="EP167" s="131"/>
      <c r="EQ167" s="131"/>
      <c r="ER167" s="131"/>
      <c r="ES167" s="131"/>
      <c r="ET167" s="131"/>
      <c r="EU167" s="131"/>
      <c r="EV167" s="131"/>
      <c r="EW167" s="131"/>
      <c r="EX167" s="131"/>
      <c r="EY167" s="131"/>
      <c r="EZ167" s="131"/>
      <c r="FA167" s="131"/>
      <c r="FB167" s="131"/>
      <c r="FC167" s="131"/>
      <c r="FD167" s="131"/>
      <c r="FE167" s="131"/>
      <c r="FF167" s="131"/>
      <c r="FG167" s="131"/>
      <c r="FH167" s="131"/>
      <c r="FI167" s="131"/>
      <c r="FJ167" s="131"/>
      <c r="FK167" s="131"/>
      <c r="FL167" s="131"/>
      <c r="FM167" s="131"/>
      <c r="FN167" s="131"/>
      <c r="FO167" s="131"/>
      <c r="FP167" s="131"/>
      <c r="FQ167" s="131"/>
      <c r="FR167" s="131"/>
      <c r="FS167" s="131"/>
      <c r="FT167" s="131"/>
      <c r="FU167" s="131"/>
      <c r="FV167" s="131"/>
      <c r="FW167" s="131"/>
      <c r="FX167" s="131"/>
      <c r="FY167" s="131"/>
      <c r="FZ167" s="131"/>
      <c r="GA167" s="131"/>
      <c r="GB167" s="131"/>
      <c r="GC167" s="131"/>
      <c r="GD167" s="131"/>
      <c r="GE167" s="131"/>
      <c r="GF167" s="131"/>
      <c r="GG167" s="131"/>
      <c r="GH167" s="131"/>
      <c r="GI167" s="131"/>
      <c r="GJ167" s="131"/>
      <c r="GK167" s="131"/>
      <c r="GL167" s="131"/>
      <c r="GM167" s="131"/>
      <c r="GN167" s="131"/>
      <c r="GO167" s="131"/>
      <c r="GP167" s="131"/>
      <c r="GQ167" s="131"/>
      <c r="GR167" s="131"/>
      <c r="GS167" s="131"/>
      <c r="GT167" s="131"/>
      <c r="GU167" s="131"/>
      <c r="GV167" s="131"/>
      <c r="GW167" s="131"/>
      <c r="GX167" s="131"/>
      <c r="GY167" s="131"/>
      <c r="GZ167" s="131"/>
      <c r="HA167" s="131"/>
      <c r="HB167" s="131"/>
      <c r="HC167" s="131"/>
      <c r="HD167" s="131"/>
      <c r="HE167" s="131"/>
      <c r="HF167" s="131"/>
      <c r="HG167" s="131"/>
      <c r="HH167" s="131"/>
      <c r="HI167" s="131"/>
      <c r="HJ167" s="131"/>
      <c r="HK167" s="131"/>
      <c r="HL167" s="131"/>
      <c r="HM167" s="131"/>
      <c r="HN167" s="131"/>
      <c r="HO167" s="131"/>
      <c r="HP167" s="131"/>
      <c r="HQ167" s="131"/>
      <c r="HR167" s="131"/>
      <c r="HS167" s="131"/>
      <c r="HT167" s="131"/>
      <c r="HU167" s="131"/>
      <c r="HV167" s="131"/>
      <c r="HW167" s="131"/>
      <c r="HX167" s="131"/>
      <c r="HY167" s="131"/>
      <c r="HZ167" s="131"/>
      <c r="IA167" s="131"/>
      <c r="IB167" s="131"/>
      <c r="IC167" s="131"/>
      <c r="ID167" s="131"/>
      <c r="IE167" s="131"/>
      <c r="IF167" s="131"/>
      <c r="IG167" s="131"/>
      <c r="IH167" s="131"/>
      <c r="II167" s="131"/>
      <c r="IJ167" s="131"/>
      <c r="IK167" s="131"/>
      <c r="IL167" s="131"/>
      <c r="IM167" s="131"/>
      <c r="IN167" s="131"/>
      <c r="IO167" s="131"/>
      <c r="IP167" s="131"/>
      <c r="IQ167" s="131"/>
      <c r="IR167" s="131"/>
      <c r="IS167" s="131"/>
      <c r="IT167" s="131"/>
      <c r="IU167" s="131"/>
      <c r="IV167" s="131"/>
      <c r="IW167" s="131"/>
      <c r="IX167" s="131"/>
      <c r="IY167" s="131"/>
      <c r="IZ167" s="131"/>
      <c r="JA167" s="131"/>
      <c r="JB167" s="131"/>
      <c r="JC167" s="131"/>
      <c r="JD167" s="131"/>
      <c r="JE167" s="131"/>
      <c r="JF167" s="131"/>
      <c r="JG167" s="131"/>
      <c r="JH167" s="131"/>
      <c r="JI167" s="131"/>
      <c r="JJ167" s="131"/>
      <c r="JK167" s="131"/>
      <c r="JL167" s="131"/>
      <c r="JM167" s="131"/>
      <c r="JN167" s="131"/>
      <c r="JO167" s="131"/>
      <c r="JP167" s="131"/>
      <c r="JQ167" s="131"/>
      <c r="JR167" s="131"/>
      <c r="JS167" s="131"/>
      <c r="JT167" s="131"/>
      <c r="JU167" s="131"/>
      <c r="JV167" s="131"/>
      <c r="JW167" s="131"/>
      <c r="JX167" s="131"/>
      <c r="JY167" s="131"/>
      <c r="JZ167" s="131"/>
      <c r="KA167" s="131"/>
      <c r="KB167" s="131"/>
      <c r="KC167" s="131"/>
      <c r="KD167" s="131"/>
      <c r="KE167" s="131"/>
      <c r="KF167" s="131"/>
      <c r="KG167" s="131"/>
      <c r="KH167" s="131"/>
      <c r="KI167" s="131"/>
      <c r="KJ167" s="131"/>
      <c r="KK167" s="131"/>
      <c r="KL167" s="131"/>
      <c r="KM167" s="131"/>
      <c r="KN167" s="131"/>
      <c r="KO167" s="131"/>
      <c r="KP167" s="131"/>
      <c r="KQ167" s="131"/>
      <c r="KR167" s="131"/>
      <c r="KS167" s="131"/>
      <c r="KT167" s="131"/>
      <c r="KU167" s="131"/>
      <c r="KV167" s="131"/>
      <c r="KW167" s="131"/>
      <c r="KX167" s="131"/>
      <c r="KY167" s="131"/>
      <c r="KZ167" s="131"/>
      <c r="LA167" s="131"/>
      <c r="LB167" s="131"/>
      <c r="LC167" s="131"/>
      <c r="LD167" s="131"/>
      <c r="LE167" s="131"/>
      <c r="LF167" s="131"/>
      <c r="LG167" s="131"/>
      <c r="LH167" s="131"/>
      <c r="LI167" s="131"/>
      <c r="LJ167" s="131"/>
      <c r="LK167" s="131"/>
      <c r="LL167" s="131"/>
      <c r="LM167" s="131"/>
      <c r="LN167" s="131"/>
      <c r="LO167" s="131"/>
      <c r="LP167" s="131"/>
      <c r="LQ167" s="131"/>
      <c r="LR167" s="131"/>
      <c r="LS167" s="131"/>
      <c r="LT167" s="131"/>
      <c r="LU167" s="131"/>
      <c r="LV167" s="131"/>
      <c r="LW167" s="131"/>
      <c r="LX167" s="131"/>
      <c r="LY167" s="131"/>
      <c r="LZ167" s="131"/>
      <c r="MA167" s="131"/>
      <c r="MB167" s="131"/>
      <c r="MC167" s="131"/>
      <c r="MD167" s="131"/>
      <c r="ME167" s="131"/>
      <c r="MF167" s="131"/>
      <c r="MG167" s="131"/>
      <c r="MH167" s="131"/>
      <c r="MI167" s="131"/>
      <c r="MJ167" s="131"/>
      <c r="MK167" s="131"/>
      <c r="ML167" s="131"/>
      <c r="MM167" s="131"/>
      <c r="MN167" s="131"/>
      <c r="MO167" s="131"/>
      <c r="MP167" s="131"/>
      <c r="MQ167" s="131"/>
      <c r="MR167" s="131"/>
      <c r="MS167" s="131"/>
      <c r="MT167" s="131"/>
      <c r="MU167" s="131"/>
      <c r="MV167" s="131"/>
      <c r="MW167" s="131"/>
      <c r="MX167" s="131"/>
      <c r="MY167" s="131"/>
      <c r="MZ167" s="131"/>
      <c r="NA167" s="131"/>
      <c r="NB167" s="131"/>
      <c r="NC167" s="131"/>
      <c r="ND167" s="131"/>
      <c r="NE167" s="131"/>
      <c r="NF167" s="131"/>
      <c r="NG167" s="131"/>
      <c r="NH167" s="131"/>
      <c r="NI167" s="131"/>
      <c r="NJ167" s="131"/>
      <c r="NK167" s="131"/>
      <c r="NL167" s="131"/>
      <c r="NM167" s="131"/>
      <c r="NN167" s="131"/>
      <c r="NO167" s="131"/>
      <c r="NP167" s="131"/>
      <c r="NQ167" s="131"/>
      <c r="NR167" s="131"/>
      <c r="NS167" s="131"/>
      <c r="NT167" s="131"/>
      <c r="NU167" s="131"/>
      <c r="NV167" s="131"/>
      <c r="NW167" s="24">
        <f t="shared" si="17"/>
        <v>1</v>
      </c>
      <c r="NX167" s="56" t="s">
        <v>36</v>
      </c>
      <c r="NY167" s="127">
        <v>36.67</v>
      </c>
      <c r="NZ167" s="78">
        <f t="shared" si="18"/>
        <v>0</v>
      </c>
      <c r="OA167" s="78">
        <v>22.06</v>
      </c>
      <c r="OB167" s="127">
        <f t="shared" si="19"/>
        <v>36.67</v>
      </c>
      <c r="OC167" s="153"/>
      <c r="OD167" s="108">
        <f t="shared" si="15"/>
        <v>1.6622846781504987</v>
      </c>
      <c r="OE167" s="160" t="s">
        <v>585</v>
      </c>
    </row>
    <row r="168" spans="1:395" s="5" customFormat="1" ht="12.75" customHeight="1" x14ac:dyDescent="0.25">
      <c r="A168" s="62">
        <v>44587</v>
      </c>
      <c r="B168" s="116" t="s">
        <v>57</v>
      </c>
      <c r="C168" s="129"/>
      <c r="D168" s="129"/>
      <c r="E168" s="130"/>
      <c r="F168" s="130"/>
      <c r="G168" s="130"/>
      <c r="H168" s="130"/>
      <c r="I168" s="130"/>
      <c r="J168" s="130"/>
      <c r="K168" s="130"/>
      <c r="L168" s="130"/>
      <c r="M168" s="131"/>
      <c r="N168" s="131"/>
      <c r="O168" s="131"/>
      <c r="P168" s="131"/>
      <c r="Q168" s="131"/>
      <c r="R168" s="131"/>
      <c r="S168" s="131"/>
      <c r="T168" s="131"/>
      <c r="U168" s="131"/>
      <c r="V168" s="131"/>
      <c r="W168" s="131"/>
      <c r="X168" s="131"/>
      <c r="Y168" s="131"/>
      <c r="Z168" s="131"/>
      <c r="AA168" s="131"/>
      <c r="AB168" s="131"/>
      <c r="AC168" s="131"/>
      <c r="AD168" s="131"/>
      <c r="AE168" s="131"/>
      <c r="AF168" s="131"/>
      <c r="AG168" s="131"/>
      <c r="AH168" s="131"/>
      <c r="AI168" s="131"/>
      <c r="AJ168" s="131"/>
      <c r="AK168" s="131"/>
      <c r="AL168" s="131"/>
      <c r="AM168" s="131"/>
      <c r="AN168" s="131"/>
      <c r="AO168" s="131"/>
      <c r="AP168" s="131"/>
      <c r="AQ168" s="131"/>
      <c r="AR168" s="131"/>
      <c r="AS168" s="131"/>
      <c r="AT168" s="131"/>
      <c r="AU168" s="131"/>
      <c r="AV168" s="131"/>
      <c r="AW168" s="131"/>
      <c r="AX168" s="131"/>
      <c r="AY168" s="131"/>
      <c r="AZ168" s="131"/>
      <c r="BA168" s="131"/>
      <c r="BB168" s="131"/>
      <c r="BC168" s="131"/>
      <c r="BD168" s="131"/>
      <c r="BE168" s="131"/>
      <c r="BF168" s="131"/>
      <c r="BG168" s="131"/>
      <c r="BH168" s="131"/>
      <c r="BI168" s="131"/>
      <c r="BJ168" s="131"/>
      <c r="BK168" s="131"/>
      <c r="BL168" s="131"/>
      <c r="BM168" s="131"/>
      <c r="BN168" s="131"/>
      <c r="BO168" s="131"/>
      <c r="BP168" s="131"/>
      <c r="BQ168" s="131"/>
      <c r="BR168" s="131"/>
      <c r="BS168" s="131"/>
      <c r="BT168" s="131"/>
      <c r="BU168" s="131"/>
      <c r="BV168" s="131"/>
      <c r="BW168" s="131"/>
      <c r="BX168" s="131"/>
      <c r="BY168" s="131"/>
      <c r="BZ168" s="131"/>
      <c r="CA168" s="131"/>
      <c r="CB168" s="131"/>
      <c r="CC168" s="131"/>
      <c r="CD168" s="131"/>
      <c r="CE168" s="131"/>
      <c r="CF168" s="131"/>
      <c r="CG168" s="131"/>
      <c r="CH168" s="131"/>
      <c r="CI168" s="131"/>
      <c r="CJ168" s="131"/>
      <c r="CK168" s="131"/>
      <c r="CL168" s="131"/>
      <c r="CM168" s="131"/>
      <c r="CN168" s="131"/>
      <c r="CO168" s="131"/>
      <c r="CP168" s="131"/>
      <c r="CQ168" s="131"/>
      <c r="CR168" s="131"/>
      <c r="CS168" s="131"/>
      <c r="CT168" s="131"/>
      <c r="CU168" s="131"/>
      <c r="CV168" s="131"/>
      <c r="CW168" s="131"/>
      <c r="CX168" s="131"/>
      <c r="CY168" s="131"/>
      <c r="CZ168" s="131"/>
      <c r="DA168" s="131"/>
      <c r="DB168" s="131"/>
      <c r="DC168" s="131"/>
      <c r="DD168" s="131"/>
      <c r="DE168" s="131"/>
      <c r="DF168" s="131"/>
      <c r="DG168" s="131"/>
      <c r="DH168" s="131"/>
      <c r="DI168" s="131"/>
      <c r="DJ168" s="131"/>
      <c r="DK168" s="131"/>
      <c r="DL168" s="131"/>
      <c r="DM168" s="131"/>
      <c r="DN168" s="131"/>
      <c r="DO168" s="131"/>
      <c r="DP168" s="131"/>
      <c r="DQ168" s="131"/>
      <c r="DR168" s="131"/>
      <c r="DS168" s="131"/>
      <c r="DT168" s="131"/>
      <c r="DU168" s="131"/>
      <c r="DV168" s="131"/>
      <c r="DW168" s="131"/>
      <c r="DX168" s="131"/>
      <c r="DY168" s="131"/>
      <c r="DZ168" s="131"/>
      <c r="EA168" s="131"/>
      <c r="EB168" s="131"/>
      <c r="EC168" s="131"/>
      <c r="ED168" s="131"/>
      <c r="EE168" s="131"/>
      <c r="EF168" s="131"/>
      <c r="EG168" s="131"/>
      <c r="EH168" s="131"/>
      <c r="EI168" s="131"/>
      <c r="EJ168" s="131"/>
      <c r="EK168" s="131"/>
      <c r="EL168" s="131"/>
      <c r="EM168" s="131"/>
      <c r="EN168" s="131"/>
      <c r="EO168" s="131"/>
      <c r="EP168" s="131"/>
      <c r="EQ168" s="131"/>
      <c r="ER168" s="131"/>
      <c r="ES168" s="131"/>
      <c r="ET168" s="131"/>
      <c r="EU168" s="131"/>
      <c r="EV168" s="131"/>
      <c r="EW168" s="131"/>
      <c r="EX168" s="131"/>
      <c r="EY168" s="131"/>
      <c r="EZ168" s="131"/>
      <c r="FA168" s="131"/>
      <c r="FB168" s="131"/>
      <c r="FC168" s="131"/>
      <c r="FD168" s="131"/>
      <c r="FE168" s="131"/>
      <c r="FF168" s="131"/>
      <c r="FG168" s="131"/>
      <c r="FH168" s="131"/>
      <c r="FI168" s="131"/>
      <c r="FJ168" s="131"/>
      <c r="FK168" s="131"/>
      <c r="FL168" s="131"/>
      <c r="FM168" s="131"/>
      <c r="FN168" s="131"/>
      <c r="FO168" s="131"/>
      <c r="FP168" s="131"/>
      <c r="FQ168" s="131"/>
      <c r="FR168" s="131"/>
      <c r="FS168" s="131"/>
      <c r="FT168" s="131"/>
      <c r="FU168" s="131"/>
      <c r="FV168" s="131"/>
      <c r="FW168" s="131"/>
      <c r="FX168" s="131"/>
      <c r="FY168" s="131"/>
      <c r="FZ168" s="131"/>
      <c r="GA168" s="131"/>
      <c r="GB168" s="131"/>
      <c r="GC168" s="131"/>
      <c r="GD168" s="131"/>
      <c r="GE168" s="131"/>
      <c r="GF168" s="131"/>
      <c r="GG168" s="131"/>
      <c r="GH168" s="131"/>
      <c r="GI168" s="131"/>
      <c r="GJ168" s="131"/>
      <c r="GK168" s="131"/>
      <c r="GL168" s="131"/>
      <c r="GM168" s="131"/>
      <c r="GN168" s="131"/>
      <c r="GO168" s="131"/>
      <c r="GP168" s="131"/>
      <c r="GQ168" s="131"/>
      <c r="GR168" s="131"/>
      <c r="GS168" s="131"/>
      <c r="GT168" s="131"/>
      <c r="GU168" s="131"/>
      <c r="GV168" s="131"/>
      <c r="GW168" s="131"/>
      <c r="GX168" s="131"/>
      <c r="GY168" s="131"/>
      <c r="GZ168" s="131"/>
      <c r="HA168" s="131"/>
      <c r="HB168" s="131"/>
      <c r="HC168" s="131"/>
      <c r="HD168" s="131"/>
      <c r="HE168" s="131"/>
      <c r="HF168" s="131"/>
      <c r="HG168" s="131"/>
      <c r="HH168" s="131"/>
      <c r="HI168" s="131"/>
      <c r="HJ168" s="131"/>
      <c r="HK168" s="131"/>
      <c r="HL168" s="131"/>
      <c r="HM168" s="131"/>
      <c r="HN168" s="131"/>
      <c r="HO168" s="131"/>
      <c r="HP168" s="131"/>
      <c r="HQ168" s="131"/>
      <c r="HR168" s="131"/>
      <c r="HS168" s="131"/>
      <c r="HT168" s="131"/>
      <c r="HU168" s="131"/>
      <c r="HV168" s="131"/>
      <c r="HW168" s="131"/>
      <c r="HX168" s="131"/>
      <c r="HY168" s="131"/>
      <c r="HZ168" s="131"/>
      <c r="IA168" s="131"/>
      <c r="IB168" s="131"/>
      <c r="IC168" s="131"/>
      <c r="ID168" s="131"/>
      <c r="IE168" s="131"/>
      <c r="IF168" s="131"/>
      <c r="IG168" s="131"/>
      <c r="IH168" s="131"/>
      <c r="II168" s="131"/>
      <c r="IJ168" s="131"/>
      <c r="IK168" s="131"/>
      <c r="IL168" s="131"/>
      <c r="IM168" s="131"/>
      <c r="IN168" s="131"/>
      <c r="IO168" s="131"/>
      <c r="IP168" s="131"/>
      <c r="IQ168" s="131"/>
      <c r="IR168" s="131"/>
      <c r="IS168" s="131"/>
      <c r="IT168" s="131"/>
      <c r="IU168" s="131"/>
      <c r="IV168" s="131"/>
      <c r="IW168" s="131"/>
      <c r="IX168" s="131"/>
      <c r="IY168" s="131"/>
      <c r="IZ168" s="131"/>
      <c r="JA168" s="131"/>
      <c r="JB168" s="131"/>
      <c r="JC168" s="131"/>
      <c r="JD168" s="131"/>
      <c r="JE168" s="131"/>
      <c r="JF168" s="131"/>
      <c r="JG168" s="131"/>
      <c r="JH168" s="131"/>
      <c r="JI168" s="131"/>
      <c r="JJ168" s="131"/>
      <c r="JK168" s="131"/>
      <c r="JL168" s="131">
        <v>40</v>
      </c>
      <c r="JM168" s="131"/>
      <c r="JN168" s="131"/>
      <c r="JO168" s="131"/>
      <c r="JP168" s="131"/>
      <c r="JQ168" s="131"/>
      <c r="JR168" s="131"/>
      <c r="JS168" s="131"/>
      <c r="JT168" s="131"/>
      <c r="JU168" s="131"/>
      <c r="JV168" s="131"/>
      <c r="JW168" s="131"/>
      <c r="JX168" s="131"/>
      <c r="JY168" s="131"/>
      <c r="JZ168" s="131"/>
      <c r="KA168" s="131"/>
      <c r="KB168" s="131"/>
      <c r="KC168" s="131"/>
      <c r="KD168" s="131"/>
      <c r="KE168" s="131"/>
      <c r="KF168" s="131"/>
      <c r="KG168" s="131"/>
      <c r="KH168" s="131"/>
      <c r="KI168" s="131"/>
      <c r="KJ168" s="131"/>
      <c r="KK168" s="131"/>
      <c r="KL168" s="131"/>
      <c r="KM168" s="131"/>
      <c r="KN168" s="131"/>
      <c r="KO168" s="131"/>
      <c r="KP168" s="131"/>
      <c r="KQ168" s="131"/>
      <c r="KR168" s="131"/>
      <c r="KS168" s="131"/>
      <c r="KT168" s="131"/>
      <c r="KU168" s="131"/>
      <c r="KV168" s="131"/>
      <c r="KW168" s="131"/>
      <c r="KX168" s="131"/>
      <c r="KY168" s="131"/>
      <c r="KZ168" s="131"/>
      <c r="LA168" s="131"/>
      <c r="LB168" s="131"/>
      <c r="LC168" s="131"/>
      <c r="LD168" s="131"/>
      <c r="LE168" s="131"/>
      <c r="LF168" s="131"/>
      <c r="LG168" s="131"/>
      <c r="LH168" s="131"/>
      <c r="LI168" s="131"/>
      <c r="LJ168" s="131"/>
      <c r="LK168" s="131"/>
      <c r="LL168" s="131"/>
      <c r="LM168" s="131"/>
      <c r="LN168" s="131"/>
      <c r="LO168" s="131"/>
      <c r="LP168" s="131"/>
      <c r="LQ168" s="131"/>
      <c r="LR168" s="131"/>
      <c r="LS168" s="131"/>
      <c r="LT168" s="131"/>
      <c r="LU168" s="131"/>
      <c r="LV168" s="131"/>
      <c r="LW168" s="131"/>
      <c r="LX168" s="131"/>
      <c r="LY168" s="131"/>
      <c r="LZ168" s="131"/>
      <c r="MA168" s="131"/>
      <c r="MB168" s="131"/>
      <c r="MC168" s="131"/>
      <c r="MD168" s="131"/>
      <c r="ME168" s="131"/>
      <c r="MF168" s="131"/>
      <c r="MG168" s="131"/>
      <c r="MH168" s="131"/>
      <c r="MI168" s="131"/>
      <c r="MJ168" s="131"/>
      <c r="MK168" s="131"/>
      <c r="ML168" s="131"/>
      <c r="MM168" s="131"/>
      <c r="MN168" s="131"/>
      <c r="MO168" s="131"/>
      <c r="MP168" s="131"/>
      <c r="MQ168" s="131"/>
      <c r="MR168" s="131"/>
      <c r="MS168" s="131"/>
      <c r="MT168" s="131"/>
      <c r="MU168" s="131"/>
      <c r="MV168" s="131"/>
      <c r="MW168" s="131"/>
      <c r="MX168" s="131"/>
      <c r="MY168" s="131"/>
      <c r="MZ168" s="131"/>
      <c r="NA168" s="131"/>
      <c r="NB168" s="131"/>
      <c r="NC168" s="131"/>
      <c r="ND168" s="131"/>
      <c r="NE168" s="131"/>
      <c r="NF168" s="131"/>
      <c r="NG168" s="131"/>
      <c r="NH168" s="131"/>
      <c r="NI168" s="131"/>
      <c r="NJ168" s="131"/>
      <c r="NK168" s="131"/>
      <c r="NL168" s="131"/>
      <c r="NM168" s="131"/>
      <c r="NN168" s="131"/>
      <c r="NO168" s="131"/>
      <c r="NP168" s="131"/>
      <c r="NQ168" s="131"/>
      <c r="NR168" s="131"/>
      <c r="NS168" s="131"/>
      <c r="NT168" s="131"/>
      <c r="NU168" s="131"/>
      <c r="NV168" s="131"/>
      <c r="NW168" s="24">
        <f t="shared" si="17"/>
        <v>40</v>
      </c>
      <c r="NX168" s="56" t="s">
        <v>36</v>
      </c>
      <c r="NY168" s="127">
        <v>1933.44</v>
      </c>
      <c r="NZ168" s="78">
        <f t="shared" si="18"/>
        <v>0</v>
      </c>
      <c r="OA168" s="78">
        <v>1233.5999999999999</v>
      </c>
      <c r="OB168" s="127">
        <f t="shared" si="19"/>
        <v>1933.44</v>
      </c>
      <c r="OC168" s="153"/>
      <c r="OD168" s="108">
        <f t="shared" si="15"/>
        <v>1.5673151750972765</v>
      </c>
      <c r="OE168" s="160"/>
    </row>
    <row r="169" spans="1:395" s="5" customFormat="1" ht="12.75" customHeight="1" x14ac:dyDescent="0.25">
      <c r="A169" s="62">
        <v>44587</v>
      </c>
      <c r="B169" s="116" t="s">
        <v>57</v>
      </c>
      <c r="C169" s="129"/>
      <c r="D169" s="129"/>
      <c r="E169" s="130"/>
      <c r="F169" s="130"/>
      <c r="G169" s="130"/>
      <c r="H169" s="130"/>
      <c r="I169" s="130"/>
      <c r="J169" s="130"/>
      <c r="K169" s="130"/>
      <c r="L169" s="130"/>
      <c r="M169" s="131"/>
      <c r="N169" s="131"/>
      <c r="O169" s="131"/>
      <c r="P169" s="131"/>
      <c r="Q169" s="131"/>
      <c r="R169" s="131"/>
      <c r="S169" s="131"/>
      <c r="T169" s="131"/>
      <c r="U169" s="131"/>
      <c r="V169" s="131"/>
      <c r="W169" s="131"/>
      <c r="X169" s="131"/>
      <c r="Y169" s="131"/>
      <c r="Z169" s="131"/>
      <c r="AA169" s="131"/>
      <c r="AB169" s="131"/>
      <c r="AC169" s="131"/>
      <c r="AD169" s="131"/>
      <c r="AE169" s="131"/>
      <c r="AF169" s="131"/>
      <c r="AG169" s="131"/>
      <c r="AH169" s="131"/>
      <c r="AI169" s="131"/>
      <c r="AJ169" s="131"/>
      <c r="AK169" s="131"/>
      <c r="AL169" s="131"/>
      <c r="AM169" s="131"/>
      <c r="AN169" s="131"/>
      <c r="AO169" s="131"/>
      <c r="AP169" s="131"/>
      <c r="AQ169" s="131"/>
      <c r="AR169" s="131"/>
      <c r="AS169" s="131"/>
      <c r="AT169" s="131"/>
      <c r="AU169" s="131"/>
      <c r="AV169" s="131"/>
      <c r="AW169" s="131"/>
      <c r="AX169" s="131"/>
      <c r="AY169" s="131"/>
      <c r="AZ169" s="131"/>
      <c r="BA169" s="131"/>
      <c r="BB169" s="131"/>
      <c r="BC169" s="131"/>
      <c r="BD169" s="131"/>
      <c r="BE169" s="131"/>
      <c r="BF169" s="131"/>
      <c r="BG169" s="131"/>
      <c r="BH169" s="131"/>
      <c r="BI169" s="131"/>
      <c r="BJ169" s="131"/>
      <c r="BK169" s="131"/>
      <c r="BL169" s="131"/>
      <c r="BM169" s="131"/>
      <c r="BN169" s="131"/>
      <c r="BO169" s="131"/>
      <c r="BP169" s="131"/>
      <c r="BQ169" s="131"/>
      <c r="BR169" s="131"/>
      <c r="BS169" s="131"/>
      <c r="BT169" s="131">
        <v>1.6</v>
      </c>
      <c r="BU169" s="131"/>
      <c r="BV169" s="131"/>
      <c r="BW169" s="131"/>
      <c r="BX169" s="131"/>
      <c r="BY169" s="131"/>
      <c r="BZ169" s="131"/>
      <c r="CA169" s="131"/>
      <c r="CB169" s="131"/>
      <c r="CC169" s="131"/>
      <c r="CD169" s="131"/>
      <c r="CE169" s="131"/>
      <c r="CF169" s="131"/>
      <c r="CG169" s="131">
        <v>2</v>
      </c>
      <c r="CH169" s="131"/>
      <c r="CI169" s="131"/>
      <c r="CJ169" s="131"/>
      <c r="CK169" s="131"/>
      <c r="CL169" s="131"/>
      <c r="CM169" s="131"/>
      <c r="CN169" s="131"/>
      <c r="CO169" s="131"/>
      <c r="CP169" s="131"/>
      <c r="CQ169" s="131"/>
      <c r="CR169" s="131"/>
      <c r="CS169" s="131"/>
      <c r="CT169" s="131"/>
      <c r="CU169" s="131"/>
      <c r="CV169" s="131"/>
      <c r="CW169" s="131"/>
      <c r="CX169" s="131"/>
      <c r="CY169" s="131"/>
      <c r="CZ169" s="131"/>
      <c r="DA169" s="131"/>
      <c r="DB169" s="131"/>
      <c r="DC169" s="131"/>
      <c r="DD169" s="131"/>
      <c r="DE169" s="131"/>
      <c r="DF169" s="131"/>
      <c r="DG169" s="131"/>
      <c r="DH169" s="131"/>
      <c r="DI169" s="131"/>
      <c r="DJ169" s="131"/>
      <c r="DK169" s="131"/>
      <c r="DL169" s="131"/>
      <c r="DM169" s="131"/>
      <c r="DN169" s="131"/>
      <c r="DO169" s="131"/>
      <c r="DP169" s="131"/>
      <c r="DQ169" s="131"/>
      <c r="DR169" s="131"/>
      <c r="DS169" s="131"/>
      <c r="DT169" s="131"/>
      <c r="DU169" s="131"/>
      <c r="DV169" s="131"/>
      <c r="DW169" s="131"/>
      <c r="DX169" s="131"/>
      <c r="DY169" s="131"/>
      <c r="DZ169" s="131"/>
      <c r="EA169" s="131"/>
      <c r="EB169" s="131"/>
      <c r="EC169" s="131"/>
      <c r="ED169" s="131"/>
      <c r="EE169" s="131"/>
      <c r="EF169" s="131"/>
      <c r="EG169" s="131"/>
      <c r="EH169" s="131"/>
      <c r="EI169" s="131"/>
      <c r="EJ169" s="131"/>
      <c r="EK169" s="131"/>
      <c r="EL169" s="131"/>
      <c r="EM169" s="131"/>
      <c r="EN169" s="131"/>
      <c r="EO169" s="131"/>
      <c r="EP169" s="131"/>
      <c r="EQ169" s="131"/>
      <c r="ER169" s="131"/>
      <c r="ES169" s="131"/>
      <c r="ET169" s="131"/>
      <c r="EU169" s="131"/>
      <c r="EV169" s="131"/>
      <c r="EW169" s="131"/>
      <c r="EX169" s="131"/>
      <c r="EY169" s="131"/>
      <c r="EZ169" s="131"/>
      <c r="FA169" s="131"/>
      <c r="FB169" s="131"/>
      <c r="FC169" s="131"/>
      <c r="FD169" s="131"/>
      <c r="FE169" s="131"/>
      <c r="FF169" s="131"/>
      <c r="FG169" s="131"/>
      <c r="FH169" s="131"/>
      <c r="FI169" s="131"/>
      <c r="FJ169" s="131"/>
      <c r="FK169" s="131"/>
      <c r="FL169" s="131"/>
      <c r="FM169" s="131"/>
      <c r="FN169" s="131"/>
      <c r="FO169" s="131"/>
      <c r="FP169" s="131"/>
      <c r="FQ169" s="131"/>
      <c r="FR169" s="131"/>
      <c r="FS169" s="131"/>
      <c r="FT169" s="131"/>
      <c r="FU169" s="131"/>
      <c r="FV169" s="131"/>
      <c r="FW169" s="131"/>
      <c r="FX169" s="131"/>
      <c r="FY169" s="131"/>
      <c r="FZ169" s="131"/>
      <c r="GA169" s="131"/>
      <c r="GB169" s="131"/>
      <c r="GC169" s="131"/>
      <c r="GD169" s="131"/>
      <c r="GE169" s="131"/>
      <c r="GF169" s="131"/>
      <c r="GG169" s="131"/>
      <c r="GH169" s="131"/>
      <c r="GI169" s="131"/>
      <c r="GJ169" s="131"/>
      <c r="GK169" s="131"/>
      <c r="GL169" s="131"/>
      <c r="GM169" s="131"/>
      <c r="GN169" s="131"/>
      <c r="GO169" s="131"/>
      <c r="GP169" s="131"/>
      <c r="GQ169" s="131"/>
      <c r="GR169" s="131"/>
      <c r="GS169" s="131"/>
      <c r="GT169" s="131"/>
      <c r="GU169" s="131"/>
      <c r="GV169" s="131"/>
      <c r="GW169" s="131"/>
      <c r="GX169" s="131"/>
      <c r="GY169" s="131"/>
      <c r="GZ169" s="131"/>
      <c r="HA169" s="131"/>
      <c r="HB169" s="131"/>
      <c r="HC169" s="131"/>
      <c r="HD169" s="131"/>
      <c r="HE169" s="131"/>
      <c r="HF169" s="131"/>
      <c r="HG169" s="131"/>
      <c r="HH169" s="131"/>
      <c r="HI169" s="131"/>
      <c r="HJ169" s="131"/>
      <c r="HK169" s="131"/>
      <c r="HL169" s="131"/>
      <c r="HM169" s="131"/>
      <c r="HN169" s="131"/>
      <c r="HO169" s="131"/>
      <c r="HP169" s="131"/>
      <c r="HQ169" s="131"/>
      <c r="HR169" s="131"/>
      <c r="HS169" s="131"/>
      <c r="HT169" s="131"/>
      <c r="HU169" s="131"/>
      <c r="HV169" s="131"/>
      <c r="HW169" s="131"/>
      <c r="HX169" s="131"/>
      <c r="HY169" s="131"/>
      <c r="HZ169" s="131"/>
      <c r="IA169" s="131"/>
      <c r="IB169" s="131"/>
      <c r="IC169" s="131"/>
      <c r="ID169" s="131"/>
      <c r="IE169" s="131"/>
      <c r="IF169" s="131"/>
      <c r="IG169" s="131"/>
      <c r="IH169" s="131"/>
      <c r="II169" s="131"/>
      <c r="IJ169" s="131"/>
      <c r="IK169" s="131"/>
      <c r="IL169" s="131"/>
      <c r="IM169" s="131"/>
      <c r="IN169" s="131"/>
      <c r="IO169" s="131"/>
      <c r="IP169" s="131"/>
      <c r="IQ169" s="131"/>
      <c r="IR169" s="131"/>
      <c r="IS169" s="131"/>
      <c r="IT169" s="131"/>
      <c r="IU169" s="131"/>
      <c r="IV169" s="131"/>
      <c r="IW169" s="131"/>
      <c r="IX169" s="131"/>
      <c r="IY169" s="131"/>
      <c r="IZ169" s="131"/>
      <c r="JA169" s="131"/>
      <c r="JB169" s="131"/>
      <c r="JC169" s="131"/>
      <c r="JD169" s="131"/>
      <c r="JE169" s="131"/>
      <c r="JF169" s="131"/>
      <c r="JG169" s="131"/>
      <c r="JH169" s="131"/>
      <c r="JI169" s="131"/>
      <c r="JJ169" s="131"/>
      <c r="JK169" s="131"/>
      <c r="JL169" s="131"/>
      <c r="JM169" s="131"/>
      <c r="JN169" s="131"/>
      <c r="JO169" s="131"/>
      <c r="JP169" s="131"/>
      <c r="JQ169" s="131"/>
      <c r="JR169" s="131"/>
      <c r="JS169" s="131"/>
      <c r="JT169" s="131"/>
      <c r="JU169" s="131"/>
      <c r="JV169" s="131"/>
      <c r="JW169" s="131"/>
      <c r="JX169" s="131"/>
      <c r="JY169" s="131"/>
      <c r="JZ169" s="131"/>
      <c r="KA169" s="131"/>
      <c r="KB169" s="131"/>
      <c r="KC169" s="131"/>
      <c r="KD169" s="131"/>
      <c r="KE169" s="131"/>
      <c r="KF169" s="131"/>
      <c r="KG169" s="131"/>
      <c r="KH169" s="131"/>
      <c r="KI169" s="131"/>
      <c r="KJ169" s="131"/>
      <c r="KK169" s="131"/>
      <c r="KL169" s="131"/>
      <c r="KM169" s="131"/>
      <c r="KN169" s="131"/>
      <c r="KO169" s="131"/>
      <c r="KP169" s="131"/>
      <c r="KQ169" s="131"/>
      <c r="KR169" s="131"/>
      <c r="KS169" s="131"/>
      <c r="KT169" s="131"/>
      <c r="KU169" s="131"/>
      <c r="KV169" s="131"/>
      <c r="KW169" s="131"/>
      <c r="KX169" s="131"/>
      <c r="KY169" s="131"/>
      <c r="KZ169" s="131"/>
      <c r="LA169" s="131"/>
      <c r="LB169" s="131"/>
      <c r="LC169" s="131"/>
      <c r="LD169" s="131"/>
      <c r="LE169" s="131"/>
      <c r="LF169" s="131"/>
      <c r="LG169" s="131"/>
      <c r="LH169" s="131"/>
      <c r="LI169" s="131"/>
      <c r="LJ169" s="131"/>
      <c r="LK169" s="131"/>
      <c r="LL169" s="131"/>
      <c r="LM169" s="131"/>
      <c r="LN169" s="131"/>
      <c r="LO169" s="131"/>
      <c r="LP169" s="131"/>
      <c r="LQ169" s="131"/>
      <c r="LR169" s="131"/>
      <c r="LS169" s="131"/>
      <c r="LT169" s="131"/>
      <c r="LU169" s="131"/>
      <c r="LV169" s="131"/>
      <c r="LW169" s="131"/>
      <c r="LX169" s="131"/>
      <c r="LY169" s="131"/>
      <c r="LZ169" s="131"/>
      <c r="MA169" s="131"/>
      <c r="MB169" s="131"/>
      <c r="MC169" s="131"/>
      <c r="MD169" s="131"/>
      <c r="ME169" s="131"/>
      <c r="MF169" s="131"/>
      <c r="MG169" s="131"/>
      <c r="MH169" s="131"/>
      <c r="MI169" s="131"/>
      <c r="MJ169" s="131"/>
      <c r="MK169" s="131"/>
      <c r="ML169" s="131"/>
      <c r="MM169" s="131"/>
      <c r="MN169" s="131"/>
      <c r="MO169" s="131"/>
      <c r="MP169" s="131"/>
      <c r="MQ169" s="131"/>
      <c r="MR169" s="131"/>
      <c r="MS169" s="131"/>
      <c r="MT169" s="131"/>
      <c r="MU169" s="131"/>
      <c r="MV169" s="131"/>
      <c r="MW169" s="131"/>
      <c r="MX169" s="131"/>
      <c r="MY169" s="131"/>
      <c r="MZ169" s="131"/>
      <c r="NA169" s="131"/>
      <c r="NB169" s="131"/>
      <c r="NC169" s="131"/>
      <c r="ND169" s="131"/>
      <c r="NE169" s="131"/>
      <c r="NF169" s="131"/>
      <c r="NG169" s="131"/>
      <c r="NH169" s="131"/>
      <c r="NI169" s="131"/>
      <c r="NJ169" s="131"/>
      <c r="NK169" s="131"/>
      <c r="NL169" s="131"/>
      <c r="NM169" s="131"/>
      <c r="NN169" s="131"/>
      <c r="NO169" s="131"/>
      <c r="NP169" s="131"/>
      <c r="NQ169" s="131"/>
      <c r="NR169" s="131"/>
      <c r="NS169" s="131"/>
      <c r="NT169" s="131"/>
      <c r="NU169" s="131"/>
      <c r="NV169" s="131"/>
      <c r="NW169" s="24">
        <f t="shared" si="17"/>
        <v>3.6</v>
      </c>
      <c r="NX169" s="56" t="s">
        <v>36</v>
      </c>
      <c r="NY169" s="127">
        <v>203.86</v>
      </c>
      <c r="NZ169" s="78">
        <f t="shared" si="18"/>
        <v>0</v>
      </c>
      <c r="OA169" s="78">
        <v>113.72</v>
      </c>
      <c r="OB169" s="127">
        <f t="shared" si="19"/>
        <v>203.86</v>
      </c>
      <c r="OC169" s="153"/>
      <c r="OD169" s="108">
        <f t="shared" si="15"/>
        <v>1.7926486106225819</v>
      </c>
      <c r="OE169" s="160"/>
    </row>
    <row r="170" spans="1:395" s="5" customFormat="1" ht="12.75" customHeight="1" x14ac:dyDescent="0.25">
      <c r="A170" s="62">
        <v>44587</v>
      </c>
      <c r="B170" s="106" t="s">
        <v>202</v>
      </c>
      <c r="C170" s="129"/>
      <c r="D170" s="129"/>
      <c r="E170" s="130"/>
      <c r="F170" s="130"/>
      <c r="G170" s="130"/>
      <c r="H170" s="130"/>
      <c r="I170" s="130"/>
      <c r="J170" s="130"/>
      <c r="K170" s="130"/>
      <c r="L170" s="130"/>
      <c r="M170" s="131"/>
      <c r="N170" s="131"/>
      <c r="O170" s="131"/>
      <c r="P170" s="131"/>
      <c r="Q170" s="131"/>
      <c r="R170" s="131"/>
      <c r="S170" s="131"/>
      <c r="T170" s="131"/>
      <c r="U170" s="131"/>
      <c r="V170" s="131"/>
      <c r="W170" s="131"/>
      <c r="X170" s="131"/>
      <c r="Y170" s="131"/>
      <c r="Z170" s="131"/>
      <c r="AA170" s="131"/>
      <c r="AB170" s="131"/>
      <c r="AC170" s="131"/>
      <c r="AD170" s="131"/>
      <c r="AE170" s="131"/>
      <c r="AF170" s="131"/>
      <c r="AG170" s="131"/>
      <c r="AH170" s="131"/>
      <c r="AI170" s="131"/>
      <c r="AJ170" s="131"/>
      <c r="AK170" s="131"/>
      <c r="AL170" s="131"/>
      <c r="AM170" s="131"/>
      <c r="AN170" s="131"/>
      <c r="AO170" s="131"/>
      <c r="AP170" s="131"/>
      <c r="AQ170" s="131"/>
      <c r="AR170" s="131"/>
      <c r="AS170" s="131"/>
      <c r="AT170" s="131"/>
      <c r="AU170" s="131"/>
      <c r="AV170" s="131"/>
      <c r="AW170" s="131"/>
      <c r="AX170" s="131"/>
      <c r="AY170" s="131"/>
      <c r="AZ170" s="131"/>
      <c r="BA170" s="131"/>
      <c r="BB170" s="131"/>
      <c r="BC170" s="131"/>
      <c r="BD170" s="131"/>
      <c r="BE170" s="131"/>
      <c r="BF170" s="131"/>
      <c r="BG170" s="131"/>
      <c r="BH170" s="131"/>
      <c r="BI170" s="131"/>
      <c r="BJ170" s="131"/>
      <c r="BK170" s="131"/>
      <c r="BL170" s="131"/>
      <c r="BM170" s="131"/>
      <c r="BN170" s="131"/>
      <c r="BO170" s="131"/>
      <c r="BP170" s="131"/>
      <c r="BQ170" s="131"/>
      <c r="BR170" s="131">
        <v>40</v>
      </c>
      <c r="BS170" s="131"/>
      <c r="BT170" s="131"/>
      <c r="BU170" s="131"/>
      <c r="BV170" s="131"/>
      <c r="BW170" s="131"/>
      <c r="BX170" s="131"/>
      <c r="BY170" s="131"/>
      <c r="BZ170" s="131"/>
      <c r="CA170" s="131"/>
      <c r="CB170" s="131"/>
      <c r="CC170" s="131"/>
      <c r="CD170" s="131"/>
      <c r="CE170" s="131"/>
      <c r="CF170" s="131"/>
      <c r="CG170" s="131"/>
      <c r="CH170" s="131"/>
      <c r="CI170" s="131"/>
      <c r="CJ170" s="131"/>
      <c r="CK170" s="131"/>
      <c r="CL170" s="131"/>
      <c r="CM170" s="131"/>
      <c r="CN170" s="131"/>
      <c r="CO170" s="131"/>
      <c r="CP170" s="131"/>
      <c r="CQ170" s="131"/>
      <c r="CR170" s="131"/>
      <c r="CS170" s="131"/>
      <c r="CT170" s="131"/>
      <c r="CU170" s="131"/>
      <c r="CV170" s="131"/>
      <c r="CW170" s="131"/>
      <c r="CX170" s="131"/>
      <c r="CY170" s="131"/>
      <c r="CZ170" s="131"/>
      <c r="DA170" s="131"/>
      <c r="DB170" s="131"/>
      <c r="DC170" s="131"/>
      <c r="DD170" s="131"/>
      <c r="DE170" s="131"/>
      <c r="DF170" s="131"/>
      <c r="DG170" s="131"/>
      <c r="DH170" s="131"/>
      <c r="DI170" s="131"/>
      <c r="DJ170" s="131"/>
      <c r="DK170" s="131"/>
      <c r="DL170" s="131"/>
      <c r="DM170" s="131"/>
      <c r="DN170" s="131"/>
      <c r="DO170" s="131"/>
      <c r="DP170" s="131"/>
      <c r="DQ170" s="131"/>
      <c r="DR170" s="131"/>
      <c r="DS170" s="131"/>
      <c r="DT170" s="131"/>
      <c r="DU170" s="131"/>
      <c r="DV170" s="131"/>
      <c r="DW170" s="131"/>
      <c r="DX170" s="131"/>
      <c r="DY170" s="131"/>
      <c r="DZ170" s="131"/>
      <c r="EA170" s="131"/>
      <c r="EB170" s="131"/>
      <c r="EC170" s="131"/>
      <c r="ED170" s="131"/>
      <c r="EE170" s="131"/>
      <c r="EF170" s="131"/>
      <c r="EG170" s="131"/>
      <c r="EH170" s="131"/>
      <c r="EI170" s="131"/>
      <c r="EJ170" s="131"/>
      <c r="EK170" s="131"/>
      <c r="EL170" s="131"/>
      <c r="EM170" s="131"/>
      <c r="EN170" s="131"/>
      <c r="EO170" s="131"/>
      <c r="EP170" s="131"/>
      <c r="EQ170" s="131"/>
      <c r="ER170" s="131"/>
      <c r="ES170" s="131"/>
      <c r="ET170" s="131"/>
      <c r="EU170" s="131"/>
      <c r="EV170" s="131"/>
      <c r="EW170" s="131"/>
      <c r="EX170" s="131"/>
      <c r="EY170" s="131"/>
      <c r="EZ170" s="131"/>
      <c r="FA170" s="131"/>
      <c r="FB170" s="131"/>
      <c r="FC170" s="131"/>
      <c r="FD170" s="131"/>
      <c r="FE170" s="131"/>
      <c r="FF170" s="131"/>
      <c r="FG170" s="131"/>
      <c r="FH170" s="131"/>
      <c r="FI170" s="131"/>
      <c r="FJ170" s="131"/>
      <c r="FK170" s="131"/>
      <c r="FL170" s="131"/>
      <c r="FM170" s="131"/>
      <c r="FN170" s="131"/>
      <c r="FO170" s="131"/>
      <c r="FP170" s="131"/>
      <c r="FQ170" s="131"/>
      <c r="FR170" s="131"/>
      <c r="FS170" s="131"/>
      <c r="FT170" s="131"/>
      <c r="FU170" s="131"/>
      <c r="FV170" s="131"/>
      <c r="FW170" s="131"/>
      <c r="FX170" s="131"/>
      <c r="FY170" s="131"/>
      <c r="FZ170" s="131"/>
      <c r="GA170" s="131"/>
      <c r="GB170" s="131"/>
      <c r="GC170" s="131"/>
      <c r="GD170" s="131"/>
      <c r="GE170" s="131"/>
      <c r="GF170" s="131"/>
      <c r="GG170" s="131"/>
      <c r="GH170" s="131"/>
      <c r="GI170" s="131"/>
      <c r="GJ170" s="131"/>
      <c r="GK170" s="131"/>
      <c r="GL170" s="131"/>
      <c r="GM170" s="131"/>
      <c r="GN170" s="131"/>
      <c r="GO170" s="131"/>
      <c r="GP170" s="131"/>
      <c r="GQ170" s="131"/>
      <c r="GR170" s="131"/>
      <c r="GS170" s="131"/>
      <c r="GT170" s="131"/>
      <c r="GU170" s="131"/>
      <c r="GV170" s="131"/>
      <c r="GW170" s="131"/>
      <c r="GX170" s="131"/>
      <c r="GY170" s="131"/>
      <c r="GZ170" s="131"/>
      <c r="HA170" s="131"/>
      <c r="HB170" s="131"/>
      <c r="HC170" s="131"/>
      <c r="HD170" s="131"/>
      <c r="HE170" s="131"/>
      <c r="HF170" s="131"/>
      <c r="HG170" s="131"/>
      <c r="HH170" s="131"/>
      <c r="HI170" s="131"/>
      <c r="HJ170" s="131"/>
      <c r="HK170" s="131"/>
      <c r="HL170" s="131"/>
      <c r="HM170" s="131"/>
      <c r="HN170" s="131"/>
      <c r="HO170" s="131"/>
      <c r="HP170" s="131"/>
      <c r="HQ170" s="131"/>
      <c r="HR170" s="131"/>
      <c r="HS170" s="131"/>
      <c r="HT170" s="131"/>
      <c r="HU170" s="131"/>
      <c r="HV170" s="131"/>
      <c r="HW170" s="131"/>
      <c r="HX170" s="131"/>
      <c r="HY170" s="131"/>
      <c r="HZ170" s="131"/>
      <c r="IA170" s="131"/>
      <c r="IB170" s="131"/>
      <c r="IC170" s="131"/>
      <c r="ID170" s="131"/>
      <c r="IE170" s="131"/>
      <c r="IF170" s="131"/>
      <c r="IG170" s="131"/>
      <c r="IH170" s="131"/>
      <c r="II170" s="131"/>
      <c r="IJ170" s="131"/>
      <c r="IK170" s="131"/>
      <c r="IL170" s="131"/>
      <c r="IM170" s="131"/>
      <c r="IN170" s="131"/>
      <c r="IO170" s="131"/>
      <c r="IP170" s="131"/>
      <c r="IQ170" s="131"/>
      <c r="IR170" s="131"/>
      <c r="IS170" s="131"/>
      <c r="IT170" s="131"/>
      <c r="IU170" s="131"/>
      <c r="IV170" s="131"/>
      <c r="IW170" s="131"/>
      <c r="IX170" s="131"/>
      <c r="IY170" s="131"/>
      <c r="IZ170" s="131"/>
      <c r="JA170" s="131"/>
      <c r="JB170" s="131"/>
      <c r="JC170" s="131"/>
      <c r="JD170" s="131"/>
      <c r="JE170" s="131"/>
      <c r="JF170" s="131"/>
      <c r="JG170" s="131"/>
      <c r="JH170" s="131"/>
      <c r="JI170" s="131"/>
      <c r="JJ170" s="131"/>
      <c r="JK170" s="131"/>
      <c r="JL170" s="131"/>
      <c r="JM170" s="131"/>
      <c r="JN170" s="131"/>
      <c r="JO170" s="131"/>
      <c r="JP170" s="131"/>
      <c r="JQ170" s="131"/>
      <c r="JR170" s="131"/>
      <c r="JS170" s="131"/>
      <c r="JT170" s="131"/>
      <c r="JU170" s="131"/>
      <c r="JV170" s="131"/>
      <c r="JW170" s="131"/>
      <c r="JX170" s="131"/>
      <c r="JY170" s="131"/>
      <c r="JZ170" s="131"/>
      <c r="KA170" s="131"/>
      <c r="KB170" s="131"/>
      <c r="KC170" s="131"/>
      <c r="KD170" s="131"/>
      <c r="KE170" s="131"/>
      <c r="KF170" s="131"/>
      <c r="KG170" s="131"/>
      <c r="KH170" s="131"/>
      <c r="KI170" s="131"/>
      <c r="KJ170" s="131"/>
      <c r="KK170" s="131"/>
      <c r="KL170" s="131"/>
      <c r="KM170" s="131"/>
      <c r="KN170" s="131"/>
      <c r="KO170" s="131"/>
      <c r="KP170" s="131"/>
      <c r="KQ170" s="131"/>
      <c r="KR170" s="131"/>
      <c r="KS170" s="131"/>
      <c r="KT170" s="131"/>
      <c r="KU170" s="131"/>
      <c r="KV170" s="131"/>
      <c r="KW170" s="131"/>
      <c r="KX170" s="131"/>
      <c r="KY170" s="131"/>
      <c r="KZ170" s="131"/>
      <c r="LA170" s="131"/>
      <c r="LB170" s="131"/>
      <c r="LC170" s="131"/>
      <c r="LD170" s="131"/>
      <c r="LE170" s="131"/>
      <c r="LF170" s="131"/>
      <c r="LG170" s="131"/>
      <c r="LH170" s="131"/>
      <c r="LI170" s="131"/>
      <c r="LJ170" s="131"/>
      <c r="LK170" s="131"/>
      <c r="LL170" s="131"/>
      <c r="LM170" s="131"/>
      <c r="LN170" s="131"/>
      <c r="LO170" s="131"/>
      <c r="LP170" s="131"/>
      <c r="LQ170" s="131"/>
      <c r="LR170" s="131"/>
      <c r="LS170" s="131"/>
      <c r="LT170" s="131"/>
      <c r="LU170" s="131"/>
      <c r="LV170" s="131"/>
      <c r="LW170" s="131"/>
      <c r="LX170" s="131"/>
      <c r="LY170" s="131"/>
      <c r="LZ170" s="131"/>
      <c r="MA170" s="131"/>
      <c r="MB170" s="131"/>
      <c r="MC170" s="131"/>
      <c r="MD170" s="131"/>
      <c r="ME170" s="131"/>
      <c r="MF170" s="131"/>
      <c r="MG170" s="131"/>
      <c r="MH170" s="131"/>
      <c r="MI170" s="131"/>
      <c r="MJ170" s="131"/>
      <c r="MK170" s="131"/>
      <c r="ML170" s="131"/>
      <c r="MM170" s="131"/>
      <c r="MN170" s="131"/>
      <c r="MO170" s="131"/>
      <c r="MP170" s="131"/>
      <c r="MQ170" s="131"/>
      <c r="MR170" s="131"/>
      <c r="MS170" s="131"/>
      <c r="MT170" s="131"/>
      <c r="MU170" s="131"/>
      <c r="MV170" s="131"/>
      <c r="MW170" s="131"/>
      <c r="MX170" s="131"/>
      <c r="MY170" s="131"/>
      <c r="MZ170" s="131"/>
      <c r="NA170" s="131"/>
      <c r="NB170" s="131"/>
      <c r="NC170" s="131"/>
      <c r="ND170" s="131"/>
      <c r="NE170" s="131"/>
      <c r="NF170" s="131"/>
      <c r="NG170" s="131"/>
      <c r="NH170" s="131"/>
      <c r="NI170" s="131"/>
      <c r="NJ170" s="131"/>
      <c r="NK170" s="131"/>
      <c r="NL170" s="131"/>
      <c r="NM170" s="131"/>
      <c r="NN170" s="131"/>
      <c r="NO170" s="131"/>
      <c r="NP170" s="131"/>
      <c r="NQ170" s="131"/>
      <c r="NR170" s="131"/>
      <c r="NS170" s="131"/>
      <c r="NT170" s="131"/>
      <c r="NU170" s="131"/>
      <c r="NV170" s="131"/>
      <c r="NW170" s="24">
        <f t="shared" si="17"/>
        <v>40</v>
      </c>
      <c r="NX170" s="56" t="s">
        <v>36</v>
      </c>
      <c r="NY170" s="127">
        <v>1143.8499999999999</v>
      </c>
      <c r="NZ170" s="78">
        <f t="shared" si="18"/>
        <v>0</v>
      </c>
      <c r="OA170" s="78">
        <v>681.59999999999991</v>
      </c>
      <c r="OB170" s="127">
        <f t="shared" si="19"/>
        <v>1143.8499999999999</v>
      </c>
      <c r="OC170" s="153"/>
      <c r="OD170" s="108">
        <f t="shared" si="15"/>
        <v>1.6781836854460095</v>
      </c>
      <c r="OE170" s="160" t="s">
        <v>586</v>
      </c>
    </row>
    <row r="171" spans="1:395" s="5" customFormat="1" ht="12.75" customHeight="1" x14ac:dyDescent="0.25">
      <c r="A171" s="62">
        <v>44587</v>
      </c>
      <c r="B171" s="106" t="s">
        <v>470</v>
      </c>
      <c r="C171" s="129"/>
      <c r="D171" s="129"/>
      <c r="E171" s="130"/>
      <c r="F171" s="130"/>
      <c r="G171" s="130"/>
      <c r="H171" s="130"/>
      <c r="I171" s="130"/>
      <c r="J171" s="130"/>
      <c r="K171" s="130"/>
      <c r="L171" s="130"/>
      <c r="M171" s="131"/>
      <c r="N171" s="131"/>
      <c r="O171" s="131"/>
      <c r="P171" s="131"/>
      <c r="Q171" s="131"/>
      <c r="R171" s="131"/>
      <c r="S171" s="131"/>
      <c r="T171" s="131"/>
      <c r="U171" s="131"/>
      <c r="V171" s="131"/>
      <c r="W171" s="131"/>
      <c r="X171" s="131"/>
      <c r="Y171" s="131"/>
      <c r="Z171" s="131"/>
      <c r="AA171" s="131"/>
      <c r="AB171" s="131"/>
      <c r="AC171" s="131"/>
      <c r="AD171" s="131"/>
      <c r="AE171" s="131"/>
      <c r="AF171" s="131"/>
      <c r="AG171" s="131"/>
      <c r="AH171" s="131"/>
      <c r="AI171" s="131">
        <v>10</v>
      </c>
      <c r="AJ171" s="131"/>
      <c r="AK171" s="131"/>
      <c r="AL171" s="131"/>
      <c r="AM171" s="131"/>
      <c r="AN171" s="131"/>
      <c r="AO171" s="131"/>
      <c r="AP171" s="131"/>
      <c r="AQ171" s="131"/>
      <c r="AR171" s="131"/>
      <c r="AS171" s="131"/>
      <c r="AT171" s="131"/>
      <c r="AU171" s="131"/>
      <c r="AV171" s="131"/>
      <c r="AW171" s="131"/>
      <c r="AX171" s="131"/>
      <c r="AY171" s="131"/>
      <c r="AZ171" s="131"/>
      <c r="BA171" s="131"/>
      <c r="BB171" s="131"/>
      <c r="BC171" s="131"/>
      <c r="BD171" s="131"/>
      <c r="BE171" s="131"/>
      <c r="BF171" s="131"/>
      <c r="BG171" s="131"/>
      <c r="BH171" s="131"/>
      <c r="BI171" s="131"/>
      <c r="BJ171" s="131"/>
      <c r="BK171" s="131"/>
      <c r="BL171" s="131"/>
      <c r="BM171" s="131"/>
      <c r="BN171" s="131"/>
      <c r="BO171" s="131"/>
      <c r="BP171" s="131"/>
      <c r="BQ171" s="131"/>
      <c r="BR171" s="131"/>
      <c r="BS171" s="131"/>
      <c r="BT171" s="131"/>
      <c r="BU171" s="131"/>
      <c r="BV171" s="131"/>
      <c r="BW171" s="131"/>
      <c r="BX171" s="131"/>
      <c r="BY171" s="131"/>
      <c r="BZ171" s="131"/>
      <c r="CA171" s="131"/>
      <c r="CB171" s="131"/>
      <c r="CC171" s="131"/>
      <c r="CD171" s="131"/>
      <c r="CE171" s="131"/>
      <c r="CF171" s="131"/>
      <c r="CG171" s="131"/>
      <c r="CH171" s="131"/>
      <c r="CI171" s="131"/>
      <c r="CJ171" s="131"/>
      <c r="CK171" s="131"/>
      <c r="CL171" s="131"/>
      <c r="CM171" s="131"/>
      <c r="CN171" s="131"/>
      <c r="CO171" s="131"/>
      <c r="CP171" s="131"/>
      <c r="CQ171" s="131"/>
      <c r="CR171" s="131"/>
      <c r="CS171" s="131"/>
      <c r="CT171" s="131"/>
      <c r="CU171" s="131"/>
      <c r="CV171" s="131"/>
      <c r="CW171" s="131"/>
      <c r="CX171" s="131"/>
      <c r="CY171" s="131"/>
      <c r="CZ171" s="131"/>
      <c r="DA171" s="131"/>
      <c r="DB171" s="131"/>
      <c r="DC171" s="131"/>
      <c r="DD171" s="131"/>
      <c r="DE171" s="131"/>
      <c r="DF171" s="131"/>
      <c r="DG171" s="131"/>
      <c r="DH171" s="131"/>
      <c r="DI171" s="131"/>
      <c r="DJ171" s="131"/>
      <c r="DK171" s="131"/>
      <c r="DL171" s="131"/>
      <c r="DM171" s="131"/>
      <c r="DN171" s="131"/>
      <c r="DO171" s="131"/>
      <c r="DP171" s="131"/>
      <c r="DQ171" s="131"/>
      <c r="DR171" s="131"/>
      <c r="DS171" s="131"/>
      <c r="DT171" s="131"/>
      <c r="DU171" s="131"/>
      <c r="DV171" s="131"/>
      <c r="DW171" s="131"/>
      <c r="DX171" s="131"/>
      <c r="DY171" s="131"/>
      <c r="DZ171" s="131"/>
      <c r="EA171" s="131"/>
      <c r="EB171" s="131"/>
      <c r="EC171" s="131"/>
      <c r="ED171" s="131"/>
      <c r="EE171" s="131"/>
      <c r="EF171" s="131"/>
      <c r="EG171" s="131"/>
      <c r="EH171" s="131"/>
      <c r="EI171" s="131"/>
      <c r="EJ171" s="131"/>
      <c r="EK171" s="131"/>
      <c r="EL171" s="131"/>
      <c r="EM171" s="131"/>
      <c r="EN171" s="131"/>
      <c r="EO171" s="131"/>
      <c r="EP171" s="131"/>
      <c r="EQ171" s="131"/>
      <c r="ER171" s="131"/>
      <c r="ES171" s="131"/>
      <c r="ET171" s="131"/>
      <c r="EU171" s="131"/>
      <c r="EV171" s="131"/>
      <c r="EW171" s="131"/>
      <c r="EX171" s="131"/>
      <c r="EY171" s="131"/>
      <c r="EZ171" s="131"/>
      <c r="FA171" s="131"/>
      <c r="FB171" s="131"/>
      <c r="FC171" s="131"/>
      <c r="FD171" s="131"/>
      <c r="FE171" s="131"/>
      <c r="FF171" s="131"/>
      <c r="FG171" s="131"/>
      <c r="FH171" s="131"/>
      <c r="FI171" s="131"/>
      <c r="FJ171" s="131"/>
      <c r="FK171" s="131"/>
      <c r="FL171" s="131"/>
      <c r="FM171" s="131"/>
      <c r="FN171" s="131"/>
      <c r="FO171" s="131"/>
      <c r="FP171" s="131"/>
      <c r="FQ171" s="131"/>
      <c r="FR171" s="131"/>
      <c r="FS171" s="131"/>
      <c r="FT171" s="131"/>
      <c r="FU171" s="131"/>
      <c r="FV171" s="131"/>
      <c r="FW171" s="131"/>
      <c r="FX171" s="131"/>
      <c r="FY171" s="131"/>
      <c r="FZ171" s="131"/>
      <c r="GA171" s="131"/>
      <c r="GB171" s="131"/>
      <c r="GC171" s="131"/>
      <c r="GD171" s="131"/>
      <c r="GE171" s="131"/>
      <c r="GF171" s="131"/>
      <c r="GG171" s="131"/>
      <c r="GH171" s="131"/>
      <c r="GI171" s="131"/>
      <c r="GJ171" s="131"/>
      <c r="GK171" s="131"/>
      <c r="GL171" s="131"/>
      <c r="GM171" s="131"/>
      <c r="GN171" s="131"/>
      <c r="GO171" s="131"/>
      <c r="GP171" s="131"/>
      <c r="GQ171" s="131"/>
      <c r="GR171" s="131"/>
      <c r="GS171" s="131"/>
      <c r="GT171" s="131"/>
      <c r="GU171" s="131"/>
      <c r="GV171" s="131"/>
      <c r="GW171" s="131"/>
      <c r="GX171" s="131"/>
      <c r="GY171" s="131"/>
      <c r="GZ171" s="131"/>
      <c r="HA171" s="131"/>
      <c r="HB171" s="131"/>
      <c r="HC171" s="131"/>
      <c r="HD171" s="131"/>
      <c r="HE171" s="131"/>
      <c r="HF171" s="131"/>
      <c r="HG171" s="131"/>
      <c r="HH171" s="131"/>
      <c r="HI171" s="131"/>
      <c r="HJ171" s="131"/>
      <c r="HK171" s="131"/>
      <c r="HL171" s="131"/>
      <c r="HM171" s="131"/>
      <c r="HN171" s="131"/>
      <c r="HO171" s="131"/>
      <c r="HP171" s="131"/>
      <c r="HQ171" s="131"/>
      <c r="HR171" s="131"/>
      <c r="HS171" s="131"/>
      <c r="HT171" s="131"/>
      <c r="HU171" s="131"/>
      <c r="HV171" s="131"/>
      <c r="HW171" s="131"/>
      <c r="HX171" s="131"/>
      <c r="HY171" s="131"/>
      <c r="HZ171" s="131"/>
      <c r="IA171" s="131"/>
      <c r="IB171" s="131"/>
      <c r="IC171" s="131"/>
      <c r="ID171" s="131"/>
      <c r="IE171" s="131"/>
      <c r="IF171" s="131"/>
      <c r="IG171" s="131"/>
      <c r="IH171" s="131"/>
      <c r="II171" s="131"/>
      <c r="IJ171" s="131"/>
      <c r="IK171" s="131"/>
      <c r="IL171" s="131"/>
      <c r="IM171" s="131"/>
      <c r="IN171" s="131"/>
      <c r="IO171" s="131"/>
      <c r="IP171" s="131"/>
      <c r="IQ171" s="131"/>
      <c r="IR171" s="131"/>
      <c r="IS171" s="131"/>
      <c r="IT171" s="131"/>
      <c r="IU171" s="131"/>
      <c r="IV171" s="131"/>
      <c r="IW171" s="131"/>
      <c r="IX171" s="131"/>
      <c r="IY171" s="131"/>
      <c r="IZ171" s="131"/>
      <c r="JA171" s="131"/>
      <c r="JB171" s="131"/>
      <c r="JC171" s="131"/>
      <c r="JD171" s="131"/>
      <c r="JE171" s="131"/>
      <c r="JF171" s="131"/>
      <c r="JG171" s="131"/>
      <c r="JH171" s="131"/>
      <c r="JI171" s="131"/>
      <c r="JJ171" s="131"/>
      <c r="JK171" s="131"/>
      <c r="JL171" s="131"/>
      <c r="JM171" s="131"/>
      <c r="JN171" s="131"/>
      <c r="JO171" s="131"/>
      <c r="JP171" s="131"/>
      <c r="JQ171" s="131"/>
      <c r="JR171" s="131"/>
      <c r="JS171" s="131"/>
      <c r="JT171" s="131"/>
      <c r="JU171" s="131"/>
      <c r="JV171" s="131"/>
      <c r="JW171" s="131"/>
      <c r="JX171" s="131"/>
      <c r="JY171" s="131"/>
      <c r="JZ171" s="131"/>
      <c r="KA171" s="131"/>
      <c r="KB171" s="131"/>
      <c r="KC171" s="131"/>
      <c r="KD171" s="131"/>
      <c r="KE171" s="131"/>
      <c r="KF171" s="131"/>
      <c r="KG171" s="131"/>
      <c r="KH171" s="131"/>
      <c r="KI171" s="131"/>
      <c r="KJ171" s="131"/>
      <c r="KK171" s="131"/>
      <c r="KL171" s="131"/>
      <c r="KM171" s="131"/>
      <c r="KN171" s="131"/>
      <c r="KO171" s="131"/>
      <c r="KP171" s="131"/>
      <c r="KQ171" s="131"/>
      <c r="KR171" s="131"/>
      <c r="KS171" s="131"/>
      <c r="KT171" s="131"/>
      <c r="KU171" s="131"/>
      <c r="KV171" s="131"/>
      <c r="KW171" s="131"/>
      <c r="KX171" s="131"/>
      <c r="KY171" s="131"/>
      <c r="KZ171" s="131"/>
      <c r="LA171" s="131"/>
      <c r="LB171" s="131"/>
      <c r="LC171" s="131"/>
      <c r="LD171" s="131"/>
      <c r="LE171" s="131"/>
      <c r="LF171" s="131"/>
      <c r="LG171" s="131"/>
      <c r="LH171" s="131"/>
      <c r="LI171" s="131"/>
      <c r="LJ171" s="131"/>
      <c r="LK171" s="131"/>
      <c r="LL171" s="131"/>
      <c r="LM171" s="131"/>
      <c r="LN171" s="131"/>
      <c r="LO171" s="131"/>
      <c r="LP171" s="131"/>
      <c r="LQ171" s="131"/>
      <c r="LR171" s="131"/>
      <c r="LS171" s="131"/>
      <c r="LT171" s="131"/>
      <c r="LU171" s="131"/>
      <c r="LV171" s="131"/>
      <c r="LW171" s="131"/>
      <c r="LX171" s="131"/>
      <c r="LY171" s="131"/>
      <c r="LZ171" s="131"/>
      <c r="MA171" s="131"/>
      <c r="MB171" s="131"/>
      <c r="MC171" s="131"/>
      <c r="MD171" s="131"/>
      <c r="ME171" s="131"/>
      <c r="MF171" s="131"/>
      <c r="MG171" s="131"/>
      <c r="MH171" s="131"/>
      <c r="MI171" s="131"/>
      <c r="MJ171" s="131"/>
      <c r="MK171" s="131"/>
      <c r="ML171" s="131"/>
      <c r="MM171" s="131"/>
      <c r="MN171" s="131"/>
      <c r="MO171" s="131"/>
      <c r="MP171" s="131"/>
      <c r="MQ171" s="131"/>
      <c r="MR171" s="131"/>
      <c r="MS171" s="131"/>
      <c r="MT171" s="131"/>
      <c r="MU171" s="131"/>
      <c r="MV171" s="131"/>
      <c r="MW171" s="131"/>
      <c r="MX171" s="131"/>
      <c r="MY171" s="131"/>
      <c r="MZ171" s="131"/>
      <c r="NA171" s="131"/>
      <c r="NB171" s="131"/>
      <c r="NC171" s="131"/>
      <c r="ND171" s="131"/>
      <c r="NE171" s="131"/>
      <c r="NF171" s="131"/>
      <c r="NG171" s="131"/>
      <c r="NH171" s="131"/>
      <c r="NI171" s="131"/>
      <c r="NJ171" s="131"/>
      <c r="NK171" s="131"/>
      <c r="NL171" s="131"/>
      <c r="NM171" s="131"/>
      <c r="NN171" s="131"/>
      <c r="NO171" s="131"/>
      <c r="NP171" s="131"/>
      <c r="NQ171" s="131"/>
      <c r="NR171" s="131"/>
      <c r="NS171" s="131"/>
      <c r="NT171" s="131"/>
      <c r="NU171" s="131"/>
      <c r="NV171" s="131"/>
      <c r="NW171" s="24">
        <f t="shared" si="17"/>
        <v>10</v>
      </c>
      <c r="NX171" s="56" t="s">
        <v>36</v>
      </c>
      <c r="NY171" s="127">
        <v>228</v>
      </c>
      <c r="NZ171" s="78">
        <f t="shared" si="18"/>
        <v>0</v>
      </c>
      <c r="OA171" s="78">
        <v>153.69999999999999</v>
      </c>
      <c r="OB171" s="127">
        <f t="shared" si="19"/>
        <v>228</v>
      </c>
      <c r="OC171" s="153"/>
      <c r="OD171" s="108">
        <f t="shared" si="15"/>
        <v>1.4834092387768381</v>
      </c>
      <c r="OE171" s="160" t="s">
        <v>585</v>
      </c>
    </row>
    <row r="172" spans="1:395" s="5" customFormat="1" ht="12.75" customHeight="1" x14ac:dyDescent="0.25">
      <c r="A172" s="62">
        <v>44588</v>
      </c>
      <c r="B172" s="106" t="s">
        <v>143</v>
      </c>
      <c r="C172" s="129"/>
      <c r="D172" s="129"/>
      <c r="E172" s="130"/>
      <c r="F172" s="130"/>
      <c r="G172" s="130"/>
      <c r="H172" s="130"/>
      <c r="I172" s="130"/>
      <c r="J172" s="130"/>
      <c r="K172" s="130"/>
      <c r="L172" s="130"/>
      <c r="M172" s="131"/>
      <c r="N172" s="131"/>
      <c r="O172" s="131"/>
      <c r="P172" s="131"/>
      <c r="Q172" s="131"/>
      <c r="R172" s="131"/>
      <c r="S172" s="131"/>
      <c r="T172" s="131"/>
      <c r="U172" s="131"/>
      <c r="V172" s="131"/>
      <c r="W172" s="131"/>
      <c r="X172" s="131"/>
      <c r="Y172" s="131"/>
      <c r="Z172" s="131"/>
      <c r="AA172" s="131"/>
      <c r="AB172" s="131"/>
      <c r="AC172" s="131"/>
      <c r="AD172" s="131"/>
      <c r="AE172" s="131"/>
      <c r="AF172" s="131"/>
      <c r="AG172" s="131"/>
      <c r="AH172" s="131"/>
      <c r="AI172" s="131"/>
      <c r="AJ172" s="131"/>
      <c r="AK172" s="131"/>
      <c r="AL172" s="131"/>
      <c r="AM172" s="131"/>
      <c r="AN172" s="131"/>
      <c r="AO172" s="131"/>
      <c r="AP172" s="131"/>
      <c r="AQ172" s="131"/>
      <c r="AR172" s="131"/>
      <c r="AS172" s="131"/>
      <c r="AT172" s="131"/>
      <c r="AU172" s="131"/>
      <c r="AV172" s="131"/>
      <c r="AW172" s="131"/>
      <c r="AX172" s="131"/>
      <c r="AY172" s="131"/>
      <c r="AZ172" s="131"/>
      <c r="BA172" s="131"/>
      <c r="BB172" s="131"/>
      <c r="BC172" s="131"/>
      <c r="BD172" s="131"/>
      <c r="BE172" s="131">
        <v>1</v>
      </c>
      <c r="BF172" s="131"/>
      <c r="BG172" s="131"/>
      <c r="BH172" s="131"/>
      <c r="BI172" s="131"/>
      <c r="BJ172" s="131"/>
      <c r="BK172" s="131"/>
      <c r="BL172" s="131"/>
      <c r="BM172" s="131"/>
      <c r="BN172" s="131"/>
      <c r="BO172" s="131"/>
      <c r="BP172" s="131"/>
      <c r="BQ172" s="131"/>
      <c r="BR172" s="131"/>
      <c r="BS172" s="131"/>
      <c r="BT172" s="131"/>
      <c r="BU172" s="131"/>
      <c r="BV172" s="131"/>
      <c r="BW172" s="131"/>
      <c r="BX172" s="131"/>
      <c r="BY172" s="131"/>
      <c r="BZ172" s="131"/>
      <c r="CA172" s="131"/>
      <c r="CB172" s="131"/>
      <c r="CC172" s="131"/>
      <c r="CD172" s="131"/>
      <c r="CE172" s="131"/>
      <c r="CF172" s="131"/>
      <c r="CG172" s="131"/>
      <c r="CH172" s="131"/>
      <c r="CI172" s="131"/>
      <c r="CJ172" s="131"/>
      <c r="CK172" s="131"/>
      <c r="CL172" s="131"/>
      <c r="CM172" s="131"/>
      <c r="CN172" s="131"/>
      <c r="CO172" s="131"/>
      <c r="CP172" s="131"/>
      <c r="CQ172" s="131"/>
      <c r="CR172" s="131"/>
      <c r="CS172" s="131"/>
      <c r="CT172" s="131"/>
      <c r="CU172" s="131"/>
      <c r="CV172" s="131"/>
      <c r="CW172" s="131"/>
      <c r="CX172" s="131"/>
      <c r="CY172" s="131"/>
      <c r="CZ172" s="131"/>
      <c r="DA172" s="131"/>
      <c r="DB172" s="131"/>
      <c r="DC172" s="131"/>
      <c r="DD172" s="131"/>
      <c r="DE172" s="131"/>
      <c r="DF172" s="131"/>
      <c r="DG172" s="131"/>
      <c r="DH172" s="131"/>
      <c r="DI172" s="131"/>
      <c r="DJ172" s="131"/>
      <c r="DK172" s="131"/>
      <c r="DL172" s="131"/>
      <c r="DM172" s="131"/>
      <c r="DN172" s="131"/>
      <c r="DO172" s="131"/>
      <c r="DP172" s="131"/>
      <c r="DQ172" s="131"/>
      <c r="DR172" s="131"/>
      <c r="DS172" s="131">
        <v>0.9</v>
      </c>
      <c r="DT172" s="131"/>
      <c r="DU172" s="131"/>
      <c r="DV172" s="131"/>
      <c r="DW172" s="131"/>
      <c r="DX172" s="131"/>
      <c r="DY172" s="131"/>
      <c r="DZ172" s="131"/>
      <c r="EA172" s="131"/>
      <c r="EB172" s="131"/>
      <c r="EC172" s="131"/>
      <c r="ED172" s="131"/>
      <c r="EE172" s="131"/>
      <c r="EF172" s="131"/>
      <c r="EG172" s="131"/>
      <c r="EH172" s="131"/>
      <c r="EI172" s="131"/>
      <c r="EJ172" s="131"/>
      <c r="EK172" s="131"/>
      <c r="EL172" s="131"/>
      <c r="EM172" s="131"/>
      <c r="EN172" s="131"/>
      <c r="EO172" s="131"/>
      <c r="EP172" s="131"/>
      <c r="EQ172" s="131"/>
      <c r="ER172" s="131"/>
      <c r="ES172" s="131"/>
      <c r="ET172" s="131"/>
      <c r="EU172" s="131"/>
      <c r="EV172" s="131"/>
      <c r="EW172" s="131"/>
      <c r="EX172" s="131"/>
      <c r="EY172" s="131"/>
      <c r="EZ172" s="131"/>
      <c r="FA172" s="131"/>
      <c r="FB172" s="131"/>
      <c r="FC172" s="131"/>
      <c r="FD172" s="131"/>
      <c r="FE172" s="131"/>
      <c r="FF172" s="131"/>
      <c r="FG172" s="131"/>
      <c r="FH172" s="131"/>
      <c r="FI172" s="131"/>
      <c r="FJ172" s="131"/>
      <c r="FK172" s="131"/>
      <c r="FL172" s="131"/>
      <c r="FM172" s="131"/>
      <c r="FN172" s="131"/>
      <c r="FO172" s="131"/>
      <c r="FP172" s="131"/>
      <c r="FQ172" s="131"/>
      <c r="FR172" s="131"/>
      <c r="FS172" s="131"/>
      <c r="FT172" s="131"/>
      <c r="FU172" s="131"/>
      <c r="FV172" s="131"/>
      <c r="FW172" s="131"/>
      <c r="FX172" s="131"/>
      <c r="FY172" s="131"/>
      <c r="FZ172" s="131"/>
      <c r="GA172" s="131"/>
      <c r="GB172" s="131"/>
      <c r="GC172" s="131"/>
      <c r="GD172" s="131"/>
      <c r="GE172" s="131"/>
      <c r="GF172" s="131"/>
      <c r="GG172" s="131"/>
      <c r="GH172" s="131"/>
      <c r="GI172" s="131"/>
      <c r="GJ172" s="131"/>
      <c r="GK172" s="131"/>
      <c r="GL172" s="131"/>
      <c r="GM172" s="131"/>
      <c r="GN172" s="131"/>
      <c r="GO172" s="131"/>
      <c r="GP172" s="131"/>
      <c r="GQ172" s="131"/>
      <c r="GR172" s="131"/>
      <c r="GS172" s="131"/>
      <c r="GT172" s="131"/>
      <c r="GU172" s="131"/>
      <c r="GV172" s="131"/>
      <c r="GW172" s="131"/>
      <c r="GX172" s="131"/>
      <c r="GY172" s="131"/>
      <c r="GZ172" s="131"/>
      <c r="HA172" s="131"/>
      <c r="HB172" s="131"/>
      <c r="HC172" s="131"/>
      <c r="HD172" s="131"/>
      <c r="HE172" s="131"/>
      <c r="HF172" s="131"/>
      <c r="HG172" s="131"/>
      <c r="HH172" s="131"/>
      <c r="HI172" s="131"/>
      <c r="HJ172" s="131"/>
      <c r="HK172" s="131"/>
      <c r="HL172" s="131"/>
      <c r="HM172" s="131"/>
      <c r="HN172" s="131"/>
      <c r="HO172" s="131"/>
      <c r="HP172" s="131"/>
      <c r="HQ172" s="131"/>
      <c r="HR172" s="131"/>
      <c r="HS172" s="131"/>
      <c r="HT172" s="131"/>
      <c r="HU172" s="131"/>
      <c r="HV172" s="131"/>
      <c r="HW172" s="131"/>
      <c r="HX172" s="131"/>
      <c r="HY172" s="131"/>
      <c r="HZ172" s="131"/>
      <c r="IA172" s="131"/>
      <c r="IB172" s="131"/>
      <c r="IC172" s="131"/>
      <c r="ID172" s="131"/>
      <c r="IE172" s="131"/>
      <c r="IF172" s="131"/>
      <c r="IG172" s="131"/>
      <c r="IH172" s="131"/>
      <c r="II172" s="131"/>
      <c r="IJ172" s="131"/>
      <c r="IK172" s="131"/>
      <c r="IL172" s="131"/>
      <c r="IM172" s="131"/>
      <c r="IN172" s="131"/>
      <c r="IO172" s="131"/>
      <c r="IP172" s="131"/>
      <c r="IQ172" s="131"/>
      <c r="IR172" s="131"/>
      <c r="IS172" s="131"/>
      <c r="IT172" s="131"/>
      <c r="IU172" s="131"/>
      <c r="IV172" s="131"/>
      <c r="IW172" s="131"/>
      <c r="IX172" s="131"/>
      <c r="IY172" s="131"/>
      <c r="IZ172" s="131"/>
      <c r="JA172" s="131"/>
      <c r="JB172" s="131"/>
      <c r="JC172" s="131"/>
      <c r="JD172" s="131"/>
      <c r="JE172" s="131"/>
      <c r="JF172" s="131"/>
      <c r="JG172" s="131"/>
      <c r="JH172" s="131"/>
      <c r="JI172" s="131"/>
      <c r="JJ172" s="131"/>
      <c r="JK172" s="131"/>
      <c r="JL172" s="131"/>
      <c r="JM172" s="131"/>
      <c r="JN172" s="131"/>
      <c r="JO172" s="131"/>
      <c r="JP172" s="131"/>
      <c r="JQ172" s="131"/>
      <c r="JR172" s="131"/>
      <c r="JS172" s="131"/>
      <c r="JT172" s="131"/>
      <c r="JU172" s="131"/>
      <c r="JV172" s="131"/>
      <c r="JW172" s="131"/>
      <c r="JX172" s="131"/>
      <c r="JY172" s="131"/>
      <c r="JZ172" s="131"/>
      <c r="KA172" s="131"/>
      <c r="KB172" s="131"/>
      <c r="KC172" s="131"/>
      <c r="KD172" s="131"/>
      <c r="KE172" s="131"/>
      <c r="KF172" s="131"/>
      <c r="KG172" s="131"/>
      <c r="KH172" s="131"/>
      <c r="KI172" s="131"/>
      <c r="KJ172" s="131"/>
      <c r="KK172" s="131"/>
      <c r="KL172" s="131"/>
      <c r="KM172" s="131"/>
      <c r="KN172" s="131"/>
      <c r="KO172" s="131"/>
      <c r="KP172" s="131"/>
      <c r="KQ172" s="131"/>
      <c r="KR172" s="131"/>
      <c r="KS172" s="131"/>
      <c r="KT172" s="131"/>
      <c r="KU172" s="131"/>
      <c r="KV172" s="131"/>
      <c r="KW172" s="131"/>
      <c r="KX172" s="131"/>
      <c r="KY172" s="131"/>
      <c r="KZ172" s="131"/>
      <c r="LA172" s="131"/>
      <c r="LB172" s="131"/>
      <c r="LC172" s="131"/>
      <c r="LD172" s="131"/>
      <c r="LE172" s="131"/>
      <c r="LF172" s="131"/>
      <c r="LG172" s="131"/>
      <c r="LH172" s="131"/>
      <c r="LI172" s="131"/>
      <c r="LJ172" s="131"/>
      <c r="LK172" s="131"/>
      <c r="LL172" s="131"/>
      <c r="LM172" s="131"/>
      <c r="LN172" s="131"/>
      <c r="LO172" s="131"/>
      <c r="LP172" s="131"/>
      <c r="LQ172" s="131"/>
      <c r="LR172" s="131"/>
      <c r="LS172" s="131"/>
      <c r="LT172" s="131"/>
      <c r="LU172" s="131"/>
      <c r="LV172" s="131"/>
      <c r="LW172" s="131"/>
      <c r="LX172" s="131"/>
      <c r="LY172" s="131"/>
      <c r="LZ172" s="131"/>
      <c r="MA172" s="131"/>
      <c r="MB172" s="131"/>
      <c r="MC172" s="131"/>
      <c r="MD172" s="131"/>
      <c r="ME172" s="131"/>
      <c r="MF172" s="131"/>
      <c r="MG172" s="131"/>
      <c r="MH172" s="131"/>
      <c r="MI172" s="131"/>
      <c r="MJ172" s="131"/>
      <c r="MK172" s="131"/>
      <c r="ML172" s="131"/>
      <c r="MM172" s="131"/>
      <c r="MN172" s="131"/>
      <c r="MO172" s="131"/>
      <c r="MP172" s="131"/>
      <c r="MQ172" s="131"/>
      <c r="MR172" s="131"/>
      <c r="MS172" s="131"/>
      <c r="MT172" s="131"/>
      <c r="MU172" s="131"/>
      <c r="MV172" s="131"/>
      <c r="MW172" s="131"/>
      <c r="MX172" s="131"/>
      <c r="MY172" s="131"/>
      <c r="MZ172" s="131"/>
      <c r="NA172" s="131"/>
      <c r="NB172" s="131"/>
      <c r="NC172" s="131"/>
      <c r="ND172" s="131"/>
      <c r="NE172" s="131"/>
      <c r="NF172" s="131"/>
      <c r="NG172" s="131"/>
      <c r="NH172" s="131"/>
      <c r="NI172" s="131"/>
      <c r="NJ172" s="131"/>
      <c r="NK172" s="131"/>
      <c r="NL172" s="131"/>
      <c r="NM172" s="131"/>
      <c r="NN172" s="131"/>
      <c r="NO172" s="131"/>
      <c r="NP172" s="131"/>
      <c r="NQ172" s="131"/>
      <c r="NR172" s="131"/>
      <c r="NS172" s="131"/>
      <c r="NT172" s="131"/>
      <c r="NU172" s="131"/>
      <c r="NV172" s="131"/>
      <c r="NW172" s="24">
        <f t="shared" si="17"/>
        <v>1.9</v>
      </c>
      <c r="NX172" s="56" t="s">
        <v>36</v>
      </c>
      <c r="NY172" s="127">
        <v>76.67</v>
      </c>
      <c r="NZ172" s="78">
        <f t="shared" si="18"/>
        <v>0</v>
      </c>
      <c r="OA172" s="78">
        <v>47.353999999999999</v>
      </c>
      <c r="OB172" s="127">
        <f t="shared" si="19"/>
        <v>76.67</v>
      </c>
      <c r="OC172" s="153"/>
      <c r="OD172" s="108">
        <f t="shared" si="15"/>
        <v>1.6190818093508468</v>
      </c>
      <c r="OE172" s="160" t="s">
        <v>587</v>
      </c>
    </row>
    <row r="173" spans="1:395" s="5" customFormat="1" ht="12.75" customHeight="1" x14ac:dyDescent="0.25">
      <c r="A173" s="62">
        <v>44588</v>
      </c>
      <c r="B173" s="116" t="s">
        <v>265</v>
      </c>
      <c r="C173" s="129"/>
      <c r="D173" s="129"/>
      <c r="E173" s="130"/>
      <c r="F173" s="130"/>
      <c r="G173" s="130"/>
      <c r="H173" s="130"/>
      <c r="I173" s="130"/>
      <c r="J173" s="130"/>
      <c r="K173" s="130"/>
      <c r="L173" s="130"/>
      <c r="M173" s="131"/>
      <c r="N173" s="131"/>
      <c r="O173" s="131"/>
      <c r="P173" s="131"/>
      <c r="Q173" s="131"/>
      <c r="R173" s="131"/>
      <c r="S173" s="131"/>
      <c r="T173" s="131"/>
      <c r="U173" s="131"/>
      <c r="V173" s="131"/>
      <c r="W173" s="131"/>
      <c r="X173" s="131"/>
      <c r="Y173" s="131"/>
      <c r="Z173" s="131"/>
      <c r="AA173" s="131"/>
      <c r="AB173" s="131"/>
      <c r="AC173" s="131"/>
      <c r="AD173" s="131"/>
      <c r="AE173" s="131"/>
      <c r="AF173" s="131"/>
      <c r="AG173" s="131"/>
      <c r="AH173" s="131"/>
      <c r="AI173" s="131"/>
      <c r="AJ173" s="131"/>
      <c r="AK173" s="131"/>
      <c r="AL173" s="131"/>
      <c r="AM173" s="131"/>
      <c r="AN173" s="131"/>
      <c r="AO173" s="131"/>
      <c r="AP173" s="131"/>
      <c r="AQ173" s="131"/>
      <c r="AR173" s="131"/>
      <c r="AS173" s="131"/>
      <c r="AT173" s="131"/>
      <c r="AU173" s="131"/>
      <c r="AV173" s="131"/>
      <c r="AW173" s="131"/>
      <c r="AX173" s="131"/>
      <c r="AY173" s="131"/>
      <c r="AZ173" s="131"/>
      <c r="BA173" s="131"/>
      <c r="BB173" s="131"/>
      <c r="BC173" s="131"/>
      <c r="BD173" s="131"/>
      <c r="BE173" s="131"/>
      <c r="BF173" s="131"/>
      <c r="BG173" s="131"/>
      <c r="BH173" s="131"/>
      <c r="BI173" s="131"/>
      <c r="BJ173" s="131"/>
      <c r="BK173" s="131"/>
      <c r="BL173" s="131"/>
      <c r="BM173" s="131"/>
      <c r="BN173" s="131"/>
      <c r="BO173" s="131"/>
      <c r="BP173" s="131"/>
      <c r="BQ173" s="131"/>
      <c r="BR173" s="131"/>
      <c r="BS173" s="131"/>
      <c r="BT173" s="131"/>
      <c r="BU173" s="131"/>
      <c r="BV173" s="131"/>
      <c r="BW173" s="131"/>
      <c r="BX173" s="131"/>
      <c r="BY173" s="131"/>
      <c r="BZ173" s="131"/>
      <c r="CA173" s="131"/>
      <c r="CB173" s="131"/>
      <c r="CC173" s="131"/>
      <c r="CD173" s="131"/>
      <c r="CE173" s="131"/>
      <c r="CF173" s="131"/>
      <c r="CG173" s="131"/>
      <c r="CH173" s="131"/>
      <c r="CI173" s="131"/>
      <c r="CJ173" s="131"/>
      <c r="CK173" s="131"/>
      <c r="CL173" s="131"/>
      <c r="CM173" s="131"/>
      <c r="CN173" s="131"/>
      <c r="CO173" s="131"/>
      <c r="CP173" s="131"/>
      <c r="CQ173" s="131"/>
      <c r="CR173" s="131"/>
      <c r="CS173" s="131"/>
      <c r="CT173" s="131"/>
      <c r="CU173" s="131"/>
      <c r="CV173" s="131"/>
      <c r="CW173" s="131"/>
      <c r="CX173" s="131"/>
      <c r="CY173" s="131"/>
      <c r="CZ173" s="131"/>
      <c r="DA173" s="131"/>
      <c r="DB173" s="131">
        <v>1</v>
      </c>
      <c r="DC173" s="131"/>
      <c r="DD173" s="131"/>
      <c r="DE173" s="131"/>
      <c r="DF173" s="131"/>
      <c r="DG173" s="131"/>
      <c r="DH173" s="131"/>
      <c r="DI173" s="131"/>
      <c r="DJ173" s="131"/>
      <c r="DK173" s="131"/>
      <c r="DL173" s="131"/>
      <c r="DM173" s="131"/>
      <c r="DN173" s="131"/>
      <c r="DO173" s="131"/>
      <c r="DP173" s="131"/>
      <c r="DQ173" s="131"/>
      <c r="DR173" s="131"/>
      <c r="DS173" s="131"/>
      <c r="DT173" s="131"/>
      <c r="DU173" s="131"/>
      <c r="DV173" s="131"/>
      <c r="DW173" s="131"/>
      <c r="DX173" s="131"/>
      <c r="DY173" s="131"/>
      <c r="DZ173" s="131"/>
      <c r="EA173" s="131"/>
      <c r="EB173" s="131"/>
      <c r="EC173" s="131"/>
      <c r="ED173" s="131"/>
      <c r="EE173" s="131"/>
      <c r="EF173" s="131"/>
      <c r="EG173" s="131"/>
      <c r="EH173" s="131"/>
      <c r="EI173" s="131"/>
      <c r="EJ173" s="131"/>
      <c r="EK173" s="131"/>
      <c r="EL173" s="131"/>
      <c r="EM173" s="131"/>
      <c r="EN173" s="131"/>
      <c r="EO173" s="131"/>
      <c r="EP173" s="131"/>
      <c r="EQ173" s="131"/>
      <c r="ER173" s="131"/>
      <c r="ES173" s="131"/>
      <c r="ET173" s="131"/>
      <c r="EU173" s="131"/>
      <c r="EV173" s="131"/>
      <c r="EW173" s="131"/>
      <c r="EX173" s="131"/>
      <c r="EY173" s="131"/>
      <c r="EZ173" s="131"/>
      <c r="FA173" s="131"/>
      <c r="FB173" s="131"/>
      <c r="FC173" s="131"/>
      <c r="FD173" s="131"/>
      <c r="FE173" s="131">
        <v>3</v>
      </c>
      <c r="FF173" s="131"/>
      <c r="FG173" s="131"/>
      <c r="FH173" s="131"/>
      <c r="FI173" s="131"/>
      <c r="FJ173" s="131"/>
      <c r="FK173" s="131"/>
      <c r="FL173" s="131"/>
      <c r="FM173" s="131"/>
      <c r="FN173" s="131"/>
      <c r="FO173" s="131"/>
      <c r="FP173" s="131"/>
      <c r="FQ173" s="131"/>
      <c r="FR173" s="131"/>
      <c r="FS173" s="131"/>
      <c r="FT173" s="131"/>
      <c r="FU173" s="131"/>
      <c r="FV173" s="131"/>
      <c r="FW173" s="131"/>
      <c r="FX173" s="131"/>
      <c r="FY173" s="131"/>
      <c r="FZ173" s="131"/>
      <c r="GA173" s="131"/>
      <c r="GB173" s="131"/>
      <c r="GC173" s="131"/>
      <c r="GD173" s="131"/>
      <c r="GE173" s="131"/>
      <c r="GF173" s="131"/>
      <c r="GG173" s="131"/>
      <c r="GH173" s="131"/>
      <c r="GI173" s="131"/>
      <c r="GJ173" s="131"/>
      <c r="GK173" s="131"/>
      <c r="GL173" s="131"/>
      <c r="GM173" s="131"/>
      <c r="GN173" s="131"/>
      <c r="GO173" s="131"/>
      <c r="GP173" s="131"/>
      <c r="GQ173" s="131"/>
      <c r="GR173" s="131"/>
      <c r="GS173" s="131"/>
      <c r="GT173" s="131"/>
      <c r="GU173" s="131"/>
      <c r="GV173" s="131"/>
      <c r="GW173" s="131"/>
      <c r="GX173" s="131"/>
      <c r="GY173" s="131"/>
      <c r="GZ173" s="131"/>
      <c r="HA173" s="131"/>
      <c r="HB173" s="131"/>
      <c r="HC173" s="131"/>
      <c r="HD173" s="131"/>
      <c r="HE173" s="131"/>
      <c r="HF173" s="131"/>
      <c r="HG173" s="131"/>
      <c r="HH173" s="131"/>
      <c r="HI173" s="131"/>
      <c r="HJ173" s="131"/>
      <c r="HK173" s="131"/>
      <c r="HL173" s="131"/>
      <c r="HM173" s="131"/>
      <c r="HN173" s="131"/>
      <c r="HO173" s="131"/>
      <c r="HP173" s="131"/>
      <c r="HQ173" s="131"/>
      <c r="HR173" s="131"/>
      <c r="HS173" s="131"/>
      <c r="HT173" s="131"/>
      <c r="HU173" s="131"/>
      <c r="HV173" s="131"/>
      <c r="HW173" s="131"/>
      <c r="HX173" s="131"/>
      <c r="HY173" s="131"/>
      <c r="HZ173" s="131"/>
      <c r="IA173" s="131"/>
      <c r="IB173" s="131"/>
      <c r="IC173" s="131"/>
      <c r="ID173" s="131"/>
      <c r="IE173" s="131"/>
      <c r="IF173" s="131"/>
      <c r="IG173" s="131"/>
      <c r="IH173" s="131"/>
      <c r="II173" s="131"/>
      <c r="IJ173" s="131"/>
      <c r="IK173" s="131"/>
      <c r="IL173" s="131"/>
      <c r="IM173" s="131"/>
      <c r="IN173" s="131"/>
      <c r="IO173" s="131"/>
      <c r="IP173" s="131"/>
      <c r="IQ173" s="131"/>
      <c r="IR173" s="131"/>
      <c r="IS173" s="131"/>
      <c r="IT173" s="131"/>
      <c r="IU173" s="131"/>
      <c r="IV173" s="131"/>
      <c r="IW173" s="131"/>
      <c r="IX173" s="131"/>
      <c r="IY173" s="131"/>
      <c r="IZ173" s="131"/>
      <c r="JA173" s="131"/>
      <c r="JB173" s="131"/>
      <c r="JC173" s="131"/>
      <c r="JD173" s="131"/>
      <c r="JE173" s="131"/>
      <c r="JF173" s="131"/>
      <c r="JG173" s="131"/>
      <c r="JH173" s="131"/>
      <c r="JI173" s="131"/>
      <c r="JJ173" s="131"/>
      <c r="JK173" s="131"/>
      <c r="JL173" s="131"/>
      <c r="JM173" s="131"/>
      <c r="JN173" s="131"/>
      <c r="JO173" s="131"/>
      <c r="JP173" s="131"/>
      <c r="JQ173" s="131"/>
      <c r="JR173" s="131"/>
      <c r="JS173" s="131"/>
      <c r="JT173" s="131"/>
      <c r="JU173" s="131"/>
      <c r="JV173" s="131"/>
      <c r="JW173" s="131"/>
      <c r="JX173" s="131"/>
      <c r="JY173" s="131"/>
      <c r="JZ173" s="131"/>
      <c r="KA173" s="131"/>
      <c r="KB173" s="131"/>
      <c r="KC173" s="131"/>
      <c r="KD173" s="131"/>
      <c r="KE173" s="131"/>
      <c r="KF173" s="131"/>
      <c r="KG173" s="131"/>
      <c r="KH173" s="131"/>
      <c r="KI173" s="131"/>
      <c r="KJ173" s="131"/>
      <c r="KK173" s="131"/>
      <c r="KL173" s="131"/>
      <c r="KM173" s="131"/>
      <c r="KN173" s="131"/>
      <c r="KO173" s="131"/>
      <c r="KP173" s="131"/>
      <c r="KQ173" s="131"/>
      <c r="KR173" s="131"/>
      <c r="KS173" s="131"/>
      <c r="KT173" s="131"/>
      <c r="KU173" s="131"/>
      <c r="KV173" s="131"/>
      <c r="KW173" s="131"/>
      <c r="KX173" s="131"/>
      <c r="KY173" s="131"/>
      <c r="KZ173" s="131"/>
      <c r="LA173" s="131"/>
      <c r="LB173" s="131"/>
      <c r="LC173" s="131"/>
      <c r="LD173" s="131"/>
      <c r="LE173" s="131"/>
      <c r="LF173" s="131"/>
      <c r="LG173" s="131"/>
      <c r="LH173" s="131"/>
      <c r="LI173" s="131"/>
      <c r="LJ173" s="131"/>
      <c r="LK173" s="131"/>
      <c r="LL173" s="131"/>
      <c r="LM173" s="131"/>
      <c r="LN173" s="131"/>
      <c r="LO173" s="131"/>
      <c r="LP173" s="131"/>
      <c r="LQ173" s="131"/>
      <c r="LR173" s="131"/>
      <c r="LS173" s="131"/>
      <c r="LT173" s="131"/>
      <c r="LU173" s="131"/>
      <c r="LV173" s="131"/>
      <c r="LW173" s="131"/>
      <c r="LX173" s="131"/>
      <c r="LY173" s="131"/>
      <c r="LZ173" s="131"/>
      <c r="MA173" s="131"/>
      <c r="MB173" s="131"/>
      <c r="MC173" s="131"/>
      <c r="MD173" s="131"/>
      <c r="ME173" s="131">
        <v>2</v>
      </c>
      <c r="MF173" s="131"/>
      <c r="MG173" s="131"/>
      <c r="MH173" s="131"/>
      <c r="MI173" s="131"/>
      <c r="MJ173" s="131"/>
      <c r="MK173" s="131"/>
      <c r="ML173" s="131"/>
      <c r="MM173" s="131"/>
      <c r="MN173" s="131"/>
      <c r="MO173" s="131"/>
      <c r="MP173" s="131"/>
      <c r="MQ173" s="131"/>
      <c r="MR173" s="131"/>
      <c r="MS173" s="131"/>
      <c r="MT173" s="131"/>
      <c r="MU173" s="131"/>
      <c r="MV173" s="131"/>
      <c r="MW173" s="131"/>
      <c r="MX173" s="131"/>
      <c r="MY173" s="131"/>
      <c r="MZ173" s="131"/>
      <c r="NA173" s="131"/>
      <c r="NB173" s="131"/>
      <c r="NC173" s="131"/>
      <c r="ND173" s="131"/>
      <c r="NE173" s="131"/>
      <c r="NF173" s="131"/>
      <c r="NG173" s="131"/>
      <c r="NH173" s="131"/>
      <c r="NI173" s="131"/>
      <c r="NJ173" s="131"/>
      <c r="NK173" s="131"/>
      <c r="NL173" s="131"/>
      <c r="NM173" s="131"/>
      <c r="NN173" s="131"/>
      <c r="NO173" s="131"/>
      <c r="NP173" s="131"/>
      <c r="NQ173" s="131"/>
      <c r="NR173" s="131"/>
      <c r="NS173" s="131"/>
      <c r="NT173" s="131"/>
      <c r="NU173" s="131"/>
      <c r="NV173" s="131"/>
      <c r="NW173" s="24">
        <f t="shared" si="17"/>
        <v>6</v>
      </c>
      <c r="NX173" s="56" t="s">
        <v>36</v>
      </c>
      <c r="NY173" s="127">
        <v>527.42999999999995</v>
      </c>
      <c r="NZ173" s="78">
        <f t="shared" si="18"/>
        <v>0</v>
      </c>
      <c r="OA173" s="78">
        <v>329.7</v>
      </c>
      <c r="OB173" s="127">
        <f t="shared" si="19"/>
        <v>527.42999999999995</v>
      </c>
      <c r="OC173" s="153"/>
      <c r="OD173" s="108">
        <f t="shared" si="15"/>
        <v>1.5997270245677888</v>
      </c>
      <c r="OE173" s="160"/>
    </row>
    <row r="174" spans="1:395" s="5" customFormat="1" ht="12.75" customHeight="1" x14ac:dyDescent="0.25">
      <c r="A174" s="62">
        <v>44588</v>
      </c>
      <c r="B174" s="116" t="s">
        <v>440</v>
      </c>
      <c r="C174" s="129"/>
      <c r="D174" s="129"/>
      <c r="E174" s="130"/>
      <c r="F174" s="130"/>
      <c r="G174" s="130"/>
      <c r="H174" s="130"/>
      <c r="I174" s="130"/>
      <c r="J174" s="130"/>
      <c r="K174" s="130"/>
      <c r="L174" s="130"/>
      <c r="M174" s="131"/>
      <c r="N174" s="131"/>
      <c r="O174" s="131"/>
      <c r="P174" s="131"/>
      <c r="Q174" s="131"/>
      <c r="R174" s="131"/>
      <c r="S174" s="131"/>
      <c r="T174" s="131"/>
      <c r="U174" s="131"/>
      <c r="V174" s="131"/>
      <c r="W174" s="131"/>
      <c r="X174" s="131"/>
      <c r="Y174" s="131"/>
      <c r="Z174" s="131"/>
      <c r="AA174" s="131"/>
      <c r="AB174" s="131"/>
      <c r="AC174" s="131"/>
      <c r="AD174" s="131"/>
      <c r="AE174" s="131"/>
      <c r="AF174" s="131"/>
      <c r="AG174" s="131"/>
      <c r="AH174" s="131"/>
      <c r="AI174" s="131"/>
      <c r="AJ174" s="131"/>
      <c r="AK174" s="131"/>
      <c r="AL174" s="131"/>
      <c r="AM174" s="131"/>
      <c r="AN174" s="131"/>
      <c r="AO174" s="131"/>
      <c r="AP174" s="131"/>
      <c r="AQ174" s="131"/>
      <c r="AR174" s="131"/>
      <c r="AS174" s="131"/>
      <c r="AT174" s="131"/>
      <c r="AU174" s="131"/>
      <c r="AV174" s="131"/>
      <c r="AW174" s="131"/>
      <c r="AX174" s="131"/>
      <c r="AY174" s="131"/>
      <c r="AZ174" s="131"/>
      <c r="BA174" s="131"/>
      <c r="BB174" s="131"/>
      <c r="BC174" s="131"/>
      <c r="BD174" s="131"/>
      <c r="BE174" s="131"/>
      <c r="BF174" s="131"/>
      <c r="BG174" s="131"/>
      <c r="BH174" s="131"/>
      <c r="BI174" s="131"/>
      <c r="BJ174" s="131"/>
      <c r="BK174" s="131"/>
      <c r="BL174" s="131"/>
      <c r="BM174" s="131"/>
      <c r="BN174" s="131"/>
      <c r="BO174" s="131"/>
      <c r="BP174" s="131"/>
      <c r="BQ174" s="131"/>
      <c r="BR174" s="131"/>
      <c r="BS174" s="131"/>
      <c r="BT174" s="131"/>
      <c r="BU174" s="131"/>
      <c r="BV174" s="131"/>
      <c r="BW174" s="131"/>
      <c r="BX174" s="131"/>
      <c r="BY174" s="131"/>
      <c r="BZ174" s="131"/>
      <c r="CA174" s="131"/>
      <c r="CB174" s="131"/>
      <c r="CC174" s="131"/>
      <c r="CD174" s="131"/>
      <c r="CE174" s="131"/>
      <c r="CF174" s="131"/>
      <c r="CG174" s="131"/>
      <c r="CH174" s="131"/>
      <c r="CI174" s="131"/>
      <c r="CJ174" s="131"/>
      <c r="CK174" s="131"/>
      <c r="CL174" s="131"/>
      <c r="CM174" s="131"/>
      <c r="CN174" s="131"/>
      <c r="CO174" s="131"/>
      <c r="CP174" s="131"/>
      <c r="CQ174" s="131"/>
      <c r="CR174" s="131"/>
      <c r="CS174" s="131"/>
      <c r="CT174" s="131"/>
      <c r="CU174" s="131"/>
      <c r="CV174" s="131"/>
      <c r="CW174" s="131"/>
      <c r="CX174" s="131"/>
      <c r="CY174" s="131"/>
      <c r="CZ174" s="131"/>
      <c r="DA174" s="131"/>
      <c r="DB174" s="131"/>
      <c r="DC174" s="131"/>
      <c r="DD174" s="131"/>
      <c r="DE174" s="131"/>
      <c r="DF174" s="131"/>
      <c r="DG174" s="131"/>
      <c r="DH174" s="131"/>
      <c r="DI174" s="131"/>
      <c r="DJ174" s="131"/>
      <c r="DK174" s="131"/>
      <c r="DL174" s="131"/>
      <c r="DM174" s="131"/>
      <c r="DN174" s="131"/>
      <c r="DO174" s="131"/>
      <c r="DP174" s="131"/>
      <c r="DQ174" s="131"/>
      <c r="DR174" s="131"/>
      <c r="DS174" s="131"/>
      <c r="DT174" s="131"/>
      <c r="DU174" s="131"/>
      <c r="DV174" s="131"/>
      <c r="DW174" s="131"/>
      <c r="DX174" s="131"/>
      <c r="DY174" s="131"/>
      <c r="DZ174" s="131"/>
      <c r="EA174" s="131"/>
      <c r="EB174" s="131"/>
      <c r="EC174" s="131"/>
      <c r="ED174" s="131"/>
      <c r="EE174" s="131"/>
      <c r="EF174" s="131"/>
      <c r="EG174" s="131"/>
      <c r="EH174" s="131"/>
      <c r="EI174" s="131"/>
      <c r="EJ174" s="131"/>
      <c r="EK174" s="131"/>
      <c r="EL174" s="131"/>
      <c r="EM174" s="131"/>
      <c r="EN174" s="131"/>
      <c r="EO174" s="131"/>
      <c r="EP174" s="131"/>
      <c r="EQ174" s="131"/>
      <c r="ER174" s="131"/>
      <c r="ES174" s="131"/>
      <c r="ET174" s="131"/>
      <c r="EU174" s="131"/>
      <c r="EV174" s="131"/>
      <c r="EW174" s="131"/>
      <c r="EX174" s="131"/>
      <c r="EY174" s="131"/>
      <c r="EZ174" s="131"/>
      <c r="FA174" s="131"/>
      <c r="FB174" s="131"/>
      <c r="FC174" s="131"/>
      <c r="FD174" s="131"/>
      <c r="FE174" s="131"/>
      <c r="FF174" s="131"/>
      <c r="FG174" s="131"/>
      <c r="FH174" s="131"/>
      <c r="FI174" s="131"/>
      <c r="FJ174" s="131"/>
      <c r="FK174" s="131"/>
      <c r="FL174" s="131"/>
      <c r="FM174" s="131"/>
      <c r="FN174" s="131"/>
      <c r="FO174" s="131"/>
      <c r="FP174" s="131"/>
      <c r="FQ174" s="131"/>
      <c r="FR174" s="131"/>
      <c r="FS174" s="131"/>
      <c r="FT174" s="131"/>
      <c r="FU174" s="131"/>
      <c r="FV174" s="131"/>
      <c r="FW174" s="131"/>
      <c r="FX174" s="131"/>
      <c r="FY174" s="131"/>
      <c r="FZ174" s="131"/>
      <c r="GA174" s="131"/>
      <c r="GB174" s="131"/>
      <c r="GC174" s="131"/>
      <c r="GD174" s="131"/>
      <c r="GE174" s="131"/>
      <c r="GF174" s="131"/>
      <c r="GG174" s="131"/>
      <c r="GH174" s="131"/>
      <c r="GI174" s="131"/>
      <c r="GJ174" s="131"/>
      <c r="GK174" s="131"/>
      <c r="GL174" s="131"/>
      <c r="GM174" s="131"/>
      <c r="GN174" s="131"/>
      <c r="GO174" s="131"/>
      <c r="GP174" s="131"/>
      <c r="GQ174" s="131"/>
      <c r="GR174" s="131"/>
      <c r="GS174" s="131"/>
      <c r="GT174" s="131"/>
      <c r="GU174" s="131"/>
      <c r="GV174" s="131"/>
      <c r="GW174" s="131"/>
      <c r="GX174" s="131"/>
      <c r="GY174" s="131"/>
      <c r="GZ174" s="131"/>
      <c r="HA174" s="131"/>
      <c r="HB174" s="131"/>
      <c r="HC174" s="131"/>
      <c r="HD174" s="131"/>
      <c r="HE174" s="131"/>
      <c r="HF174" s="131"/>
      <c r="HG174" s="131"/>
      <c r="HH174" s="131">
        <v>1</v>
      </c>
      <c r="HI174" s="131"/>
      <c r="HJ174" s="131"/>
      <c r="HK174" s="131"/>
      <c r="HL174" s="131"/>
      <c r="HM174" s="131"/>
      <c r="HN174" s="131"/>
      <c r="HO174" s="131"/>
      <c r="HP174" s="131"/>
      <c r="HQ174" s="131"/>
      <c r="HR174" s="131"/>
      <c r="HS174" s="131"/>
      <c r="HT174" s="131"/>
      <c r="HU174" s="131"/>
      <c r="HV174" s="131"/>
      <c r="HW174" s="131"/>
      <c r="HX174" s="131"/>
      <c r="HY174" s="131"/>
      <c r="HZ174" s="131"/>
      <c r="IA174" s="131"/>
      <c r="IB174" s="131"/>
      <c r="IC174" s="131"/>
      <c r="ID174" s="131"/>
      <c r="IE174" s="131"/>
      <c r="IF174" s="131"/>
      <c r="IG174" s="131"/>
      <c r="IH174" s="131"/>
      <c r="II174" s="131"/>
      <c r="IJ174" s="131"/>
      <c r="IK174" s="131"/>
      <c r="IL174" s="131"/>
      <c r="IM174" s="131"/>
      <c r="IN174" s="131"/>
      <c r="IO174" s="131"/>
      <c r="IP174" s="131"/>
      <c r="IQ174" s="131"/>
      <c r="IR174" s="131"/>
      <c r="IS174" s="131"/>
      <c r="IT174" s="131"/>
      <c r="IU174" s="131"/>
      <c r="IV174" s="131"/>
      <c r="IW174" s="131"/>
      <c r="IX174" s="131"/>
      <c r="IY174" s="131"/>
      <c r="IZ174" s="131"/>
      <c r="JA174" s="131"/>
      <c r="JB174" s="131"/>
      <c r="JC174" s="131"/>
      <c r="JD174" s="131"/>
      <c r="JE174" s="131"/>
      <c r="JF174" s="131"/>
      <c r="JG174" s="131"/>
      <c r="JH174" s="131"/>
      <c r="JI174" s="131"/>
      <c r="JJ174" s="131"/>
      <c r="JK174" s="131"/>
      <c r="JL174" s="131"/>
      <c r="JM174" s="131"/>
      <c r="JN174" s="131"/>
      <c r="JO174" s="131"/>
      <c r="JP174" s="131"/>
      <c r="JQ174" s="131"/>
      <c r="JR174" s="131"/>
      <c r="JS174" s="131"/>
      <c r="JT174" s="131"/>
      <c r="JU174" s="131"/>
      <c r="JV174" s="131"/>
      <c r="JW174" s="131"/>
      <c r="JX174" s="131"/>
      <c r="JY174" s="131"/>
      <c r="JZ174" s="131"/>
      <c r="KA174" s="131"/>
      <c r="KB174" s="131"/>
      <c r="KC174" s="131"/>
      <c r="KD174" s="131"/>
      <c r="KE174" s="131"/>
      <c r="KF174" s="131"/>
      <c r="KG174" s="131"/>
      <c r="KH174" s="131"/>
      <c r="KI174" s="131"/>
      <c r="KJ174" s="131"/>
      <c r="KK174" s="131"/>
      <c r="KL174" s="131"/>
      <c r="KM174" s="131"/>
      <c r="KN174" s="131"/>
      <c r="KO174" s="131"/>
      <c r="KP174" s="131"/>
      <c r="KQ174" s="131"/>
      <c r="KR174" s="131"/>
      <c r="KS174" s="131"/>
      <c r="KT174" s="131"/>
      <c r="KU174" s="131"/>
      <c r="KV174" s="131"/>
      <c r="KW174" s="131"/>
      <c r="KX174" s="131"/>
      <c r="KY174" s="131"/>
      <c r="KZ174" s="131"/>
      <c r="LA174" s="131"/>
      <c r="LB174" s="131"/>
      <c r="LC174" s="131"/>
      <c r="LD174" s="131"/>
      <c r="LE174" s="131"/>
      <c r="LF174" s="131"/>
      <c r="LG174" s="131"/>
      <c r="LH174" s="131"/>
      <c r="LI174" s="131"/>
      <c r="LJ174" s="131"/>
      <c r="LK174" s="131"/>
      <c r="LL174" s="131"/>
      <c r="LM174" s="131"/>
      <c r="LN174" s="131"/>
      <c r="LO174" s="131"/>
      <c r="LP174" s="131"/>
      <c r="LQ174" s="131"/>
      <c r="LR174" s="131"/>
      <c r="LS174" s="131"/>
      <c r="LT174" s="131"/>
      <c r="LU174" s="131"/>
      <c r="LV174" s="131"/>
      <c r="LW174" s="131"/>
      <c r="LX174" s="131"/>
      <c r="LY174" s="131"/>
      <c r="LZ174" s="131"/>
      <c r="MA174" s="131"/>
      <c r="MB174" s="131"/>
      <c r="MC174" s="131"/>
      <c r="MD174" s="131"/>
      <c r="ME174" s="131"/>
      <c r="MF174" s="131"/>
      <c r="MG174" s="131"/>
      <c r="MH174" s="131"/>
      <c r="MI174" s="131"/>
      <c r="MJ174" s="131"/>
      <c r="MK174" s="131"/>
      <c r="ML174" s="131"/>
      <c r="MM174" s="131"/>
      <c r="MN174" s="131"/>
      <c r="MO174" s="131"/>
      <c r="MP174" s="131"/>
      <c r="MQ174" s="131"/>
      <c r="MR174" s="131"/>
      <c r="MS174" s="131"/>
      <c r="MT174" s="131"/>
      <c r="MU174" s="131"/>
      <c r="MV174" s="131"/>
      <c r="MW174" s="131"/>
      <c r="MX174" s="131"/>
      <c r="MY174" s="131"/>
      <c r="MZ174" s="131"/>
      <c r="NA174" s="131"/>
      <c r="NB174" s="131"/>
      <c r="NC174" s="131"/>
      <c r="ND174" s="131"/>
      <c r="NE174" s="131"/>
      <c r="NF174" s="131"/>
      <c r="NG174" s="131"/>
      <c r="NH174" s="131"/>
      <c r="NI174" s="131"/>
      <c r="NJ174" s="131"/>
      <c r="NK174" s="131"/>
      <c r="NL174" s="131"/>
      <c r="NM174" s="131"/>
      <c r="NN174" s="131"/>
      <c r="NO174" s="131"/>
      <c r="NP174" s="131"/>
      <c r="NQ174" s="131"/>
      <c r="NR174" s="131"/>
      <c r="NS174" s="131"/>
      <c r="NT174" s="131"/>
      <c r="NU174" s="131"/>
      <c r="NV174" s="131"/>
      <c r="NW174" s="24">
        <f t="shared" si="17"/>
        <v>1</v>
      </c>
      <c r="NX174" s="56" t="s">
        <v>36</v>
      </c>
      <c r="NY174" s="127">
        <v>43.93</v>
      </c>
      <c r="NZ174" s="78">
        <f t="shared" si="18"/>
        <v>0</v>
      </c>
      <c r="OA174" s="78">
        <v>20.16</v>
      </c>
      <c r="OB174" s="127">
        <f t="shared" si="19"/>
        <v>43.93</v>
      </c>
      <c r="OC174" s="153"/>
      <c r="OD174" s="108">
        <f t="shared" si="15"/>
        <v>2.1790674603174605</v>
      </c>
      <c r="OE174" s="160" t="s">
        <v>560</v>
      </c>
    </row>
    <row r="175" spans="1:395" s="5" customFormat="1" ht="12.75" customHeight="1" x14ac:dyDescent="0.25">
      <c r="A175" s="62">
        <v>44589</v>
      </c>
      <c r="B175" s="116" t="s">
        <v>256</v>
      </c>
      <c r="C175" s="129"/>
      <c r="D175" s="129"/>
      <c r="E175" s="130"/>
      <c r="F175" s="130"/>
      <c r="G175" s="130"/>
      <c r="H175" s="130"/>
      <c r="I175" s="130"/>
      <c r="J175" s="130"/>
      <c r="K175" s="130"/>
      <c r="L175" s="130"/>
      <c r="M175" s="131"/>
      <c r="N175" s="131"/>
      <c r="O175" s="131"/>
      <c r="P175" s="131"/>
      <c r="Q175" s="131"/>
      <c r="R175" s="131"/>
      <c r="S175" s="131"/>
      <c r="T175" s="131"/>
      <c r="U175" s="131"/>
      <c r="V175" s="131"/>
      <c r="W175" s="131"/>
      <c r="X175" s="131"/>
      <c r="Y175" s="131"/>
      <c r="Z175" s="131"/>
      <c r="AA175" s="131"/>
      <c r="AB175" s="131"/>
      <c r="AC175" s="131"/>
      <c r="AD175" s="131"/>
      <c r="AE175" s="131"/>
      <c r="AF175" s="131"/>
      <c r="AG175" s="131"/>
      <c r="AH175" s="131"/>
      <c r="AI175" s="131"/>
      <c r="AJ175" s="131"/>
      <c r="AK175" s="131"/>
      <c r="AL175" s="131"/>
      <c r="AM175" s="131"/>
      <c r="AN175" s="131"/>
      <c r="AO175" s="131"/>
      <c r="AP175" s="131"/>
      <c r="AQ175" s="131"/>
      <c r="AR175" s="131"/>
      <c r="AS175" s="131"/>
      <c r="AT175" s="131"/>
      <c r="AU175" s="131"/>
      <c r="AV175" s="131"/>
      <c r="AW175" s="131"/>
      <c r="AX175" s="131"/>
      <c r="AY175" s="131"/>
      <c r="AZ175" s="131"/>
      <c r="BA175" s="131"/>
      <c r="BB175" s="131"/>
      <c r="BC175" s="131"/>
      <c r="BD175" s="131"/>
      <c r="BE175" s="131"/>
      <c r="BF175" s="131"/>
      <c r="BG175" s="131"/>
      <c r="BH175" s="131"/>
      <c r="BI175" s="131"/>
      <c r="BJ175" s="131"/>
      <c r="BK175" s="131"/>
      <c r="BL175" s="131"/>
      <c r="BM175" s="131"/>
      <c r="BN175" s="131"/>
      <c r="BO175" s="131"/>
      <c r="BP175" s="131"/>
      <c r="BQ175" s="131"/>
      <c r="BR175" s="131"/>
      <c r="BS175" s="131"/>
      <c r="BT175" s="131"/>
      <c r="BU175" s="131"/>
      <c r="BV175" s="131"/>
      <c r="BW175" s="131"/>
      <c r="BX175" s="131"/>
      <c r="BY175" s="131"/>
      <c r="BZ175" s="131"/>
      <c r="CA175" s="131"/>
      <c r="CB175" s="131"/>
      <c r="CC175" s="131"/>
      <c r="CD175" s="131"/>
      <c r="CE175" s="131"/>
      <c r="CF175" s="131"/>
      <c r="CG175" s="131">
        <v>20</v>
      </c>
      <c r="CH175" s="131"/>
      <c r="CI175" s="131"/>
      <c r="CJ175" s="131"/>
      <c r="CK175" s="131"/>
      <c r="CL175" s="131"/>
      <c r="CM175" s="131"/>
      <c r="CN175" s="131"/>
      <c r="CO175" s="131"/>
      <c r="CP175" s="131"/>
      <c r="CQ175" s="131"/>
      <c r="CR175" s="131"/>
      <c r="CS175" s="131"/>
      <c r="CT175" s="131"/>
      <c r="CU175" s="131"/>
      <c r="CV175" s="131"/>
      <c r="CW175" s="131"/>
      <c r="CX175" s="131"/>
      <c r="CY175" s="131"/>
      <c r="CZ175" s="131"/>
      <c r="DA175" s="131"/>
      <c r="DB175" s="131"/>
      <c r="DC175" s="131"/>
      <c r="DD175" s="131"/>
      <c r="DE175" s="131"/>
      <c r="DF175" s="131"/>
      <c r="DG175" s="131"/>
      <c r="DH175" s="131"/>
      <c r="DI175" s="131"/>
      <c r="DJ175" s="131"/>
      <c r="DK175" s="131"/>
      <c r="DL175" s="131"/>
      <c r="DM175" s="131"/>
      <c r="DN175" s="131">
        <v>10</v>
      </c>
      <c r="DO175" s="131"/>
      <c r="DP175" s="131"/>
      <c r="DQ175" s="131"/>
      <c r="DR175" s="131"/>
      <c r="DS175" s="131"/>
      <c r="DT175" s="131"/>
      <c r="DU175" s="131"/>
      <c r="DV175" s="131"/>
      <c r="DW175" s="131"/>
      <c r="DX175" s="131"/>
      <c r="DY175" s="131"/>
      <c r="DZ175" s="131"/>
      <c r="EA175" s="131"/>
      <c r="EB175" s="131"/>
      <c r="EC175" s="131"/>
      <c r="ED175" s="131"/>
      <c r="EE175" s="131"/>
      <c r="EF175" s="131"/>
      <c r="EG175" s="131"/>
      <c r="EH175" s="131"/>
      <c r="EI175" s="131"/>
      <c r="EJ175" s="131"/>
      <c r="EK175" s="131"/>
      <c r="EL175" s="131"/>
      <c r="EM175" s="131"/>
      <c r="EN175" s="131"/>
      <c r="EO175" s="131"/>
      <c r="EP175" s="131"/>
      <c r="EQ175" s="131"/>
      <c r="ER175" s="131"/>
      <c r="ES175" s="131"/>
      <c r="ET175" s="131"/>
      <c r="EU175" s="131"/>
      <c r="EV175" s="131"/>
      <c r="EW175" s="131"/>
      <c r="EX175" s="131"/>
      <c r="EY175" s="131"/>
      <c r="EZ175" s="131"/>
      <c r="FA175" s="131"/>
      <c r="FB175" s="131"/>
      <c r="FC175" s="131"/>
      <c r="FD175" s="131"/>
      <c r="FE175" s="131"/>
      <c r="FF175" s="131"/>
      <c r="FG175" s="131"/>
      <c r="FH175" s="131"/>
      <c r="FI175" s="131"/>
      <c r="FJ175" s="131"/>
      <c r="FK175" s="131"/>
      <c r="FL175" s="131"/>
      <c r="FM175" s="131"/>
      <c r="FN175" s="131"/>
      <c r="FO175" s="131"/>
      <c r="FP175" s="131"/>
      <c r="FQ175" s="131"/>
      <c r="FR175" s="131"/>
      <c r="FS175" s="131"/>
      <c r="FT175" s="131"/>
      <c r="FU175" s="131"/>
      <c r="FV175" s="131"/>
      <c r="FW175" s="131"/>
      <c r="FX175" s="131"/>
      <c r="FY175" s="131"/>
      <c r="FZ175" s="131"/>
      <c r="GA175" s="131"/>
      <c r="GB175" s="131"/>
      <c r="GC175" s="131"/>
      <c r="GD175" s="131"/>
      <c r="GE175" s="131"/>
      <c r="GF175" s="131"/>
      <c r="GG175" s="131"/>
      <c r="GH175" s="131"/>
      <c r="GI175" s="131"/>
      <c r="GJ175" s="131"/>
      <c r="GK175" s="131"/>
      <c r="GL175" s="131"/>
      <c r="GM175" s="131"/>
      <c r="GN175" s="131"/>
      <c r="GO175" s="131"/>
      <c r="GP175" s="131"/>
      <c r="GQ175" s="131"/>
      <c r="GR175" s="131"/>
      <c r="GS175" s="131"/>
      <c r="GT175" s="131"/>
      <c r="GU175" s="131"/>
      <c r="GV175" s="131"/>
      <c r="GW175" s="131"/>
      <c r="GX175" s="131"/>
      <c r="GY175" s="131"/>
      <c r="GZ175" s="131"/>
      <c r="HA175" s="131"/>
      <c r="HB175" s="131"/>
      <c r="HC175" s="131"/>
      <c r="HD175" s="131"/>
      <c r="HE175" s="131"/>
      <c r="HF175" s="131"/>
      <c r="HG175" s="131"/>
      <c r="HH175" s="131"/>
      <c r="HI175" s="131"/>
      <c r="HJ175" s="131"/>
      <c r="HK175" s="131"/>
      <c r="HL175" s="131"/>
      <c r="HM175" s="131"/>
      <c r="HN175" s="131"/>
      <c r="HO175" s="131"/>
      <c r="HP175" s="131"/>
      <c r="HQ175" s="131"/>
      <c r="HR175" s="131"/>
      <c r="HS175" s="131"/>
      <c r="HT175" s="131"/>
      <c r="HU175" s="131"/>
      <c r="HV175" s="131"/>
      <c r="HW175" s="131"/>
      <c r="HX175" s="131"/>
      <c r="HY175" s="131"/>
      <c r="HZ175" s="131">
        <v>20</v>
      </c>
      <c r="IA175" s="131"/>
      <c r="IB175" s="131"/>
      <c r="IC175" s="131"/>
      <c r="ID175" s="131"/>
      <c r="IE175" s="131"/>
      <c r="IF175" s="131"/>
      <c r="IG175" s="131"/>
      <c r="IH175" s="131"/>
      <c r="II175" s="131"/>
      <c r="IJ175" s="131"/>
      <c r="IK175" s="131"/>
      <c r="IL175" s="131"/>
      <c r="IM175" s="131"/>
      <c r="IN175" s="131"/>
      <c r="IO175" s="131"/>
      <c r="IP175" s="131"/>
      <c r="IQ175" s="131"/>
      <c r="IR175" s="131"/>
      <c r="IS175" s="131"/>
      <c r="IT175" s="131"/>
      <c r="IU175" s="131"/>
      <c r="IV175" s="131"/>
      <c r="IW175" s="131"/>
      <c r="IX175" s="131"/>
      <c r="IY175" s="131"/>
      <c r="IZ175" s="131"/>
      <c r="JA175" s="131"/>
      <c r="JB175" s="131"/>
      <c r="JC175" s="131"/>
      <c r="JD175" s="131"/>
      <c r="JE175" s="131"/>
      <c r="JF175" s="131"/>
      <c r="JG175" s="131"/>
      <c r="JH175" s="131"/>
      <c r="JI175" s="131"/>
      <c r="JJ175" s="131"/>
      <c r="JK175" s="131"/>
      <c r="JL175" s="131"/>
      <c r="JM175" s="131"/>
      <c r="JN175" s="131"/>
      <c r="JO175" s="131"/>
      <c r="JP175" s="131"/>
      <c r="JQ175" s="131"/>
      <c r="JR175" s="131"/>
      <c r="JS175" s="131"/>
      <c r="JT175" s="131"/>
      <c r="JU175" s="131"/>
      <c r="JV175" s="131"/>
      <c r="JW175" s="131"/>
      <c r="JX175" s="131"/>
      <c r="JY175" s="131"/>
      <c r="JZ175" s="131"/>
      <c r="KA175" s="131"/>
      <c r="KB175" s="131"/>
      <c r="KC175" s="131"/>
      <c r="KD175" s="131"/>
      <c r="KE175" s="131"/>
      <c r="KF175" s="131"/>
      <c r="KG175" s="131"/>
      <c r="KH175" s="131"/>
      <c r="KI175" s="131"/>
      <c r="KJ175" s="131"/>
      <c r="KK175" s="131"/>
      <c r="KL175" s="131"/>
      <c r="KM175" s="131"/>
      <c r="KN175" s="131"/>
      <c r="KO175" s="131"/>
      <c r="KP175" s="131"/>
      <c r="KQ175" s="131"/>
      <c r="KR175" s="131"/>
      <c r="KS175" s="131"/>
      <c r="KT175" s="131"/>
      <c r="KU175" s="131"/>
      <c r="KV175" s="131"/>
      <c r="KW175" s="131"/>
      <c r="KX175" s="131"/>
      <c r="KY175" s="131"/>
      <c r="KZ175" s="131"/>
      <c r="LA175" s="131"/>
      <c r="LB175" s="131"/>
      <c r="LC175" s="131"/>
      <c r="LD175" s="131"/>
      <c r="LE175" s="131"/>
      <c r="LF175" s="131"/>
      <c r="LG175" s="131"/>
      <c r="LH175" s="131"/>
      <c r="LI175" s="131"/>
      <c r="LJ175" s="131"/>
      <c r="LK175" s="131"/>
      <c r="LL175" s="131"/>
      <c r="LM175" s="131"/>
      <c r="LN175" s="131"/>
      <c r="LO175" s="131"/>
      <c r="LP175" s="131"/>
      <c r="LQ175" s="131"/>
      <c r="LR175" s="131"/>
      <c r="LS175" s="131"/>
      <c r="LT175" s="131"/>
      <c r="LU175" s="131"/>
      <c r="LV175" s="131"/>
      <c r="LW175" s="131"/>
      <c r="LX175" s="131"/>
      <c r="LY175" s="131"/>
      <c r="LZ175" s="131"/>
      <c r="MA175" s="131"/>
      <c r="MB175" s="131"/>
      <c r="MC175" s="131"/>
      <c r="MD175" s="131"/>
      <c r="ME175" s="131"/>
      <c r="MF175" s="131"/>
      <c r="MG175" s="131"/>
      <c r="MH175" s="131"/>
      <c r="MI175" s="131"/>
      <c r="MJ175" s="131"/>
      <c r="MK175" s="131"/>
      <c r="ML175" s="131"/>
      <c r="MM175" s="131"/>
      <c r="MN175" s="131"/>
      <c r="MO175" s="131"/>
      <c r="MP175" s="131"/>
      <c r="MQ175" s="131"/>
      <c r="MR175" s="131"/>
      <c r="MS175" s="131"/>
      <c r="MT175" s="131"/>
      <c r="MU175" s="131"/>
      <c r="MV175" s="131"/>
      <c r="MW175" s="131"/>
      <c r="MX175" s="131"/>
      <c r="MY175" s="131"/>
      <c r="MZ175" s="131"/>
      <c r="NA175" s="131"/>
      <c r="NB175" s="131"/>
      <c r="NC175" s="131"/>
      <c r="ND175" s="131"/>
      <c r="NE175" s="131"/>
      <c r="NF175" s="131"/>
      <c r="NG175" s="131"/>
      <c r="NH175" s="131"/>
      <c r="NI175" s="131"/>
      <c r="NJ175" s="131"/>
      <c r="NK175" s="131"/>
      <c r="NL175" s="131"/>
      <c r="NM175" s="131"/>
      <c r="NN175" s="131"/>
      <c r="NO175" s="131"/>
      <c r="NP175" s="131"/>
      <c r="NQ175" s="131"/>
      <c r="NR175" s="131"/>
      <c r="NS175" s="131"/>
      <c r="NT175" s="131"/>
      <c r="NU175" s="131"/>
      <c r="NV175" s="131"/>
      <c r="NW175" s="24">
        <f t="shared" si="17"/>
        <v>50</v>
      </c>
      <c r="NX175" s="56" t="s">
        <v>36</v>
      </c>
      <c r="NY175" s="127">
        <v>2186.7600000000002</v>
      </c>
      <c r="NZ175" s="78">
        <f t="shared" si="18"/>
        <v>0</v>
      </c>
      <c r="OA175" s="78">
        <v>1347.1</v>
      </c>
      <c r="OB175" s="127">
        <f t="shared" si="19"/>
        <v>2186.7600000000002</v>
      </c>
      <c r="OC175" s="153"/>
      <c r="OD175" s="108">
        <f t="shared" si="15"/>
        <v>1.6233093311558164</v>
      </c>
      <c r="OE175" s="160"/>
    </row>
    <row r="176" spans="1:395" s="5" customFormat="1" ht="12.75" customHeight="1" x14ac:dyDescent="0.25">
      <c r="A176" s="62">
        <v>44589</v>
      </c>
      <c r="B176" s="187" t="s">
        <v>452</v>
      </c>
      <c r="C176" s="129"/>
      <c r="D176" s="129"/>
      <c r="E176" s="130"/>
      <c r="F176" s="130"/>
      <c r="G176" s="130"/>
      <c r="H176" s="130"/>
      <c r="I176" s="130"/>
      <c r="J176" s="130"/>
      <c r="K176" s="130"/>
      <c r="L176" s="130"/>
      <c r="M176" s="131"/>
      <c r="N176" s="131"/>
      <c r="O176" s="131"/>
      <c r="P176" s="131"/>
      <c r="Q176" s="131"/>
      <c r="R176" s="131"/>
      <c r="S176" s="131"/>
      <c r="T176" s="131"/>
      <c r="U176" s="131"/>
      <c r="V176" s="131"/>
      <c r="W176" s="131"/>
      <c r="X176" s="131"/>
      <c r="Y176" s="131"/>
      <c r="Z176" s="131"/>
      <c r="AA176" s="131"/>
      <c r="AB176" s="131"/>
      <c r="AC176" s="131"/>
      <c r="AD176" s="131"/>
      <c r="AE176" s="131"/>
      <c r="AF176" s="131"/>
      <c r="AG176" s="131"/>
      <c r="AH176" s="131"/>
      <c r="AI176" s="131"/>
      <c r="AJ176" s="131"/>
      <c r="AK176" s="131"/>
      <c r="AL176" s="131"/>
      <c r="AM176" s="131"/>
      <c r="AN176" s="131"/>
      <c r="AO176" s="131"/>
      <c r="AP176" s="131"/>
      <c r="AQ176" s="131"/>
      <c r="AR176" s="131"/>
      <c r="AS176" s="131"/>
      <c r="AT176" s="131"/>
      <c r="AU176" s="131"/>
      <c r="AV176" s="131"/>
      <c r="AW176" s="131"/>
      <c r="AX176" s="131"/>
      <c r="AY176" s="131"/>
      <c r="AZ176" s="131"/>
      <c r="BA176" s="131"/>
      <c r="BB176" s="131"/>
      <c r="BC176" s="131"/>
      <c r="BD176" s="131"/>
      <c r="BE176" s="131"/>
      <c r="BF176" s="131"/>
      <c r="BG176" s="131"/>
      <c r="BH176" s="131"/>
      <c r="BI176" s="131"/>
      <c r="BJ176" s="131"/>
      <c r="BK176" s="131"/>
      <c r="BL176" s="131"/>
      <c r="BM176" s="131"/>
      <c r="BN176" s="131"/>
      <c r="BO176" s="131"/>
      <c r="BP176" s="131"/>
      <c r="BQ176" s="131"/>
      <c r="BR176" s="131"/>
      <c r="BS176" s="131"/>
      <c r="BT176" s="131"/>
      <c r="BU176" s="131"/>
      <c r="BV176" s="131"/>
      <c r="BW176" s="131"/>
      <c r="BX176" s="131"/>
      <c r="BY176" s="131"/>
      <c r="BZ176" s="131"/>
      <c r="CA176" s="131"/>
      <c r="CB176" s="131"/>
      <c r="CC176" s="131"/>
      <c r="CD176" s="131"/>
      <c r="CE176" s="131"/>
      <c r="CF176" s="131"/>
      <c r="CG176" s="131"/>
      <c r="CH176" s="131"/>
      <c r="CI176" s="131"/>
      <c r="CJ176" s="131"/>
      <c r="CK176" s="131"/>
      <c r="CL176" s="131"/>
      <c r="CM176" s="131"/>
      <c r="CN176" s="131"/>
      <c r="CO176" s="131"/>
      <c r="CP176" s="131"/>
      <c r="CQ176" s="131"/>
      <c r="CR176" s="131"/>
      <c r="CS176" s="131"/>
      <c r="CT176" s="131"/>
      <c r="CU176" s="131"/>
      <c r="CV176" s="131"/>
      <c r="CW176" s="131"/>
      <c r="CX176" s="131"/>
      <c r="CY176" s="131"/>
      <c r="CZ176" s="131"/>
      <c r="DA176" s="131"/>
      <c r="DB176" s="131"/>
      <c r="DC176" s="131"/>
      <c r="DD176" s="131"/>
      <c r="DE176" s="131"/>
      <c r="DF176" s="131"/>
      <c r="DG176" s="131"/>
      <c r="DH176" s="131"/>
      <c r="DI176" s="131"/>
      <c r="DJ176" s="131"/>
      <c r="DK176" s="131"/>
      <c r="DL176" s="131"/>
      <c r="DM176" s="131"/>
      <c r="DN176" s="131"/>
      <c r="DO176" s="131"/>
      <c r="DP176" s="131"/>
      <c r="DQ176" s="131"/>
      <c r="DR176" s="131"/>
      <c r="DS176" s="131"/>
      <c r="DT176" s="131"/>
      <c r="DU176" s="131"/>
      <c r="DV176" s="131"/>
      <c r="DW176" s="131"/>
      <c r="DX176" s="131"/>
      <c r="DY176" s="131"/>
      <c r="DZ176" s="131"/>
      <c r="EA176" s="131"/>
      <c r="EB176" s="131"/>
      <c r="EC176" s="131"/>
      <c r="ED176" s="131"/>
      <c r="EE176" s="131"/>
      <c r="EF176" s="131"/>
      <c r="EG176" s="131"/>
      <c r="EH176" s="131"/>
      <c r="EI176" s="131"/>
      <c r="EJ176" s="131"/>
      <c r="EK176" s="131"/>
      <c r="EL176" s="131"/>
      <c r="EM176" s="131"/>
      <c r="EN176" s="131"/>
      <c r="EO176" s="131"/>
      <c r="EP176" s="131"/>
      <c r="EQ176" s="131"/>
      <c r="ER176" s="131"/>
      <c r="ES176" s="131"/>
      <c r="ET176" s="131"/>
      <c r="EU176" s="131"/>
      <c r="EV176" s="131"/>
      <c r="EW176" s="131"/>
      <c r="EX176" s="131"/>
      <c r="EY176" s="131"/>
      <c r="EZ176" s="131"/>
      <c r="FA176" s="131"/>
      <c r="FB176" s="131"/>
      <c r="FC176" s="131"/>
      <c r="FD176" s="131"/>
      <c r="FE176" s="131"/>
      <c r="FF176" s="131"/>
      <c r="FG176" s="131"/>
      <c r="FH176" s="131"/>
      <c r="FI176" s="131"/>
      <c r="FJ176" s="131"/>
      <c r="FK176" s="131"/>
      <c r="FL176" s="131"/>
      <c r="FM176" s="131"/>
      <c r="FN176" s="131"/>
      <c r="FO176" s="131"/>
      <c r="FP176" s="131"/>
      <c r="FQ176" s="131"/>
      <c r="FR176" s="131"/>
      <c r="FS176" s="131"/>
      <c r="FT176" s="131"/>
      <c r="FU176" s="131"/>
      <c r="FV176" s="131"/>
      <c r="FW176" s="131"/>
      <c r="FX176" s="131"/>
      <c r="FY176" s="131"/>
      <c r="FZ176" s="131"/>
      <c r="GA176" s="131"/>
      <c r="GB176" s="131"/>
      <c r="GC176" s="131"/>
      <c r="GD176" s="131"/>
      <c r="GE176" s="131"/>
      <c r="GF176" s="131"/>
      <c r="GG176" s="131"/>
      <c r="GH176" s="131"/>
      <c r="GI176" s="131"/>
      <c r="GJ176" s="131"/>
      <c r="GK176" s="131"/>
      <c r="GL176" s="131"/>
      <c r="GM176" s="131"/>
      <c r="GN176" s="131"/>
      <c r="GO176" s="131"/>
      <c r="GP176" s="131"/>
      <c r="GQ176" s="131"/>
      <c r="GR176" s="131"/>
      <c r="GS176" s="131"/>
      <c r="GT176" s="131"/>
      <c r="GU176" s="131"/>
      <c r="GV176" s="131"/>
      <c r="GW176" s="131"/>
      <c r="GX176" s="131"/>
      <c r="GY176" s="131"/>
      <c r="GZ176" s="131"/>
      <c r="HA176" s="131"/>
      <c r="HB176" s="131"/>
      <c r="HC176" s="131"/>
      <c r="HD176" s="131"/>
      <c r="HE176" s="131"/>
      <c r="HF176" s="131"/>
      <c r="HG176" s="131"/>
      <c r="HH176" s="131"/>
      <c r="HI176" s="131"/>
      <c r="HJ176" s="131">
        <v>11</v>
      </c>
      <c r="HK176" s="131"/>
      <c r="HL176" s="131"/>
      <c r="HM176" s="131"/>
      <c r="HN176" s="131"/>
      <c r="HO176" s="131"/>
      <c r="HP176" s="131"/>
      <c r="HQ176" s="131"/>
      <c r="HR176" s="131"/>
      <c r="HS176" s="131"/>
      <c r="HT176" s="131"/>
      <c r="HU176" s="131"/>
      <c r="HV176" s="131"/>
      <c r="HW176" s="131"/>
      <c r="HX176" s="131"/>
      <c r="HY176" s="131"/>
      <c r="HZ176" s="131"/>
      <c r="IA176" s="131"/>
      <c r="IB176" s="131"/>
      <c r="IC176" s="131"/>
      <c r="ID176" s="131"/>
      <c r="IE176" s="131"/>
      <c r="IF176" s="131"/>
      <c r="IG176" s="131"/>
      <c r="IH176" s="131"/>
      <c r="II176" s="131"/>
      <c r="IJ176" s="131"/>
      <c r="IK176" s="131"/>
      <c r="IL176" s="131"/>
      <c r="IM176" s="131"/>
      <c r="IN176" s="131"/>
      <c r="IO176" s="131"/>
      <c r="IP176" s="131"/>
      <c r="IQ176" s="131"/>
      <c r="IR176" s="131"/>
      <c r="IS176" s="131"/>
      <c r="IT176" s="131"/>
      <c r="IU176" s="131"/>
      <c r="IV176" s="131"/>
      <c r="IW176" s="131"/>
      <c r="IX176" s="131"/>
      <c r="IY176" s="131"/>
      <c r="IZ176" s="131"/>
      <c r="JA176" s="131"/>
      <c r="JB176" s="131"/>
      <c r="JC176" s="131"/>
      <c r="JD176" s="131"/>
      <c r="JE176" s="131"/>
      <c r="JF176" s="131"/>
      <c r="JG176" s="131"/>
      <c r="JH176" s="131"/>
      <c r="JI176" s="131"/>
      <c r="JJ176" s="131"/>
      <c r="JK176" s="131"/>
      <c r="JL176" s="131"/>
      <c r="JM176" s="131"/>
      <c r="JN176" s="131"/>
      <c r="JO176" s="131"/>
      <c r="JP176" s="131"/>
      <c r="JQ176" s="131"/>
      <c r="JR176" s="131"/>
      <c r="JS176" s="131"/>
      <c r="JT176" s="131"/>
      <c r="JU176" s="131"/>
      <c r="JV176" s="131"/>
      <c r="JW176" s="131"/>
      <c r="JX176" s="131"/>
      <c r="JY176" s="131"/>
      <c r="JZ176" s="131"/>
      <c r="KA176" s="131"/>
      <c r="KB176" s="131"/>
      <c r="KC176" s="131"/>
      <c r="KD176" s="131"/>
      <c r="KE176" s="131"/>
      <c r="KF176" s="131"/>
      <c r="KG176" s="131"/>
      <c r="KH176" s="131"/>
      <c r="KI176" s="131"/>
      <c r="KJ176" s="131"/>
      <c r="KK176" s="131"/>
      <c r="KL176" s="131"/>
      <c r="KM176" s="131"/>
      <c r="KN176" s="131"/>
      <c r="KO176" s="131"/>
      <c r="KP176" s="131"/>
      <c r="KQ176" s="131"/>
      <c r="KR176" s="131"/>
      <c r="KS176" s="131"/>
      <c r="KT176" s="131"/>
      <c r="KU176" s="131"/>
      <c r="KV176" s="131"/>
      <c r="KW176" s="131"/>
      <c r="KX176" s="131"/>
      <c r="KY176" s="131"/>
      <c r="KZ176" s="131"/>
      <c r="LA176" s="131"/>
      <c r="LB176" s="131"/>
      <c r="LC176" s="131"/>
      <c r="LD176" s="131"/>
      <c r="LE176" s="131"/>
      <c r="LF176" s="131"/>
      <c r="LG176" s="131"/>
      <c r="LH176" s="131"/>
      <c r="LI176" s="131"/>
      <c r="LJ176" s="131"/>
      <c r="LK176" s="131"/>
      <c r="LL176" s="131"/>
      <c r="LM176" s="131"/>
      <c r="LN176" s="131"/>
      <c r="LO176" s="131"/>
      <c r="LP176" s="131"/>
      <c r="LQ176" s="131"/>
      <c r="LR176" s="131"/>
      <c r="LS176" s="131"/>
      <c r="LT176" s="131"/>
      <c r="LU176" s="131"/>
      <c r="LV176" s="131"/>
      <c r="LW176" s="131"/>
      <c r="LX176" s="131"/>
      <c r="LY176" s="131"/>
      <c r="LZ176" s="131"/>
      <c r="MA176" s="131"/>
      <c r="MB176" s="131"/>
      <c r="MC176" s="131"/>
      <c r="MD176" s="131"/>
      <c r="ME176" s="131"/>
      <c r="MF176" s="131"/>
      <c r="MG176" s="131"/>
      <c r="MH176" s="131"/>
      <c r="MI176" s="131"/>
      <c r="MJ176" s="131"/>
      <c r="MK176" s="131"/>
      <c r="ML176" s="131"/>
      <c r="MM176" s="131"/>
      <c r="MN176" s="131"/>
      <c r="MO176" s="131"/>
      <c r="MP176" s="131"/>
      <c r="MQ176" s="131"/>
      <c r="MR176" s="131"/>
      <c r="MS176" s="131"/>
      <c r="MT176" s="131"/>
      <c r="MU176" s="131"/>
      <c r="MV176" s="131"/>
      <c r="MW176" s="131"/>
      <c r="MX176" s="131"/>
      <c r="MY176" s="131"/>
      <c r="MZ176" s="131"/>
      <c r="NA176" s="131"/>
      <c r="NB176" s="131"/>
      <c r="NC176" s="131"/>
      <c r="ND176" s="131"/>
      <c r="NE176" s="131"/>
      <c r="NF176" s="131"/>
      <c r="NG176" s="131"/>
      <c r="NH176" s="131"/>
      <c r="NI176" s="131"/>
      <c r="NJ176" s="131"/>
      <c r="NK176" s="131"/>
      <c r="NL176" s="131"/>
      <c r="NM176" s="131"/>
      <c r="NN176" s="131"/>
      <c r="NO176" s="131"/>
      <c r="NP176" s="131"/>
      <c r="NQ176" s="131"/>
      <c r="NR176" s="131"/>
      <c r="NS176" s="131"/>
      <c r="NT176" s="131"/>
      <c r="NU176" s="131"/>
      <c r="NV176" s="131"/>
      <c r="NW176" s="24">
        <f t="shared" si="17"/>
        <v>11</v>
      </c>
      <c r="NX176" s="56" t="s">
        <v>36</v>
      </c>
      <c r="NY176" s="127">
        <v>399.96</v>
      </c>
      <c r="NZ176" s="78">
        <f t="shared" si="18"/>
        <v>0</v>
      </c>
      <c r="OA176" s="78">
        <v>263.45</v>
      </c>
      <c r="OB176" s="127">
        <f t="shared" si="19"/>
        <v>399.96</v>
      </c>
      <c r="OC176" s="153"/>
      <c r="OD176" s="108">
        <f t="shared" si="15"/>
        <v>1.5181628392484343</v>
      </c>
      <c r="OE176" s="160"/>
    </row>
    <row r="177" spans="1:395" s="5" customFormat="1" ht="12.75" customHeight="1" x14ac:dyDescent="0.25">
      <c r="A177" s="62">
        <v>44588</v>
      </c>
      <c r="B177" s="187" t="s">
        <v>80</v>
      </c>
      <c r="C177" s="129"/>
      <c r="D177" s="129"/>
      <c r="E177" s="130"/>
      <c r="F177" s="130"/>
      <c r="G177" s="130"/>
      <c r="H177" s="130"/>
      <c r="I177" s="130"/>
      <c r="J177" s="130"/>
      <c r="K177" s="130"/>
      <c r="L177" s="130"/>
      <c r="M177" s="131"/>
      <c r="N177" s="131"/>
      <c r="O177" s="131"/>
      <c r="P177" s="131"/>
      <c r="Q177" s="131"/>
      <c r="R177" s="131"/>
      <c r="S177" s="131"/>
      <c r="T177" s="131"/>
      <c r="U177" s="131"/>
      <c r="V177" s="131"/>
      <c r="W177" s="131"/>
      <c r="X177" s="131"/>
      <c r="Y177" s="131"/>
      <c r="Z177" s="131"/>
      <c r="AA177" s="131"/>
      <c r="AB177" s="131"/>
      <c r="AC177" s="131"/>
      <c r="AD177" s="131"/>
      <c r="AE177" s="131"/>
      <c r="AF177" s="131"/>
      <c r="AG177" s="131"/>
      <c r="AH177" s="131"/>
      <c r="AI177" s="131"/>
      <c r="AJ177" s="131"/>
      <c r="AK177" s="131"/>
      <c r="AL177" s="131"/>
      <c r="AM177" s="131"/>
      <c r="AN177" s="131"/>
      <c r="AO177" s="131"/>
      <c r="AP177" s="131"/>
      <c r="AQ177" s="131"/>
      <c r="AR177" s="131"/>
      <c r="AS177" s="131"/>
      <c r="AT177" s="131"/>
      <c r="AU177" s="131"/>
      <c r="AV177" s="131"/>
      <c r="AW177" s="131"/>
      <c r="AX177" s="131"/>
      <c r="AY177" s="131"/>
      <c r="AZ177" s="131"/>
      <c r="BA177" s="131"/>
      <c r="BB177" s="131"/>
      <c r="BC177" s="131"/>
      <c r="BD177" s="131"/>
      <c r="BE177" s="131"/>
      <c r="BF177" s="131"/>
      <c r="BG177" s="131"/>
      <c r="BH177" s="131"/>
      <c r="BI177" s="131"/>
      <c r="BJ177" s="131"/>
      <c r="BK177" s="131"/>
      <c r="BL177" s="131"/>
      <c r="BM177" s="131"/>
      <c r="BN177" s="131"/>
      <c r="BO177" s="131"/>
      <c r="BP177" s="131"/>
      <c r="BQ177" s="131"/>
      <c r="BR177" s="131"/>
      <c r="BS177" s="131"/>
      <c r="BT177" s="131"/>
      <c r="BU177" s="131"/>
      <c r="BV177" s="131"/>
      <c r="BW177" s="131"/>
      <c r="BX177" s="131"/>
      <c r="BY177" s="131"/>
      <c r="BZ177" s="131"/>
      <c r="CA177" s="131"/>
      <c r="CB177" s="131"/>
      <c r="CC177" s="131"/>
      <c r="CD177" s="131"/>
      <c r="CE177" s="131"/>
      <c r="CF177" s="131"/>
      <c r="CG177" s="131"/>
      <c r="CH177" s="131"/>
      <c r="CI177" s="131"/>
      <c r="CJ177" s="131"/>
      <c r="CK177" s="131"/>
      <c r="CL177" s="131"/>
      <c r="CM177" s="131"/>
      <c r="CN177" s="131"/>
      <c r="CO177" s="131"/>
      <c r="CP177" s="131"/>
      <c r="CQ177" s="131"/>
      <c r="CR177" s="131"/>
      <c r="CS177" s="131"/>
      <c r="CT177" s="131"/>
      <c r="CU177" s="131"/>
      <c r="CV177" s="131"/>
      <c r="CW177" s="131"/>
      <c r="CX177" s="131"/>
      <c r="CY177" s="131"/>
      <c r="CZ177" s="131"/>
      <c r="DA177" s="131"/>
      <c r="DB177" s="131"/>
      <c r="DC177" s="131"/>
      <c r="DD177" s="131">
        <v>10</v>
      </c>
      <c r="DE177" s="131"/>
      <c r="DF177" s="131"/>
      <c r="DG177" s="131"/>
      <c r="DH177" s="131"/>
      <c r="DI177" s="131"/>
      <c r="DJ177" s="131"/>
      <c r="DK177" s="131"/>
      <c r="DL177" s="131"/>
      <c r="DM177" s="131"/>
      <c r="DN177" s="131"/>
      <c r="DO177" s="131"/>
      <c r="DP177" s="131"/>
      <c r="DQ177" s="131"/>
      <c r="DR177" s="131"/>
      <c r="DS177" s="131"/>
      <c r="DT177" s="131"/>
      <c r="DU177" s="131"/>
      <c r="DV177" s="131"/>
      <c r="DW177" s="131"/>
      <c r="DX177" s="131"/>
      <c r="DY177" s="131"/>
      <c r="DZ177" s="131"/>
      <c r="EA177" s="131"/>
      <c r="EB177" s="131"/>
      <c r="EC177" s="131"/>
      <c r="ED177" s="131"/>
      <c r="EE177" s="131"/>
      <c r="EF177" s="131"/>
      <c r="EG177" s="131"/>
      <c r="EH177" s="131"/>
      <c r="EI177" s="131"/>
      <c r="EJ177" s="131"/>
      <c r="EK177" s="131"/>
      <c r="EL177" s="131"/>
      <c r="EM177" s="131"/>
      <c r="EN177" s="131"/>
      <c r="EO177" s="131"/>
      <c r="EP177" s="131"/>
      <c r="EQ177" s="131"/>
      <c r="ER177" s="131"/>
      <c r="ES177" s="131"/>
      <c r="ET177" s="131"/>
      <c r="EU177" s="131"/>
      <c r="EV177" s="131"/>
      <c r="EW177" s="131"/>
      <c r="EX177" s="131"/>
      <c r="EY177" s="131"/>
      <c r="EZ177" s="131"/>
      <c r="FA177" s="131"/>
      <c r="FB177" s="131"/>
      <c r="FC177" s="131"/>
      <c r="FD177" s="131"/>
      <c r="FE177" s="131"/>
      <c r="FF177" s="131"/>
      <c r="FG177" s="131"/>
      <c r="FH177" s="131"/>
      <c r="FI177" s="131"/>
      <c r="FJ177" s="131"/>
      <c r="FK177" s="131"/>
      <c r="FL177" s="131"/>
      <c r="FM177" s="131"/>
      <c r="FN177" s="131"/>
      <c r="FO177" s="131"/>
      <c r="FP177" s="131"/>
      <c r="FQ177" s="131"/>
      <c r="FR177" s="131"/>
      <c r="FS177" s="131"/>
      <c r="FT177" s="131"/>
      <c r="FU177" s="131"/>
      <c r="FV177" s="131"/>
      <c r="FW177" s="131"/>
      <c r="FX177" s="131"/>
      <c r="FY177" s="131"/>
      <c r="FZ177" s="131"/>
      <c r="GA177" s="131"/>
      <c r="GB177" s="131"/>
      <c r="GC177" s="131"/>
      <c r="GD177" s="131"/>
      <c r="GE177" s="131"/>
      <c r="GF177" s="131"/>
      <c r="GG177" s="131"/>
      <c r="GH177" s="131"/>
      <c r="GI177" s="131"/>
      <c r="GJ177" s="131"/>
      <c r="GK177" s="131"/>
      <c r="GL177" s="131"/>
      <c r="GM177" s="131"/>
      <c r="GN177" s="131"/>
      <c r="GO177" s="131"/>
      <c r="GP177" s="131"/>
      <c r="GQ177" s="131"/>
      <c r="GR177" s="131"/>
      <c r="GS177" s="131"/>
      <c r="GT177" s="131"/>
      <c r="GU177" s="131"/>
      <c r="GV177" s="131"/>
      <c r="GW177" s="131"/>
      <c r="GX177" s="131"/>
      <c r="GY177" s="131"/>
      <c r="GZ177" s="131"/>
      <c r="HA177" s="131"/>
      <c r="HB177" s="131"/>
      <c r="HC177" s="131"/>
      <c r="HD177" s="131"/>
      <c r="HE177" s="131"/>
      <c r="HF177" s="131"/>
      <c r="HG177" s="131"/>
      <c r="HH177" s="131"/>
      <c r="HI177" s="131"/>
      <c r="HJ177" s="131"/>
      <c r="HK177" s="131"/>
      <c r="HL177" s="131"/>
      <c r="HM177" s="131"/>
      <c r="HN177" s="131"/>
      <c r="HO177" s="131"/>
      <c r="HP177" s="131"/>
      <c r="HQ177" s="131"/>
      <c r="HR177" s="131"/>
      <c r="HS177" s="131"/>
      <c r="HT177" s="131"/>
      <c r="HU177" s="131"/>
      <c r="HV177" s="131"/>
      <c r="HW177" s="131"/>
      <c r="HX177" s="131"/>
      <c r="HY177" s="131"/>
      <c r="HZ177" s="131"/>
      <c r="IA177" s="131"/>
      <c r="IB177" s="131"/>
      <c r="IC177" s="131"/>
      <c r="ID177" s="131"/>
      <c r="IE177" s="131"/>
      <c r="IF177" s="131"/>
      <c r="IG177" s="131"/>
      <c r="IH177" s="131"/>
      <c r="II177" s="131"/>
      <c r="IJ177" s="131"/>
      <c r="IK177" s="131"/>
      <c r="IL177" s="131"/>
      <c r="IM177" s="131"/>
      <c r="IN177" s="131"/>
      <c r="IO177" s="131"/>
      <c r="IP177" s="131"/>
      <c r="IQ177" s="131"/>
      <c r="IR177" s="131"/>
      <c r="IS177" s="131"/>
      <c r="IT177" s="131"/>
      <c r="IU177" s="131"/>
      <c r="IV177" s="131"/>
      <c r="IW177" s="131"/>
      <c r="IX177" s="131"/>
      <c r="IY177" s="131"/>
      <c r="IZ177" s="131"/>
      <c r="JA177" s="131"/>
      <c r="JB177" s="131"/>
      <c r="JC177" s="131"/>
      <c r="JD177" s="131"/>
      <c r="JE177" s="131"/>
      <c r="JF177" s="131"/>
      <c r="JG177" s="131"/>
      <c r="JH177" s="131"/>
      <c r="JI177" s="131"/>
      <c r="JJ177" s="131"/>
      <c r="JK177" s="131"/>
      <c r="JL177" s="131"/>
      <c r="JM177" s="131"/>
      <c r="JN177" s="131"/>
      <c r="JO177" s="131"/>
      <c r="JP177" s="131"/>
      <c r="JQ177" s="131"/>
      <c r="JR177" s="131"/>
      <c r="JS177" s="131"/>
      <c r="JT177" s="131"/>
      <c r="JU177" s="131"/>
      <c r="JV177" s="131"/>
      <c r="JW177" s="131"/>
      <c r="JX177" s="131"/>
      <c r="JY177" s="131"/>
      <c r="JZ177" s="131"/>
      <c r="KA177" s="131"/>
      <c r="KB177" s="131"/>
      <c r="KC177" s="131"/>
      <c r="KD177" s="131"/>
      <c r="KE177" s="131"/>
      <c r="KF177" s="131"/>
      <c r="KG177" s="131"/>
      <c r="KH177" s="131"/>
      <c r="KI177" s="131"/>
      <c r="KJ177" s="131"/>
      <c r="KK177" s="131"/>
      <c r="KL177" s="131"/>
      <c r="KM177" s="131"/>
      <c r="KN177" s="131"/>
      <c r="KO177" s="131"/>
      <c r="KP177" s="131"/>
      <c r="KQ177" s="131"/>
      <c r="KR177" s="131"/>
      <c r="KS177" s="131"/>
      <c r="KT177" s="131"/>
      <c r="KU177" s="131"/>
      <c r="KV177" s="131"/>
      <c r="KW177" s="131"/>
      <c r="KX177" s="131"/>
      <c r="KY177" s="131"/>
      <c r="KZ177" s="131"/>
      <c r="LA177" s="131"/>
      <c r="LB177" s="131"/>
      <c r="LC177" s="131"/>
      <c r="LD177" s="131"/>
      <c r="LE177" s="131"/>
      <c r="LF177" s="131"/>
      <c r="LG177" s="131"/>
      <c r="LH177" s="131"/>
      <c r="LI177" s="131"/>
      <c r="LJ177" s="131"/>
      <c r="LK177" s="131"/>
      <c r="LL177" s="131"/>
      <c r="LM177" s="131"/>
      <c r="LN177" s="131"/>
      <c r="LO177" s="131"/>
      <c r="LP177" s="131"/>
      <c r="LQ177" s="131"/>
      <c r="LR177" s="131"/>
      <c r="LS177" s="131"/>
      <c r="LT177" s="131"/>
      <c r="LU177" s="131"/>
      <c r="LV177" s="131"/>
      <c r="LW177" s="131"/>
      <c r="LX177" s="131"/>
      <c r="LY177" s="131"/>
      <c r="LZ177" s="131"/>
      <c r="MA177" s="131"/>
      <c r="MB177" s="131"/>
      <c r="MC177" s="131"/>
      <c r="MD177" s="131"/>
      <c r="ME177" s="131"/>
      <c r="MF177" s="131"/>
      <c r="MG177" s="131"/>
      <c r="MH177" s="131"/>
      <c r="MI177" s="131"/>
      <c r="MJ177" s="131"/>
      <c r="MK177" s="131"/>
      <c r="ML177" s="131"/>
      <c r="MM177" s="131"/>
      <c r="MN177" s="131"/>
      <c r="MO177" s="131"/>
      <c r="MP177" s="131"/>
      <c r="MQ177" s="131"/>
      <c r="MR177" s="131"/>
      <c r="MS177" s="131"/>
      <c r="MT177" s="131"/>
      <c r="MU177" s="131"/>
      <c r="MV177" s="131"/>
      <c r="MW177" s="131"/>
      <c r="MX177" s="131"/>
      <c r="MY177" s="131"/>
      <c r="MZ177" s="131"/>
      <c r="NA177" s="131"/>
      <c r="NB177" s="131"/>
      <c r="NC177" s="131"/>
      <c r="ND177" s="131"/>
      <c r="NE177" s="131"/>
      <c r="NF177" s="131"/>
      <c r="NG177" s="131"/>
      <c r="NH177" s="131"/>
      <c r="NI177" s="131"/>
      <c r="NJ177" s="131"/>
      <c r="NK177" s="131"/>
      <c r="NL177" s="131"/>
      <c r="NM177" s="131"/>
      <c r="NN177" s="131"/>
      <c r="NO177" s="131"/>
      <c r="NP177" s="131"/>
      <c r="NQ177" s="131"/>
      <c r="NR177" s="131"/>
      <c r="NS177" s="131"/>
      <c r="NT177" s="131"/>
      <c r="NU177" s="131"/>
      <c r="NV177" s="131"/>
      <c r="NW177" s="24">
        <f t="shared" si="17"/>
        <v>10</v>
      </c>
      <c r="NX177" s="56" t="s">
        <v>36</v>
      </c>
      <c r="NY177" s="127">
        <v>420</v>
      </c>
      <c r="NZ177" s="78">
        <f t="shared" si="18"/>
        <v>0</v>
      </c>
      <c r="OA177" s="78">
        <v>215.79999999999998</v>
      </c>
      <c r="OB177" s="127">
        <f t="shared" si="19"/>
        <v>420</v>
      </c>
      <c r="OC177" s="153"/>
      <c r="OD177" s="108">
        <f t="shared" si="15"/>
        <v>1.9462465245597778</v>
      </c>
      <c r="OE177" s="160"/>
    </row>
    <row r="178" spans="1:395" s="32" customFormat="1" ht="12" customHeight="1" x14ac:dyDescent="0.25">
      <c r="A178" s="50" t="s">
        <v>140</v>
      </c>
      <c r="B178" s="28"/>
      <c r="C178" s="132">
        <f>SUBTOTAL(9,C2:C150)</f>
        <v>0</v>
      </c>
      <c r="D178" s="132">
        <f t="shared" ref="D178:BN178" si="20">SUBTOTAL(9,D2:D150)</f>
        <v>0</v>
      </c>
      <c r="E178" s="132">
        <f t="shared" si="20"/>
        <v>0</v>
      </c>
      <c r="F178" s="132">
        <f t="shared" si="20"/>
        <v>150</v>
      </c>
      <c r="G178" s="132">
        <f t="shared" si="20"/>
        <v>0</v>
      </c>
      <c r="H178" s="132">
        <f t="shared" si="20"/>
        <v>0</v>
      </c>
      <c r="I178" s="132">
        <f t="shared" si="20"/>
        <v>0</v>
      </c>
      <c r="J178" s="132">
        <f t="shared" si="20"/>
        <v>10</v>
      </c>
      <c r="K178" s="132">
        <f t="shared" si="20"/>
        <v>0</v>
      </c>
      <c r="L178" s="132">
        <f t="shared" si="20"/>
        <v>0</v>
      </c>
      <c r="M178" s="132">
        <f t="shared" si="20"/>
        <v>0</v>
      </c>
      <c r="N178" s="132">
        <f t="shared" si="20"/>
        <v>0</v>
      </c>
      <c r="O178" s="132">
        <f t="shared" si="20"/>
        <v>0</v>
      </c>
      <c r="P178" s="132">
        <f t="shared" si="20"/>
        <v>0</v>
      </c>
      <c r="Q178" s="132">
        <f t="shared" si="20"/>
        <v>0</v>
      </c>
      <c r="R178" s="132">
        <f t="shared" si="20"/>
        <v>0</v>
      </c>
      <c r="S178" s="132">
        <f t="shared" si="20"/>
        <v>8.8000000000000007</v>
      </c>
      <c r="T178" s="132">
        <f t="shared" si="20"/>
        <v>20</v>
      </c>
      <c r="U178" s="132">
        <f t="shared" si="20"/>
        <v>0</v>
      </c>
      <c r="V178" s="132">
        <f t="shared" si="20"/>
        <v>0</v>
      </c>
      <c r="W178" s="132">
        <f t="shared" si="20"/>
        <v>0</v>
      </c>
      <c r="X178" s="132">
        <f t="shared" si="20"/>
        <v>36</v>
      </c>
      <c r="Y178" s="132">
        <f t="shared" si="20"/>
        <v>0</v>
      </c>
      <c r="Z178" s="132">
        <f t="shared" si="20"/>
        <v>0</v>
      </c>
      <c r="AA178" s="132">
        <f t="shared" si="20"/>
        <v>0</v>
      </c>
      <c r="AB178" s="132">
        <f t="shared" si="20"/>
        <v>0</v>
      </c>
      <c r="AC178" s="132">
        <f t="shared" si="20"/>
        <v>0</v>
      </c>
      <c r="AD178" s="132">
        <f t="shared" si="20"/>
        <v>0</v>
      </c>
      <c r="AE178" s="132">
        <f t="shared" si="20"/>
        <v>0</v>
      </c>
      <c r="AF178" s="132">
        <f t="shared" si="20"/>
        <v>0</v>
      </c>
      <c r="AG178" s="132">
        <f t="shared" si="20"/>
        <v>30</v>
      </c>
      <c r="AH178" s="132">
        <f t="shared" si="20"/>
        <v>0</v>
      </c>
      <c r="AI178" s="132">
        <f t="shared" si="20"/>
        <v>0</v>
      </c>
      <c r="AJ178" s="132">
        <f t="shared" si="20"/>
        <v>0</v>
      </c>
      <c r="AK178" s="132">
        <f t="shared" si="20"/>
        <v>0</v>
      </c>
      <c r="AL178" s="132">
        <f t="shared" si="20"/>
        <v>0</v>
      </c>
      <c r="AM178" s="132">
        <f t="shared" si="20"/>
        <v>0</v>
      </c>
      <c r="AN178" s="132">
        <f t="shared" si="20"/>
        <v>0</v>
      </c>
      <c r="AO178" s="132">
        <f t="shared" si="20"/>
        <v>0</v>
      </c>
      <c r="AP178" s="132">
        <f t="shared" si="20"/>
        <v>0</v>
      </c>
      <c r="AQ178" s="132">
        <f t="shared" si="20"/>
        <v>0</v>
      </c>
      <c r="AR178" s="132">
        <f t="shared" si="20"/>
        <v>0</v>
      </c>
      <c r="AS178" s="132">
        <f t="shared" si="20"/>
        <v>0</v>
      </c>
      <c r="AT178" s="132">
        <f t="shared" si="20"/>
        <v>0</v>
      </c>
      <c r="AU178" s="132">
        <f t="shared" si="20"/>
        <v>0</v>
      </c>
      <c r="AV178" s="132">
        <f t="shared" si="20"/>
        <v>0</v>
      </c>
      <c r="AW178" s="132">
        <f t="shared" si="20"/>
        <v>0</v>
      </c>
      <c r="AX178" s="132">
        <f t="shared" si="20"/>
        <v>0</v>
      </c>
      <c r="AY178" s="132">
        <f t="shared" si="20"/>
        <v>0</v>
      </c>
      <c r="AZ178" s="132">
        <f t="shared" si="20"/>
        <v>0</v>
      </c>
      <c r="BA178" s="132">
        <f t="shared" si="20"/>
        <v>0</v>
      </c>
      <c r="BB178" s="132">
        <f t="shared" si="20"/>
        <v>0</v>
      </c>
      <c r="BC178" s="132">
        <f t="shared" si="20"/>
        <v>0</v>
      </c>
      <c r="BD178" s="132">
        <f t="shared" si="20"/>
        <v>0</v>
      </c>
      <c r="BE178" s="132">
        <f t="shared" si="20"/>
        <v>0</v>
      </c>
      <c r="BF178" s="132">
        <f t="shared" si="20"/>
        <v>0</v>
      </c>
      <c r="BG178" s="132">
        <f t="shared" si="20"/>
        <v>0</v>
      </c>
      <c r="BH178" s="132">
        <f t="shared" si="20"/>
        <v>0</v>
      </c>
      <c r="BI178" s="132">
        <f t="shared" si="20"/>
        <v>0</v>
      </c>
      <c r="BJ178" s="132">
        <f t="shared" si="20"/>
        <v>120</v>
      </c>
      <c r="BK178" s="132">
        <f t="shared" si="20"/>
        <v>0</v>
      </c>
      <c r="BL178" s="132">
        <f t="shared" si="20"/>
        <v>0</v>
      </c>
      <c r="BM178" s="132">
        <f t="shared" si="20"/>
        <v>0</v>
      </c>
      <c r="BN178" s="132">
        <f t="shared" si="20"/>
        <v>0</v>
      </c>
      <c r="BO178" s="132">
        <f t="shared" ref="BO178:DZ178" si="21">SUBTOTAL(9,BO2:BO150)</f>
        <v>10</v>
      </c>
      <c r="BP178" s="132">
        <f t="shared" si="21"/>
        <v>0</v>
      </c>
      <c r="BQ178" s="132">
        <f t="shared" si="21"/>
        <v>0</v>
      </c>
      <c r="BR178" s="132">
        <f t="shared" si="21"/>
        <v>210</v>
      </c>
      <c r="BS178" s="132">
        <f t="shared" si="21"/>
        <v>0</v>
      </c>
      <c r="BT178" s="132">
        <f t="shared" si="21"/>
        <v>0</v>
      </c>
      <c r="BU178" s="132">
        <f t="shared" si="21"/>
        <v>0</v>
      </c>
      <c r="BV178" s="132">
        <f t="shared" si="21"/>
        <v>0</v>
      </c>
      <c r="BW178" s="132">
        <f t="shared" si="21"/>
        <v>0</v>
      </c>
      <c r="BX178" s="132">
        <f t="shared" si="21"/>
        <v>0</v>
      </c>
      <c r="BY178" s="132">
        <f t="shared" si="21"/>
        <v>0</v>
      </c>
      <c r="BZ178" s="132">
        <f t="shared" si="21"/>
        <v>0</v>
      </c>
      <c r="CA178" s="132">
        <f t="shared" si="21"/>
        <v>0</v>
      </c>
      <c r="CB178" s="132">
        <f t="shared" si="21"/>
        <v>0</v>
      </c>
      <c r="CC178" s="132">
        <f t="shared" si="21"/>
        <v>0</v>
      </c>
      <c r="CD178" s="132">
        <f t="shared" si="21"/>
        <v>0</v>
      </c>
      <c r="CE178" s="132">
        <f t="shared" si="21"/>
        <v>0</v>
      </c>
      <c r="CF178" s="132">
        <f t="shared" si="21"/>
        <v>7</v>
      </c>
      <c r="CG178" s="132">
        <f t="shared" si="21"/>
        <v>0</v>
      </c>
      <c r="CH178" s="132">
        <f t="shared" si="21"/>
        <v>0</v>
      </c>
      <c r="CI178" s="132">
        <f t="shared" si="21"/>
        <v>0</v>
      </c>
      <c r="CJ178" s="132">
        <f t="shared" si="21"/>
        <v>0</v>
      </c>
      <c r="CK178" s="132">
        <f t="shared" si="21"/>
        <v>0</v>
      </c>
      <c r="CL178" s="132">
        <f t="shared" si="21"/>
        <v>0</v>
      </c>
      <c r="CM178" s="132">
        <f t="shared" si="21"/>
        <v>0</v>
      </c>
      <c r="CN178" s="132">
        <f t="shared" si="21"/>
        <v>0</v>
      </c>
      <c r="CO178" s="132">
        <f t="shared" si="21"/>
        <v>0</v>
      </c>
      <c r="CP178" s="132">
        <f t="shared" si="21"/>
        <v>0</v>
      </c>
      <c r="CQ178" s="132">
        <f t="shared" si="21"/>
        <v>0</v>
      </c>
      <c r="CR178" s="132">
        <f t="shared" si="21"/>
        <v>0</v>
      </c>
      <c r="CS178" s="132">
        <f t="shared" si="21"/>
        <v>0</v>
      </c>
      <c r="CT178" s="132">
        <f t="shared" si="21"/>
        <v>0</v>
      </c>
      <c r="CU178" s="132">
        <f t="shared" si="21"/>
        <v>0</v>
      </c>
      <c r="CV178" s="132">
        <f t="shared" si="21"/>
        <v>0</v>
      </c>
      <c r="CW178" s="132">
        <f t="shared" si="21"/>
        <v>0</v>
      </c>
      <c r="CX178" s="132">
        <f t="shared" si="21"/>
        <v>0</v>
      </c>
      <c r="CY178" s="132">
        <f t="shared" si="21"/>
        <v>0</v>
      </c>
      <c r="CZ178" s="132">
        <f t="shared" si="21"/>
        <v>0</v>
      </c>
      <c r="DA178" s="132">
        <f t="shared" si="21"/>
        <v>0</v>
      </c>
      <c r="DB178" s="132">
        <f t="shared" si="21"/>
        <v>110</v>
      </c>
      <c r="DC178" s="132">
        <f t="shared" si="21"/>
        <v>0</v>
      </c>
      <c r="DD178" s="132">
        <f t="shared" si="21"/>
        <v>0</v>
      </c>
      <c r="DE178" s="132">
        <f t="shared" si="21"/>
        <v>0</v>
      </c>
      <c r="DF178" s="132">
        <f t="shared" si="21"/>
        <v>20</v>
      </c>
      <c r="DG178" s="132">
        <f t="shared" si="21"/>
        <v>0</v>
      </c>
      <c r="DH178" s="132">
        <f t="shared" si="21"/>
        <v>0</v>
      </c>
      <c r="DI178" s="132">
        <f t="shared" si="21"/>
        <v>0</v>
      </c>
      <c r="DJ178" s="132">
        <f t="shared" si="21"/>
        <v>0</v>
      </c>
      <c r="DK178" s="132">
        <f t="shared" si="21"/>
        <v>0</v>
      </c>
      <c r="DL178" s="132">
        <f t="shared" si="21"/>
        <v>0</v>
      </c>
      <c r="DM178" s="132">
        <f t="shared" si="21"/>
        <v>0</v>
      </c>
      <c r="DN178" s="132">
        <f t="shared" si="21"/>
        <v>0</v>
      </c>
      <c r="DO178" s="132">
        <f t="shared" si="21"/>
        <v>0</v>
      </c>
      <c r="DP178" s="132">
        <f t="shared" si="21"/>
        <v>0</v>
      </c>
      <c r="DQ178" s="132">
        <f t="shared" si="21"/>
        <v>0</v>
      </c>
      <c r="DR178" s="132">
        <f t="shared" si="21"/>
        <v>0</v>
      </c>
      <c r="DS178" s="132">
        <f t="shared" si="21"/>
        <v>0</v>
      </c>
      <c r="DT178" s="132">
        <f t="shared" si="21"/>
        <v>0</v>
      </c>
      <c r="DU178" s="132">
        <f t="shared" si="21"/>
        <v>0</v>
      </c>
      <c r="DV178" s="132">
        <f t="shared" si="21"/>
        <v>0</v>
      </c>
      <c r="DW178" s="132">
        <f t="shared" si="21"/>
        <v>0</v>
      </c>
      <c r="DX178" s="132">
        <f t="shared" si="21"/>
        <v>0</v>
      </c>
      <c r="DY178" s="132">
        <f t="shared" si="21"/>
        <v>0</v>
      </c>
      <c r="DZ178" s="132">
        <f t="shared" si="21"/>
        <v>0</v>
      </c>
      <c r="EA178" s="132">
        <f t="shared" ref="EA178:GL178" si="22">SUBTOTAL(9,EA2:EA150)</f>
        <v>20</v>
      </c>
      <c r="EB178" s="132">
        <f t="shared" si="22"/>
        <v>0</v>
      </c>
      <c r="EC178" s="132">
        <f t="shared" si="22"/>
        <v>0</v>
      </c>
      <c r="ED178" s="132">
        <f t="shared" si="22"/>
        <v>0</v>
      </c>
      <c r="EE178" s="132">
        <f t="shared" si="22"/>
        <v>0</v>
      </c>
      <c r="EF178" s="132">
        <f t="shared" si="22"/>
        <v>0</v>
      </c>
      <c r="EG178" s="132">
        <f t="shared" si="22"/>
        <v>0</v>
      </c>
      <c r="EH178" s="132">
        <f t="shared" si="22"/>
        <v>0</v>
      </c>
      <c r="EI178" s="132">
        <f t="shared" si="22"/>
        <v>0</v>
      </c>
      <c r="EJ178" s="132">
        <f t="shared" si="22"/>
        <v>0</v>
      </c>
      <c r="EK178" s="132">
        <f t="shared" si="22"/>
        <v>0</v>
      </c>
      <c r="EL178" s="132">
        <f t="shared" si="22"/>
        <v>0</v>
      </c>
      <c r="EM178" s="132">
        <f t="shared" si="22"/>
        <v>0</v>
      </c>
      <c r="EN178" s="132">
        <f t="shared" si="22"/>
        <v>0</v>
      </c>
      <c r="EO178" s="132">
        <f t="shared" si="22"/>
        <v>32</v>
      </c>
      <c r="EP178" s="132">
        <f t="shared" si="22"/>
        <v>0</v>
      </c>
      <c r="EQ178" s="132">
        <f t="shared" si="22"/>
        <v>0</v>
      </c>
      <c r="ER178" s="132">
        <f t="shared" si="22"/>
        <v>0</v>
      </c>
      <c r="ES178" s="132">
        <f t="shared" si="22"/>
        <v>0</v>
      </c>
      <c r="ET178" s="132">
        <f t="shared" si="22"/>
        <v>10</v>
      </c>
      <c r="EU178" s="132">
        <f t="shared" si="22"/>
        <v>0</v>
      </c>
      <c r="EV178" s="132">
        <f t="shared" si="22"/>
        <v>10</v>
      </c>
      <c r="EW178" s="132">
        <f t="shared" si="22"/>
        <v>0</v>
      </c>
      <c r="EX178" s="132">
        <f t="shared" si="22"/>
        <v>0</v>
      </c>
      <c r="EY178" s="132">
        <f t="shared" si="22"/>
        <v>0</v>
      </c>
      <c r="EZ178" s="132">
        <f t="shared" si="22"/>
        <v>0</v>
      </c>
      <c r="FA178" s="132">
        <f t="shared" si="22"/>
        <v>0</v>
      </c>
      <c r="FB178" s="132">
        <f t="shared" si="22"/>
        <v>120</v>
      </c>
      <c r="FC178" s="132">
        <f t="shared" si="22"/>
        <v>0</v>
      </c>
      <c r="FD178" s="132">
        <f t="shared" si="22"/>
        <v>0</v>
      </c>
      <c r="FE178" s="132">
        <f t="shared" si="22"/>
        <v>2</v>
      </c>
      <c r="FF178" s="132">
        <f t="shared" si="22"/>
        <v>0</v>
      </c>
      <c r="FG178" s="132">
        <f t="shared" si="22"/>
        <v>0</v>
      </c>
      <c r="FH178" s="132">
        <f t="shared" si="22"/>
        <v>0</v>
      </c>
      <c r="FI178" s="132">
        <f t="shared" si="22"/>
        <v>0</v>
      </c>
      <c r="FJ178" s="132">
        <f t="shared" si="22"/>
        <v>0</v>
      </c>
      <c r="FK178" s="132">
        <f t="shared" si="22"/>
        <v>0</v>
      </c>
      <c r="FL178" s="132">
        <f t="shared" si="22"/>
        <v>10</v>
      </c>
      <c r="FM178" s="132">
        <f t="shared" si="22"/>
        <v>0</v>
      </c>
      <c r="FN178" s="132">
        <f t="shared" si="22"/>
        <v>0</v>
      </c>
      <c r="FO178" s="132">
        <f t="shared" si="22"/>
        <v>30</v>
      </c>
      <c r="FP178" s="132">
        <f t="shared" si="22"/>
        <v>0</v>
      </c>
      <c r="FQ178" s="132">
        <f t="shared" si="22"/>
        <v>0</v>
      </c>
      <c r="FR178" s="132">
        <f t="shared" si="22"/>
        <v>0</v>
      </c>
      <c r="FS178" s="132">
        <f t="shared" si="22"/>
        <v>0</v>
      </c>
      <c r="FT178" s="132">
        <f t="shared" si="22"/>
        <v>0</v>
      </c>
      <c r="FU178" s="132">
        <f t="shared" si="22"/>
        <v>0</v>
      </c>
      <c r="FV178" s="132">
        <f t="shared" si="22"/>
        <v>0</v>
      </c>
      <c r="FW178" s="132">
        <f t="shared" si="22"/>
        <v>0</v>
      </c>
      <c r="FX178" s="132">
        <f t="shared" si="22"/>
        <v>0</v>
      </c>
      <c r="FY178" s="132">
        <f t="shared" si="22"/>
        <v>0</v>
      </c>
      <c r="FZ178" s="132">
        <f t="shared" si="22"/>
        <v>0</v>
      </c>
      <c r="GA178" s="132">
        <f t="shared" si="22"/>
        <v>0</v>
      </c>
      <c r="GB178" s="132">
        <f t="shared" si="22"/>
        <v>0</v>
      </c>
      <c r="GC178" s="132">
        <f t="shared" si="22"/>
        <v>0</v>
      </c>
      <c r="GD178" s="132">
        <f t="shared" si="22"/>
        <v>0</v>
      </c>
      <c r="GE178" s="132">
        <f t="shared" si="22"/>
        <v>0</v>
      </c>
      <c r="GF178" s="132">
        <f t="shared" si="22"/>
        <v>0</v>
      </c>
      <c r="GG178" s="132">
        <f t="shared" si="22"/>
        <v>0</v>
      </c>
      <c r="GH178" s="132">
        <f t="shared" si="22"/>
        <v>0</v>
      </c>
      <c r="GI178" s="132">
        <f t="shared" si="22"/>
        <v>0</v>
      </c>
      <c r="GJ178" s="132">
        <f t="shared" si="22"/>
        <v>0</v>
      </c>
      <c r="GK178" s="132">
        <f t="shared" si="22"/>
        <v>0</v>
      </c>
      <c r="GL178" s="132">
        <f t="shared" si="22"/>
        <v>0</v>
      </c>
      <c r="GM178" s="132">
        <f t="shared" ref="GM178:IX178" si="23">SUBTOTAL(9,GM2:GM150)</f>
        <v>0</v>
      </c>
      <c r="GN178" s="132">
        <f t="shared" si="23"/>
        <v>0</v>
      </c>
      <c r="GO178" s="132">
        <f t="shared" si="23"/>
        <v>0</v>
      </c>
      <c r="GP178" s="132">
        <f t="shared" si="23"/>
        <v>105</v>
      </c>
      <c r="GQ178" s="132">
        <f t="shared" si="23"/>
        <v>0</v>
      </c>
      <c r="GR178" s="132">
        <f t="shared" si="23"/>
        <v>0</v>
      </c>
      <c r="GS178" s="132">
        <f t="shared" si="23"/>
        <v>0</v>
      </c>
      <c r="GT178" s="132">
        <f t="shared" si="23"/>
        <v>0</v>
      </c>
      <c r="GU178" s="132">
        <f t="shared" si="23"/>
        <v>30</v>
      </c>
      <c r="GV178" s="132">
        <f t="shared" si="23"/>
        <v>0</v>
      </c>
      <c r="GW178" s="132">
        <f t="shared" si="23"/>
        <v>0</v>
      </c>
      <c r="GX178" s="132">
        <f t="shared" si="23"/>
        <v>0</v>
      </c>
      <c r="GY178" s="132">
        <f t="shared" si="23"/>
        <v>9</v>
      </c>
      <c r="GZ178" s="132">
        <f t="shared" si="23"/>
        <v>0</v>
      </c>
      <c r="HA178" s="132">
        <f t="shared" si="23"/>
        <v>0</v>
      </c>
      <c r="HB178" s="132">
        <f t="shared" si="23"/>
        <v>0</v>
      </c>
      <c r="HC178" s="132">
        <f t="shared" si="23"/>
        <v>0</v>
      </c>
      <c r="HD178" s="132">
        <f t="shared" si="23"/>
        <v>0</v>
      </c>
      <c r="HE178" s="132">
        <f t="shared" si="23"/>
        <v>0</v>
      </c>
      <c r="HF178" s="132">
        <f t="shared" si="23"/>
        <v>0</v>
      </c>
      <c r="HG178" s="132">
        <f t="shared" si="23"/>
        <v>0</v>
      </c>
      <c r="HH178" s="132">
        <f t="shared" si="23"/>
        <v>0</v>
      </c>
      <c r="HI178" s="132">
        <f t="shared" si="23"/>
        <v>0</v>
      </c>
      <c r="HJ178" s="132">
        <f t="shared" si="23"/>
        <v>33</v>
      </c>
      <c r="HK178" s="132">
        <f t="shared" si="23"/>
        <v>0</v>
      </c>
      <c r="HL178" s="132">
        <f t="shared" si="23"/>
        <v>0</v>
      </c>
      <c r="HM178" s="132">
        <f t="shared" si="23"/>
        <v>0</v>
      </c>
      <c r="HN178" s="132">
        <f t="shared" si="23"/>
        <v>30</v>
      </c>
      <c r="HO178" s="132">
        <f t="shared" si="23"/>
        <v>0</v>
      </c>
      <c r="HP178" s="132">
        <f t="shared" si="23"/>
        <v>0</v>
      </c>
      <c r="HQ178" s="132">
        <f t="shared" si="23"/>
        <v>0</v>
      </c>
      <c r="HR178" s="132">
        <f t="shared" si="23"/>
        <v>2</v>
      </c>
      <c r="HS178" s="132">
        <f t="shared" si="23"/>
        <v>0</v>
      </c>
      <c r="HT178" s="132">
        <f t="shared" si="23"/>
        <v>0</v>
      </c>
      <c r="HU178" s="132">
        <f t="shared" si="23"/>
        <v>0</v>
      </c>
      <c r="HV178" s="132">
        <f t="shared" si="23"/>
        <v>0</v>
      </c>
      <c r="HW178" s="132">
        <f t="shared" si="23"/>
        <v>0</v>
      </c>
      <c r="HX178" s="132">
        <f t="shared" si="23"/>
        <v>0</v>
      </c>
      <c r="HY178" s="132">
        <f t="shared" si="23"/>
        <v>0</v>
      </c>
      <c r="HZ178" s="132">
        <f t="shared" si="23"/>
        <v>0</v>
      </c>
      <c r="IA178" s="132">
        <f t="shared" si="23"/>
        <v>0</v>
      </c>
      <c r="IB178" s="132">
        <f t="shared" si="23"/>
        <v>0</v>
      </c>
      <c r="IC178" s="132">
        <f t="shared" si="23"/>
        <v>0</v>
      </c>
      <c r="ID178" s="132">
        <f t="shared" si="23"/>
        <v>0</v>
      </c>
      <c r="IE178" s="132">
        <f t="shared" si="23"/>
        <v>0</v>
      </c>
      <c r="IF178" s="132">
        <f t="shared" si="23"/>
        <v>0</v>
      </c>
      <c r="IG178" s="132">
        <f t="shared" si="23"/>
        <v>0</v>
      </c>
      <c r="IH178" s="132">
        <f t="shared" si="23"/>
        <v>0</v>
      </c>
      <c r="II178" s="132">
        <f t="shared" si="23"/>
        <v>0</v>
      </c>
      <c r="IJ178" s="132">
        <f t="shared" si="23"/>
        <v>0</v>
      </c>
      <c r="IK178" s="132">
        <f t="shared" si="23"/>
        <v>0</v>
      </c>
      <c r="IL178" s="132">
        <f t="shared" si="23"/>
        <v>0</v>
      </c>
      <c r="IM178" s="132">
        <f t="shared" si="23"/>
        <v>0</v>
      </c>
      <c r="IN178" s="132">
        <f t="shared" si="23"/>
        <v>0</v>
      </c>
      <c r="IO178" s="132">
        <f t="shared" si="23"/>
        <v>0</v>
      </c>
      <c r="IP178" s="132">
        <f t="shared" si="23"/>
        <v>0</v>
      </c>
      <c r="IQ178" s="132">
        <f t="shared" si="23"/>
        <v>0</v>
      </c>
      <c r="IR178" s="132">
        <f t="shared" si="23"/>
        <v>0</v>
      </c>
      <c r="IS178" s="132">
        <f t="shared" si="23"/>
        <v>0</v>
      </c>
      <c r="IT178" s="132">
        <f t="shared" si="23"/>
        <v>0</v>
      </c>
      <c r="IU178" s="132">
        <f t="shared" si="23"/>
        <v>0</v>
      </c>
      <c r="IV178" s="132">
        <f t="shared" si="23"/>
        <v>0</v>
      </c>
      <c r="IW178" s="132">
        <f t="shared" si="23"/>
        <v>0</v>
      </c>
      <c r="IX178" s="132">
        <f t="shared" si="23"/>
        <v>0</v>
      </c>
      <c r="IY178" s="132">
        <f t="shared" ref="IY178:LJ178" si="24">SUBTOTAL(9,IY2:IY150)</f>
        <v>0</v>
      </c>
      <c r="IZ178" s="132">
        <f t="shared" si="24"/>
        <v>1.8</v>
      </c>
      <c r="JA178" s="132">
        <f t="shared" si="24"/>
        <v>0</v>
      </c>
      <c r="JB178" s="132">
        <f t="shared" si="24"/>
        <v>0</v>
      </c>
      <c r="JC178" s="132">
        <f t="shared" si="24"/>
        <v>0</v>
      </c>
      <c r="JD178" s="132">
        <f t="shared" si="24"/>
        <v>0</v>
      </c>
      <c r="JE178" s="132">
        <f t="shared" si="24"/>
        <v>0</v>
      </c>
      <c r="JF178" s="132">
        <f t="shared" si="24"/>
        <v>0</v>
      </c>
      <c r="JG178" s="132">
        <f t="shared" si="24"/>
        <v>0</v>
      </c>
      <c r="JH178" s="132">
        <f t="shared" si="24"/>
        <v>0</v>
      </c>
      <c r="JI178" s="132">
        <f t="shared" si="24"/>
        <v>0</v>
      </c>
      <c r="JJ178" s="132">
        <f t="shared" si="24"/>
        <v>0</v>
      </c>
      <c r="JK178" s="132">
        <f t="shared" si="24"/>
        <v>0</v>
      </c>
      <c r="JL178" s="132">
        <f t="shared" si="24"/>
        <v>150</v>
      </c>
      <c r="JM178" s="132">
        <f t="shared" si="24"/>
        <v>0</v>
      </c>
      <c r="JN178" s="132">
        <f t="shared" si="24"/>
        <v>0</v>
      </c>
      <c r="JO178" s="132">
        <f t="shared" si="24"/>
        <v>0</v>
      </c>
      <c r="JP178" s="132">
        <f t="shared" si="24"/>
        <v>0</v>
      </c>
      <c r="JQ178" s="132">
        <f t="shared" si="24"/>
        <v>10</v>
      </c>
      <c r="JR178" s="132">
        <f t="shared" si="24"/>
        <v>0</v>
      </c>
      <c r="JS178" s="132">
        <f t="shared" si="24"/>
        <v>0</v>
      </c>
      <c r="JT178" s="132">
        <f t="shared" si="24"/>
        <v>0</v>
      </c>
      <c r="JU178" s="132">
        <f t="shared" si="24"/>
        <v>0</v>
      </c>
      <c r="JV178" s="132">
        <f t="shared" si="24"/>
        <v>1</v>
      </c>
      <c r="JW178" s="132">
        <f t="shared" si="24"/>
        <v>2</v>
      </c>
      <c r="JX178" s="132">
        <f t="shared" si="24"/>
        <v>0</v>
      </c>
      <c r="JY178" s="132">
        <f t="shared" si="24"/>
        <v>0</v>
      </c>
      <c r="JZ178" s="132">
        <f t="shared" si="24"/>
        <v>0</v>
      </c>
      <c r="KA178" s="132">
        <f t="shared" si="24"/>
        <v>0</v>
      </c>
      <c r="KB178" s="132">
        <f t="shared" si="24"/>
        <v>0</v>
      </c>
      <c r="KC178" s="132">
        <f t="shared" si="24"/>
        <v>0</v>
      </c>
      <c r="KD178" s="132">
        <f t="shared" si="24"/>
        <v>0</v>
      </c>
      <c r="KE178" s="132">
        <f t="shared" si="24"/>
        <v>0</v>
      </c>
      <c r="KF178" s="132">
        <f t="shared" si="24"/>
        <v>0</v>
      </c>
      <c r="KG178" s="132">
        <f t="shared" si="24"/>
        <v>0</v>
      </c>
      <c r="KH178" s="132">
        <f t="shared" si="24"/>
        <v>0</v>
      </c>
      <c r="KI178" s="132">
        <f t="shared" si="24"/>
        <v>0</v>
      </c>
      <c r="KJ178" s="132">
        <f t="shared" si="24"/>
        <v>0</v>
      </c>
      <c r="KK178" s="132">
        <f t="shared" si="24"/>
        <v>0</v>
      </c>
      <c r="KL178" s="132">
        <f t="shared" si="24"/>
        <v>0</v>
      </c>
      <c r="KM178" s="132">
        <f t="shared" si="24"/>
        <v>0</v>
      </c>
      <c r="KN178" s="132">
        <f t="shared" si="24"/>
        <v>0</v>
      </c>
      <c r="KO178" s="132">
        <f t="shared" si="24"/>
        <v>0</v>
      </c>
      <c r="KP178" s="132">
        <f t="shared" si="24"/>
        <v>0</v>
      </c>
      <c r="KQ178" s="132">
        <f t="shared" si="24"/>
        <v>0</v>
      </c>
      <c r="KR178" s="132">
        <f t="shared" si="24"/>
        <v>0</v>
      </c>
      <c r="KS178" s="132">
        <f t="shared" si="24"/>
        <v>0</v>
      </c>
      <c r="KT178" s="132">
        <f t="shared" si="24"/>
        <v>0</v>
      </c>
      <c r="KU178" s="132">
        <f t="shared" si="24"/>
        <v>0</v>
      </c>
      <c r="KV178" s="132">
        <f t="shared" si="24"/>
        <v>0</v>
      </c>
      <c r="KW178" s="132">
        <f t="shared" si="24"/>
        <v>0</v>
      </c>
      <c r="KX178" s="132">
        <f t="shared" si="24"/>
        <v>0</v>
      </c>
      <c r="KY178" s="132">
        <f t="shared" si="24"/>
        <v>0</v>
      </c>
      <c r="KZ178" s="132">
        <f t="shared" si="24"/>
        <v>0</v>
      </c>
      <c r="LA178" s="132">
        <f t="shared" si="24"/>
        <v>0</v>
      </c>
      <c r="LB178" s="132">
        <f t="shared" si="24"/>
        <v>0</v>
      </c>
      <c r="LC178" s="132">
        <f t="shared" si="24"/>
        <v>0</v>
      </c>
      <c r="LD178" s="132">
        <f t="shared" si="24"/>
        <v>0</v>
      </c>
      <c r="LE178" s="132">
        <f t="shared" si="24"/>
        <v>0</v>
      </c>
      <c r="LF178" s="132">
        <f t="shared" si="24"/>
        <v>0</v>
      </c>
      <c r="LG178" s="132">
        <f t="shared" si="24"/>
        <v>0</v>
      </c>
      <c r="LH178" s="132">
        <f t="shared" si="24"/>
        <v>0</v>
      </c>
      <c r="LI178" s="132">
        <f t="shared" si="24"/>
        <v>0</v>
      </c>
      <c r="LJ178" s="132">
        <f t="shared" si="24"/>
        <v>0</v>
      </c>
      <c r="LK178" s="132">
        <f t="shared" ref="LK178:NU178" si="25">SUBTOTAL(9,LK2:LK150)</f>
        <v>0</v>
      </c>
      <c r="LL178" s="132">
        <f t="shared" si="25"/>
        <v>0</v>
      </c>
      <c r="LM178" s="132">
        <f t="shared" si="25"/>
        <v>0</v>
      </c>
      <c r="LN178" s="132">
        <f t="shared" si="25"/>
        <v>0</v>
      </c>
      <c r="LO178" s="132">
        <f t="shared" si="25"/>
        <v>0</v>
      </c>
      <c r="LP178" s="132">
        <f t="shared" si="25"/>
        <v>0</v>
      </c>
      <c r="LQ178" s="132">
        <f t="shared" si="25"/>
        <v>0</v>
      </c>
      <c r="LR178" s="132">
        <f t="shared" si="25"/>
        <v>0</v>
      </c>
      <c r="LS178" s="132">
        <f t="shared" si="25"/>
        <v>0</v>
      </c>
      <c r="LT178" s="132">
        <f t="shared" si="25"/>
        <v>0</v>
      </c>
      <c r="LU178" s="132">
        <f t="shared" si="25"/>
        <v>0</v>
      </c>
      <c r="LV178" s="132">
        <f t="shared" si="25"/>
        <v>0</v>
      </c>
      <c r="LW178" s="132">
        <f t="shared" si="25"/>
        <v>0</v>
      </c>
      <c r="LX178" s="132">
        <f t="shared" si="25"/>
        <v>0</v>
      </c>
      <c r="LY178" s="132">
        <f t="shared" si="25"/>
        <v>0</v>
      </c>
      <c r="LZ178" s="132">
        <f t="shared" si="25"/>
        <v>0</v>
      </c>
      <c r="MA178" s="132">
        <f t="shared" si="25"/>
        <v>0</v>
      </c>
      <c r="MB178" s="132">
        <f t="shared" si="25"/>
        <v>0</v>
      </c>
      <c r="MC178" s="132">
        <f t="shared" si="25"/>
        <v>0</v>
      </c>
      <c r="MD178" s="132">
        <f t="shared" si="25"/>
        <v>0</v>
      </c>
      <c r="ME178" s="132">
        <f t="shared" si="25"/>
        <v>0</v>
      </c>
      <c r="MF178" s="132">
        <f t="shared" si="25"/>
        <v>0</v>
      </c>
      <c r="MG178" s="132">
        <f t="shared" si="25"/>
        <v>0</v>
      </c>
      <c r="MH178" s="132">
        <f t="shared" si="25"/>
        <v>0</v>
      </c>
      <c r="MI178" s="132">
        <f t="shared" si="25"/>
        <v>0</v>
      </c>
      <c r="MJ178" s="132">
        <f t="shared" si="25"/>
        <v>0</v>
      </c>
      <c r="MK178" s="132">
        <f t="shared" si="25"/>
        <v>0</v>
      </c>
      <c r="ML178" s="132">
        <f t="shared" si="25"/>
        <v>0</v>
      </c>
      <c r="MM178" s="132">
        <f t="shared" si="25"/>
        <v>0</v>
      </c>
      <c r="MN178" s="132">
        <f t="shared" si="25"/>
        <v>0</v>
      </c>
      <c r="MO178" s="132">
        <f t="shared" si="25"/>
        <v>0</v>
      </c>
      <c r="MP178" s="132">
        <f t="shared" si="25"/>
        <v>0</v>
      </c>
      <c r="MQ178" s="132">
        <f t="shared" si="25"/>
        <v>55</v>
      </c>
      <c r="MR178" s="132">
        <f t="shared" si="25"/>
        <v>0</v>
      </c>
      <c r="MS178" s="132">
        <f t="shared" si="25"/>
        <v>0</v>
      </c>
      <c r="MT178" s="132">
        <f t="shared" si="25"/>
        <v>0</v>
      </c>
      <c r="MU178" s="132">
        <f t="shared" si="25"/>
        <v>0</v>
      </c>
      <c r="MV178" s="132">
        <f t="shared" si="25"/>
        <v>0</v>
      </c>
      <c r="MW178" s="132">
        <f t="shared" si="25"/>
        <v>0</v>
      </c>
      <c r="MX178" s="132">
        <f t="shared" si="25"/>
        <v>0</v>
      </c>
      <c r="MY178" s="132">
        <f t="shared" si="25"/>
        <v>0</v>
      </c>
      <c r="MZ178" s="132">
        <f t="shared" si="25"/>
        <v>0</v>
      </c>
      <c r="NA178" s="132">
        <f t="shared" si="25"/>
        <v>0</v>
      </c>
      <c r="NB178" s="132">
        <f t="shared" si="25"/>
        <v>0</v>
      </c>
      <c r="NC178" s="132">
        <f t="shared" si="25"/>
        <v>0</v>
      </c>
      <c r="ND178" s="132">
        <f t="shared" si="25"/>
        <v>0</v>
      </c>
      <c r="NE178" s="132">
        <f t="shared" si="25"/>
        <v>0</v>
      </c>
      <c r="NF178" s="132">
        <f t="shared" si="25"/>
        <v>0</v>
      </c>
      <c r="NG178" s="132">
        <f t="shared" si="25"/>
        <v>0</v>
      </c>
      <c r="NH178" s="132">
        <f t="shared" si="25"/>
        <v>0</v>
      </c>
      <c r="NI178" s="132">
        <f t="shared" si="25"/>
        <v>0</v>
      </c>
      <c r="NJ178" s="132">
        <f t="shared" si="25"/>
        <v>0</v>
      </c>
      <c r="NK178" s="132">
        <f t="shared" si="25"/>
        <v>0</v>
      </c>
      <c r="NL178" s="132">
        <f t="shared" si="25"/>
        <v>0</v>
      </c>
      <c r="NM178" s="132">
        <f t="shared" si="25"/>
        <v>0</v>
      </c>
      <c r="NN178" s="132">
        <f t="shared" si="25"/>
        <v>0</v>
      </c>
      <c r="NO178" s="132">
        <f t="shared" si="25"/>
        <v>0</v>
      </c>
      <c r="NP178" s="132">
        <f t="shared" si="25"/>
        <v>0</v>
      </c>
      <c r="NQ178" s="132">
        <f t="shared" si="25"/>
        <v>0</v>
      </c>
      <c r="NR178" s="132">
        <f t="shared" si="25"/>
        <v>0</v>
      </c>
      <c r="NS178" s="132">
        <f t="shared" si="25"/>
        <v>200</v>
      </c>
      <c r="NT178" s="132">
        <f t="shared" si="25"/>
        <v>0</v>
      </c>
      <c r="NU178" s="132">
        <f t="shared" si="25"/>
        <v>0</v>
      </c>
      <c r="NV178" s="132">
        <f>SUBTOTAL(9,NV2:NV150)</f>
        <v>0</v>
      </c>
      <c r="NW178" s="24"/>
      <c r="NX178" s="51"/>
      <c r="NY178" s="164">
        <f>SUM(NY130:NY176)</f>
        <v>98815.470000000016</v>
      </c>
      <c r="NZ178" s="164"/>
      <c r="OA178" s="164"/>
      <c r="OB178" s="165">
        <f>SUM(OB2:OB176)</f>
        <v>366796.20999999996</v>
      </c>
      <c r="OC178" s="107">
        <f>SUM(OC2:OC176)</f>
        <v>130437.65000000001</v>
      </c>
      <c r="OD178" s="41"/>
      <c r="OE178" s="5"/>
    </row>
    <row r="179" spans="1:395" s="32" customFormat="1" ht="12" hidden="1" customHeight="1" x14ac:dyDescent="0.25">
      <c r="A179" s="140"/>
      <c r="B179" s="141"/>
      <c r="C179" s="142"/>
      <c r="D179" s="142"/>
      <c r="E179" s="142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3"/>
      <c r="T179" s="143"/>
      <c r="U179" s="143"/>
      <c r="V179" s="143"/>
      <c r="W179" s="143"/>
      <c r="X179" s="143"/>
      <c r="Y179" s="143"/>
      <c r="Z179" s="143"/>
      <c r="AA179" s="143"/>
      <c r="AB179" s="143"/>
      <c r="AC179" s="143"/>
      <c r="AD179" s="143"/>
      <c r="AE179" s="143"/>
      <c r="AF179" s="143"/>
      <c r="AG179" s="143"/>
      <c r="AH179" s="143"/>
      <c r="AI179" s="143"/>
      <c r="AJ179" s="142"/>
      <c r="AK179" s="142"/>
      <c r="AL179" s="142"/>
      <c r="AM179" s="142"/>
      <c r="AN179" s="142"/>
      <c r="AO179" s="142"/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  <c r="BE179" s="142"/>
      <c r="BF179" s="142"/>
      <c r="BG179" s="142"/>
      <c r="BH179" s="142"/>
      <c r="BI179" s="142"/>
      <c r="BJ179" s="142"/>
      <c r="BK179" s="142"/>
      <c r="BL179" s="142"/>
      <c r="BM179" s="142"/>
      <c r="BN179" s="142"/>
      <c r="BO179" s="142"/>
      <c r="BP179" s="142"/>
      <c r="BQ179" s="142"/>
      <c r="BR179" s="142"/>
      <c r="BS179" s="142"/>
      <c r="BT179" s="142"/>
      <c r="BU179" s="142"/>
      <c r="BV179" s="142"/>
      <c r="BW179" s="142"/>
      <c r="BX179" s="142"/>
      <c r="BY179" s="142"/>
      <c r="BZ179" s="142"/>
      <c r="CA179" s="142"/>
      <c r="CB179" s="142"/>
      <c r="CC179" s="142"/>
      <c r="CD179" s="142"/>
      <c r="CE179" s="142"/>
      <c r="CF179" s="142"/>
      <c r="CG179" s="142"/>
      <c r="CH179" s="142"/>
      <c r="CI179" s="142"/>
      <c r="CJ179" s="142"/>
      <c r="CK179" s="142"/>
      <c r="CL179" s="142"/>
      <c r="CM179" s="142"/>
      <c r="CN179" s="142"/>
      <c r="CO179" s="142"/>
      <c r="CP179" s="142"/>
      <c r="CQ179" s="142"/>
      <c r="CR179" s="142"/>
      <c r="CS179" s="142"/>
      <c r="CT179" s="143"/>
      <c r="CU179" s="142"/>
      <c r="CV179" s="142"/>
      <c r="CW179" s="142"/>
      <c r="CX179" s="142"/>
      <c r="CY179" s="142"/>
      <c r="CZ179" s="142"/>
      <c r="DA179" s="142"/>
      <c r="DB179" s="142"/>
      <c r="DC179" s="142"/>
      <c r="DD179" s="142"/>
      <c r="DE179" s="142"/>
      <c r="DF179" s="142"/>
      <c r="DG179" s="142"/>
      <c r="DH179" s="142"/>
      <c r="DI179" s="142"/>
      <c r="DJ179" s="142"/>
      <c r="DK179" s="142"/>
      <c r="DL179" s="142"/>
      <c r="DM179" s="142"/>
      <c r="DN179" s="142"/>
      <c r="DO179" s="142"/>
      <c r="DP179" s="142"/>
      <c r="DQ179" s="142"/>
      <c r="DR179" s="142"/>
      <c r="DS179" s="142"/>
      <c r="DT179" s="142"/>
      <c r="DU179" s="142"/>
      <c r="DV179" s="142"/>
      <c r="DW179" s="142"/>
      <c r="DX179" s="142"/>
      <c r="DY179" s="142"/>
      <c r="DZ179" s="142"/>
      <c r="EA179" s="142"/>
      <c r="EB179" s="142"/>
      <c r="EC179" s="142"/>
      <c r="ED179" s="142"/>
      <c r="EE179" s="142"/>
      <c r="EF179" s="142"/>
      <c r="EG179" s="142"/>
      <c r="EH179" s="142"/>
      <c r="EI179" s="142"/>
      <c r="EJ179" s="142"/>
      <c r="EK179" s="142"/>
      <c r="EL179" s="142"/>
      <c r="EM179" s="143"/>
      <c r="EN179" s="143"/>
      <c r="EO179" s="143"/>
      <c r="EP179" s="142"/>
      <c r="EQ179" s="142"/>
      <c r="ER179" s="142"/>
      <c r="ES179" s="142"/>
      <c r="ET179" s="142"/>
      <c r="EU179" s="142"/>
      <c r="EV179" s="142"/>
      <c r="EW179" s="142"/>
      <c r="EX179" s="142"/>
      <c r="EY179" s="142"/>
      <c r="EZ179" s="142"/>
      <c r="FA179" s="142"/>
      <c r="FB179" s="143"/>
      <c r="FC179" s="142"/>
      <c r="FD179" s="142"/>
      <c r="FE179" s="142"/>
      <c r="FF179" s="142"/>
      <c r="FG179" s="142"/>
      <c r="FH179" s="142"/>
      <c r="FI179" s="142"/>
      <c r="FJ179" s="142"/>
      <c r="FK179" s="142"/>
      <c r="FL179" s="142"/>
      <c r="FM179" s="142"/>
      <c r="FN179" s="142"/>
      <c r="FO179" s="142"/>
      <c r="FP179" s="142"/>
      <c r="FQ179" s="143"/>
      <c r="FR179" s="142"/>
      <c r="FS179" s="142"/>
      <c r="FT179" s="142"/>
      <c r="FU179" s="142"/>
      <c r="FV179" s="142"/>
      <c r="FW179" s="142"/>
      <c r="FX179" s="142"/>
      <c r="FY179" s="143"/>
      <c r="FZ179" s="142"/>
      <c r="GA179" s="142"/>
      <c r="GB179" s="142"/>
      <c r="GC179" s="142"/>
      <c r="GD179" s="142"/>
      <c r="GE179" s="142"/>
      <c r="GF179" s="142"/>
      <c r="GG179" s="142"/>
      <c r="GH179" s="142"/>
      <c r="GI179" s="143"/>
      <c r="GJ179" s="142"/>
      <c r="GK179" s="142"/>
      <c r="GL179" s="142"/>
      <c r="GM179" s="142"/>
      <c r="GN179" s="142"/>
      <c r="GO179" s="142"/>
      <c r="GP179" s="142"/>
      <c r="GQ179" s="142"/>
      <c r="GR179" s="142"/>
      <c r="GS179" s="142"/>
      <c r="GT179" s="142"/>
      <c r="GU179" s="142"/>
      <c r="GV179" s="142"/>
      <c r="GW179" s="142"/>
      <c r="GX179" s="142"/>
      <c r="GY179" s="142"/>
      <c r="GZ179" s="142"/>
      <c r="HA179" s="142"/>
      <c r="HB179" s="142"/>
      <c r="HC179" s="142"/>
      <c r="HD179" s="142"/>
      <c r="HE179" s="142"/>
      <c r="HF179" s="142"/>
      <c r="HG179" s="142"/>
      <c r="HH179" s="142"/>
      <c r="HI179" s="142"/>
      <c r="HJ179" s="142"/>
      <c r="HK179" s="142"/>
      <c r="HL179" s="142"/>
      <c r="HM179" s="142"/>
      <c r="HN179" s="142"/>
      <c r="HO179" s="142"/>
      <c r="HP179" s="142"/>
      <c r="HQ179" s="142"/>
      <c r="HR179" s="142"/>
      <c r="HS179" s="142"/>
      <c r="HT179" s="142"/>
      <c r="HU179" s="142"/>
      <c r="HV179" s="142"/>
      <c r="HW179" s="142"/>
      <c r="HX179" s="142"/>
      <c r="HY179" s="142"/>
      <c r="HZ179" s="142"/>
      <c r="IA179" s="142"/>
      <c r="IB179" s="142"/>
      <c r="IC179" s="142"/>
      <c r="ID179" s="142"/>
      <c r="IE179" s="142"/>
      <c r="IF179" s="142"/>
      <c r="IG179" s="142"/>
      <c r="IH179" s="142"/>
      <c r="II179" s="143"/>
      <c r="IJ179" s="142"/>
      <c r="IK179" s="142"/>
      <c r="IL179" s="142"/>
      <c r="IM179" s="142"/>
      <c r="IN179" s="142"/>
      <c r="IO179" s="142"/>
      <c r="IP179" s="142"/>
      <c r="IQ179" s="142"/>
      <c r="IR179" s="142"/>
      <c r="IS179" s="142"/>
      <c r="IT179" s="142"/>
      <c r="IU179" s="142"/>
      <c r="IV179" s="142"/>
      <c r="IW179" s="142"/>
      <c r="IX179" s="142"/>
      <c r="IY179" s="142"/>
      <c r="IZ179" s="142"/>
      <c r="JA179" s="142"/>
      <c r="JB179" s="142"/>
      <c r="JC179" s="142"/>
      <c r="JD179" s="142"/>
      <c r="JE179" s="142"/>
      <c r="JF179" s="142"/>
      <c r="JG179" s="142"/>
      <c r="JH179" s="142"/>
      <c r="JI179" s="142"/>
      <c r="JJ179" s="142"/>
      <c r="JK179" s="142"/>
      <c r="JL179" s="142"/>
      <c r="JM179" s="142"/>
      <c r="JN179" s="142"/>
      <c r="JO179" s="142"/>
      <c r="JP179" s="142"/>
      <c r="JQ179" s="142"/>
      <c r="JR179" s="142"/>
      <c r="JS179" s="142"/>
      <c r="JT179" s="142"/>
      <c r="JU179" s="142"/>
      <c r="JV179" s="142"/>
      <c r="JW179" s="142"/>
      <c r="JX179" s="142"/>
      <c r="JY179" s="142"/>
      <c r="JZ179" s="142"/>
      <c r="KA179" s="142"/>
      <c r="KB179" s="142"/>
      <c r="KC179" s="142"/>
      <c r="KD179" s="142"/>
      <c r="KE179" s="142"/>
      <c r="KF179" s="142"/>
      <c r="KG179" s="142"/>
      <c r="KH179" s="142"/>
      <c r="KI179" s="142"/>
      <c r="KJ179" s="142"/>
      <c r="KK179" s="142"/>
      <c r="KL179" s="142"/>
      <c r="KM179" s="142"/>
      <c r="KN179" s="142"/>
      <c r="KO179" s="142"/>
      <c r="KP179" s="142"/>
      <c r="KQ179" s="142"/>
      <c r="KR179" s="142"/>
      <c r="KS179" s="142"/>
      <c r="KT179" s="142"/>
      <c r="KU179" s="142"/>
      <c r="KV179" s="142"/>
      <c r="KW179" s="142"/>
      <c r="KX179" s="142"/>
      <c r="KY179" s="142"/>
      <c r="KZ179" s="142"/>
      <c r="LA179" s="142"/>
      <c r="LB179" s="142"/>
      <c r="LC179" s="142"/>
      <c r="LD179" s="142"/>
      <c r="LE179" s="142"/>
      <c r="LF179" s="142"/>
      <c r="LG179" s="142"/>
      <c r="LH179" s="142"/>
      <c r="LI179" s="142"/>
      <c r="LJ179" s="142"/>
      <c r="LK179" s="142"/>
      <c r="LL179" s="142"/>
      <c r="LM179" s="142"/>
      <c r="LN179" s="142"/>
      <c r="LO179" s="142"/>
      <c r="LP179" s="142"/>
      <c r="LQ179" s="142"/>
      <c r="LR179" s="142"/>
      <c r="LS179" s="142"/>
      <c r="LT179" s="142"/>
      <c r="LU179" s="142"/>
      <c r="LV179" s="142"/>
      <c r="LW179" s="142"/>
      <c r="LX179" s="142"/>
      <c r="LY179" s="142"/>
      <c r="LZ179" s="142"/>
      <c r="MA179" s="142"/>
      <c r="MB179" s="142"/>
      <c r="MC179" s="142"/>
      <c r="MD179" s="142"/>
      <c r="ME179" s="142"/>
      <c r="MF179" s="142"/>
      <c r="MG179" s="142"/>
      <c r="MH179" s="142"/>
      <c r="MI179" s="142"/>
      <c r="MJ179" s="142"/>
      <c r="MK179" s="142"/>
      <c r="ML179" s="142"/>
      <c r="MM179" s="142"/>
      <c r="MN179" s="142"/>
      <c r="MO179" s="142"/>
      <c r="MP179" s="142"/>
      <c r="MQ179" s="142"/>
      <c r="MR179" s="142"/>
      <c r="MS179" s="142"/>
      <c r="MT179" s="142"/>
      <c r="MU179" s="142"/>
      <c r="MV179" s="142"/>
      <c r="MW179" s="142"/>
      <c r="MX179" s="142"/>
      <c r="MY179" s="142"/>
      <c r="MZ179" s="142"/>
      <c r="NA179" s="142"/>
      <c r="NB179" s="142"/>
      <c r="NC179" s="142"/>
      <c r="ND179" s="142"/>
      <c r="NE179" s="142"/>
      <c r="NF179" s="142"/>
      <c r="NG179" s="142"/>
      <c r="NH179" s="142"/>
      <c r="NI179" s="142"/>
      <c r="NJ179" s="142"/>
      <c r="NK179" s="142"/>
      <c r="NL179" s="142"/>
      <c r="NM179" s="142"/>
      <c r="NN179" s="142"/>
      <c r="NO179" s="142"/>
      <c r="NP179" s="142"/>
      <c r="NQ179" s="142"/>
      <c r="NR179" s="142"/>
      <c r="NS179" s="142"/>
      <c r="NT179" s="142"/>
      <c r="NU179" s="142"/>
      <c r="NV179" s="142"/>
      <c r="NW179" s="54"/>
      <c r="NX179" s="144"/>
      <c r="NY179" s="94"/>
      <c r="NZ179" s="54"/>
      <c r="OA179" s="54"/>
      <c r="OB179" s="103"/>
      <c r="OC179" s="128"/>
      <c r="OD179" s="145"/>
      <c r="OE179" s="5"/>
    </row>
    <row r="180" spans="1:395" s="32" customFormat="1" ht="12" customHeight="1" x14ac:dyDescent="0.25">
      <c r="A180" s="140"/>
      <c r="B180" s="141"/>
      <c r="C180" s="142"/>
      <c r="D180" s="142"/>
      <c r="E180" s="142"/>
      <c r="F180" s="142"/>
      <c r="G180" s="142"/>
      <c r="H180" s="142"/>
      <c r="I180" s="142"/>
      <c r="J180" s="142"/>
      <c r="K180" s="142"/>
      <c r="L180" s="142"/>
      <c r="M180" s="142"/>
      <c r="N180" s="142"/>
      <c r="O180" s="142"/>
      <c r="P180" s="142"/>
      <c r="Q180" s="142"/>
      <c r="R180" s="142"/>
      <c r="S180" s="143"/>
      <c r="T180" s="143"/>
      <c r="U180" s="143"/>
      <c r="V180" s="143"/>
      <c r="W180" s="143"/>
      <c r="X180" s="143"/>
      <c r="Y180" s="143"/>
      <c r="Z180" s="143"/>
      <c r="AA180" s="143"/>
      <c r="AB180" s="143"/>
      <c r="AC180" s="143"/>
      <c r="AD180" s="143"/>
      <c r="AE180" s="143"/>
      <c r="AF180" s="143"/>
      <c r="AG180" s="143"/>
      <c r="AH180" s="143"/>
      <c r="AI180" s="143"/>
      <c r="AJ180" s="142"/>
      <c r="AK180" s="142"/>
      <c r="AL180" s="142"/>
      <c r="AM180" s="142"/>
      <c r="AN180" s="142"/>
      <c r="AO180" s="142"/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  <c r="BE180" s="142"/>
      <c r="BF180" s="142"/>
      <c r="BG180" s="142"/>
      <c r="BH180" s="142"/>
      <c r="BI180" s="142"/>
      <c r="BJ180" s="142"/>
      <c r="BK180" s="142"/>
      <c r="BL180" s="142"/>
      <c r="BM180" s="142"/>
      <c r="BN180" s="142"/>
      <c r="BO180" s="142"/>
      <c r="BP180" s="142"/>
      <c r="BQ180" s="142"/>
      <c r="BR180" s="142"/>
      <c r="BS180" s="142"/>
      <c r="BT180" s="142"/>
      <c r="BU180" s="142"/>
      <c r="BV180" s="142"/>
      <c r="BW180" s="142"/>
      <c r="BX180" s="142"/>
      <c r="BY180" s="142"/>
      <c r="BZ180" s="142"/>
      <c r="CA180" s="142"/>
      <c r="CB180" s="142"/>
      <c r="CC180" s="142"/>
      <c r="CD180" s="142"/>
      <c r="CE180" s="142"/>
      <c r="CF180" s="142"/>
      <c r="CG180" s="142"/>
      <c r="CH180" s="142"/>
      <c r="CI180" s="142"/>
      <c r="CJ180" s="142"/>
      <c r="CK180" s="142"/>
      <c r="CL180" s="142"/>
      <c r="CM180" s="142"/>
      <c r="CN180" s="142"/>
      <c r="CO180" s="142"/>
      <c r="CP180" s="142"/>
      <c r="CQ180" s="142"/>
      <c r="CR180" s="142"/>
      <c r="CS180" s="142"/>
      <c r="CT180" s="143"/>
      <c r="CU180" s="142"/>
      <c r="CV180" s="142"/>
      <c r="CW180" s="142"/>
      <c r="CX180" s="142"/>
      <c r="CY180" s="142"/>
      <c r="CZ180" s="142"/>
      <c r="DA180" s="142"/>
      <c r="DB180" s="142"/>
      <c r="DC180" s="142"/>
      <c r="DD180" s="142"/>
      <c r="DE180" s="142"/>
      <c r="DF180" s="142"/>
      <c r="DG180" s="142"/>
      <c r="DH180" s="142"/>
      <c r="DI180" s="142"/>
      <c r="DJ180" s="142"/>
      <c r="DK180" s="142"/>
      <c r="DL180" s="142"/>
      <c r="DM180" s="142"/>
      <c r="DN180" s="142"/>
      <c r="DO180" s="142"/>
      <c r="DP180" s="142"/>
      <c r="DQ180" s="142"/>
      <c r="DR180" s="142"/>
      <c r="DS180" s="142"/>
      <c r="DT180" s="142"/>
      <c r="DU180" s="142"/>
      <c r="DV180" s="142"/>
      <c r="DW180" s="142"/>
      <c r="DX180" s="142"/>
      <c r="DY180" s="142"/>
      <c r="DZ180" s="142"/>
      <c r="EA180" s="142"/>
      <c r="EB180" s="142"/>
      <c r="EC180" s="142"/>
      <c r="ED180" s="142"/>
      <c r="EE180" s="142"/>
      <c r="EF180" s="142"/>
      <c r="EG180" s="142"/>
      <c r="EH180" s="142"/>
      <c r="EI180" s="142"/>
      <c r="EJ180" s="142"/>
      <c r="EK180" s="142"/>
      <c r="EL180" s="142"/>
      <c r="EM180" s="143"/>
      <c r="EN180" s="143"/>
      <c r="EO180" s="143"/>
      <c r="EP180" s="142"/>
      <c r="EQ180" s="142"/>
      <c r="ER180" s="142"/>
      <c r="ES180" s="142"/>
      <c r="ET180" s="142"/>
      <c r="EU180" s="142"/>
      <c r="EV180" s="142"/>
      <c r="EW180" s="142"/>
      <c r="EX180" s="142"/>
      <c r="EY180" s="142"/>
      <c r="EZ180" s="142"/>
      <c r="FA180" s="142"/>
      <c r="FB180" s="143"/>
      <c r="FC180" s="142"/>
      <c r="FD180" s="142"/>
      <c r="FE180" s="142"/>
      <c r="FF180" s="142"/>
      <c r="FG180" s="142"/>
      <c r="FH180" s="142"/>
      <c r="FI180" s="142"/>
      <c r="FJ180" s="142"/>
      <c r="FK180" s="142"/>
      <c r="FL180" s="142"/>
      <c r="FM180" s="142"/>
      <c r="FN180" s="142"/>
      <c r="FO180" s="142"/>
      <c r="FP180" s="142"/>
      <c r="FQ180" s="143"/>
      <c r="FR180" s="142"/>
      <c r="FS180" s="142"/>
      <c r="FT180" s="142"/>
      <c r="FU180" s="142"/>
      <c r="FV180" s="142"/>
      <c r="FW180" s="142"/>
      <c r="FX180" s="142"/>
      <c r="FY180" s="143"/>
      <c r="FZ180" s="142"/>
      <c r="GA180" s="142"/>
      <c r="GB180" s="142"/>
      <c r="GC180" s="142"/>
      <c r="GD180" s="142"/>
      <c r="GE180" s="142"/>
      <c r="GF180" s="142"/>
      <c r="GG180" s="142"/>
      <c r="GH180" s="142"/>
      <c r="GI180" s="143"/>
      <c r="GJ180" s="142"/>
      <c r="GK180" s="142"/>
      <c r="GL180" s="142"/>
      <c r="GM180" s="142"/>
      <c r="GN180" s="142"/>
      <c r="GO180" s="142"/>
      <c r="GP180" s="142"/>
      <c r="GQ180" s="142"/>
      <c r="GR180" s="142"/>
      <c r="GS180" s="142"/>
      <c r="GT180" s="142"/>
      <c r="GU180" s="142"/>
      <c r="GV180" s="142"/>
      <c r="GW180" s="142"/>
      <c r="GX180" s="142"/>
      <c r="GY180" s="142"/>
      <c r="GZ180" s="142"/>
      <c r="HA180" s="142"/>
      <c r="HB180" s="142"/>
      <c r="HC180" s="142"/>
      <c r="HD180" s="142"/>
      <c r="HE180" s="142"/>
      <c r="HF180" s="142"/>
      <c r="HG180" s="142"/>
      <c r="HH180" s="142"/>
      <c r="HI180" s="142"/>
      <c r="HJ180" s="142"/>
      <c r="HK180" s="142"/>
      <c r="HL180" s="142"/>
      <c r="HM180" s="142"/>
      <c r="HN180" s="142"/>
      <c r="HO180" s="142"/>
      <c r="HP180" s="142"/>
      <c r="HQ180" s="142"/>
      <c r="HR180" s="142"/>
      <c r="HS180" s="142"/>
      <c r="HT180" s="142"/>
      <c r="HU180" s="142"/>
      <c r="HV180" s="142"/>
      <c r="HW180" s="142"/>
      <c r="HX180" s="142"/>
      <c r="HY180" s="142"/>
      <c r="HZ180" s="142"/>
      <c r="IA180" s="142"/>
      <c r="IB180" s="142"/>
      <c r="IC180" s="142"/>
      <c r="ID180" s="142"/>
      <c r="IE180" s="142"/>
      <c r="IF180" s="142"/>
      <c r="IG180" s="142"/>
      <c r="IH180" s="142"/>
      <c r="II180" s="143"/>
      <c r="IJ180" s="142"/>
      <c r="IK180" s="142"/>
      <c r="IL180" s="142"/>
      <c r="IM180" s="142"/>
      <c r="IN180" s="142"/>
      <c r="IO180" s="142"/>
      <c r="IP180" s="142"/>
      <c r="IQ180" s="142"/>
      <c r="IR180" s="142"/>
      <c r="IS180" s="142"/>
      <c r="IT180" s="142"/>
      <c r="IU180" s="142"/>
      <c r="IV180" s="142"/>
      <c r="IW180" s="142"/>
      <c r="IX180" s="142"/>
      <c r="IY180" s="142"/>
      <c r="IZ180" s="142"/>
      <c r="JA180" s="142"/>
      <c r="JB180" s="142"/>
      <c r="JC180" s="142"/>
      <c r="JD180" s="142"/>
      <c r="JE180" s="142"/>
      <c r="JF180" s="142"/>
      <c r="JG180" s="142"/>
      <c r="JH180" s="142"/>
      <c r="JI180" s="142"/>
      <c r="JJ180" s="142"/>
      <c r="JK180" s="142"/>
      <c r="JL180" s="142"/>
      <c r="JM180" s="142"/>
      <c r="JN180" s="142"/>
      <c r="JO180" s="142"/>
      <c r="JP180" s="142"/>
      <c r="JQ180" s="142"/>
      <c r="JR180" s="142"/>
      <c r="JS180" s="142"/>
      <c r="JT180" s="142"/>
      <c r="JU180" s="142"/>
      <c r="JV180" s="142"/>
      <c r="JW180" s="142"/>
      <c r="JX180" s="142"/>
      <c r="JY180" s="142"/>
      <c r="JZ180" s="142"/>
      <c r="KA180" s="142"/>
      <c r="KB180" s="142"/>
      <c r="KC180" s="142"/>
      <c r="KD180" s="142"/>
      <c r="KE180" s="142"/>
      <c r="KF180" s="142"/>
      <c r="KG180" s="142"/>
      <c r="KH180" s="142"/>
      <c r="KI180" s="142"/>
      <c r="KJ180" s="142"/>
      <c r="KK180" s="142"/>
      <c r="KL180" s="142"/>
      <c r="KM180" s="142"/>
      <c r="KN180" s="142"/>
      <c r="KO180" s="142"/>
      <c r="KP180" s="142"/>
      <c r="KQ180" s="142"/>
      <c r="KR180" s="142"/>
      <c r="KS180" s="142"/>
      <c r="KT180" s="142"/>
      <c r="KU180" s="142"/>
      <c r="KV180" s="142"/>
      <c r="KW180" s="142"/>
      <c r="KX180" s="142"/>
      <c r="KY180" s="142"/>
      <c r="KZ180" s="142"/>
      <c r="LA180" s="142"/>
      <c r="LB180" s="142"/>
      <c r="LC180" s="142"/>
      <c r="LD180" s="142"/>
      <c r="LE180" s="142"/>
      <c r="LF180" s="142"/>
      <c r="LG180" s="142"/>
      <c r="LH180" s="142"/>
      <c r="LI180" s="142"/>
      <c r="LJ180" s="142"/>
      <c r="LK180" s="142"/>
      <c r="LL180" s="142"/>
      <c r="LM180" s="142"/>
      <c r="LN180" s="142"/>
      <c r="LO180" s="142"/>
      <c r="LP180" s="142"/>
      <c r="LQ180" s="142"/>
      <c r="LR180" s="142"/>
      <c r="LS180" s="142"/>
      <c r="LT180" s="142"/>
      <c r="LU180" s="142"/>
      <c r="LV180" s="142"/>
      <c r="LW180" s="142"/>
      <c r="LX180" s="142"/>
      <c r="LY180" s="142"/>
      <c r="LZ180" s="142"/>
      <c r="MA180" s="142"/>
      <c r="MB180" s="142"/>
      <c r="MC180" s="142"/>
      <c r="MD180" s="142"/>
      <c r="ME180" s="142"/>
      <c r="MF180" s="142"/>
      <c r="MG180" s="142"/>
      <c r="MH180" s="142"/>
      <c r="MI180" s="142"/>
      <c r="MJ180" s="142"/>
      <c r="MK180" s="142"/>
      <c r="ML180" s="142"/>
      <c r="MM180" s="142"/>
      <c r="MN180" s="142"/>
      <c r="MO180" s="142"/>
      <c r="MP180" s="142"/>
      <c r="MQ180" s="142"/>
      <c r="MR180" s="142"/>
      <c r="MS180" s="142"/>
      <c r="MT180" s="142"/>
      <c r="MU180" s="142"/>
      <c r="MV180" s="142"/>
      <c r="MW180" s="142"/>
      <c r="MX180" s="142"/>
      <c r="MY180" s="142"/>
      <c r="MZ180" s="142"/>
      <c r="NA180" s="142"/>
      <c r="NB180" s="142"/>
      <c r="NC180" s="142"/>
      <c r="ND180" s="142"/>
      <c r="NE180" s="142"/>
      <c r="NF180" s="142"/>
      <c r="NG180" s="142"/>
      <c r="NH180" s="142"/>
      <c r="NI180" s="142"/>
      <c r="NJ180" s="142"/>
      <c r="NK180" s="142"/>
      <c r="NL180" s="142"/>
      <c r="NM180" s="142"/>
      <c r="NN180" s="142"/>
      <c r="NO180" s="142"/>
      <c r="NP180" s="142"/>
      <c r="NQ180" s="142"/>
      <c r="NR180" s="142"/>
      <c r="NS180" s="142"/>
      <c r="NT180" s="142"/>
      <c r="NU180" s="142"/>
      <c r="NV180" s="142"/>
      <c r="NW180" s="54"/>
      <c r="NX180" s="144"/>
      <c r="NY180" s="94"/>
      <c r="NZ180" s="54"/>
      <c r="OA180" s="54"/>
      <c r="OB180" s="103"/>
      <c r="OC180" s="128"/>
      <c r="OD180" s="145"/>
      <c r="OE180" s="5"/>
    </row>
    <row r="181" spans="1:395" s="32" customFormat="1" x14ac:dyDescent="0.25">
      <c r="A181" s="140"/>
      <c r="B181" s="141"/>
      <c r="C181" s="142"/>
      <c r="D181" s="142"/>
      <c r="E181" s="142"/>
      <c r="F181" s="142"/>
      <c r="G181" s="142"/>
      <c r="H181" s="142"/>
      <c r="I181" s="142"/>
      <c r="J181" s="142"/>
      <c r="K181" s="142"/>
      <c r="L181" s="142"/>
      <c r="M181" s="142"/>
      <c r="N181" s="142"/>
      <c r="O181" s="142"/>
      <c r="P181" s="142"/>
      <c r="Q181" s="142"/>
      <c r="R181" s="142"/>
      <c r="S181" s="143"/>
      <c r="T181" s="143"/>
      <c r="U181" s="143"/>
      <c r="V181" s="143"/>
      <c r="W181" s="143"/>
      <c r="X181" s="143"/>
      <c r="Y181" s="143"/>
      <c r="Z181" s="143"/>
      <c r="AA181" s="143"/>
      <c r="AB181" s="143"/>
      <c r="AC181" s="143"/>
      <c r="AD181" s="143"/>
      <c r="AE181" s="143"/>
      <c r="AF181" s="143"/>
      <c r="AG181" s="143"/>
      <c r="AH181" s="143"/>
      <c r="AI181" s="143"/>
      <c r="AJ181" s="142"/>
      <c r="AK181" s="142"/>
      <c r="AL181" s="142"/>
      <c r="AM181" s="142"/>
      <c r="AN181" s="142"/>
      <c r="AO181" s="142"/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  <c r="BE181" s="142"/>
      <c r="BF181" s="142"/>
      <c r="BG181" s="142"/>
      <c r="BH181" s="142"/>
      <c r="BI181" s="142"/>
      <c r="BJ181" s="142"/>
      <c r="BK181" s="142"/>
      <c r="BL181" s="142"/>
      <c r="BM181" s="142"/>
      <c r="BN181" s="142"/>
      <c r="BO181" s="142"/>
      <c r="BP181" s="142"/>
      <c r="BQ181" s="142"/>
      <c r="BR181" s="142"/>
      <c r="BS181" s="142"/>
      <c r="BT181" s="142"/>
      <c r="BU181" s="142"/>
      <c r="BV181" s="142"/>
      <c r="BW181" s="142"/>
      <c r="BX181" s="142"/>
      <c r="BY181" s="142"/>
      <c r="BZ181" s="142"/>
      <c r="CA181" s="142"/>
      <c r="CB181" s="142"/>
      <c r="CC181" s="142"/>
      <c r="CD181" s="142"/>
      <c r="CE181" s="142"/>
      <c r="CF181" s="142"/>
      <c r="CG181" s="142"/>
      <c r="CH181" s="142"/>
      <c r="CI181" s="142"/>
      <c r="CJ181" s="142"/>
      <c r="CK181" s="142"/>
      <c r="CL181" s="142"/>
      <c r="CM181" s="142"/>
      <c r="CN181" s="142"/>
      <c r="CO181" s="142"/>
      <c r="CP181" s="142"/>
      <c r="CQ181" s="142"/>
      <c r="CR181" s="142"/>
      <c r="CS181" s="142"/>
      <c r="CT181" s="143"/>
      <c r="CU181" s="142"/>
      <c r="CV181" s="142"/>
      <c r="CW181" s="142"/>
      <c r="CX181" s="142"/>
      <c r="CY181" s="142"/>
      <c r="CZ181" s="142"/>
      <c r="DA181" s="142"/>
      <c r="DB181" s="142"/>
      <c r="DC181" s="142"/>
      <c r="DD181" s="142"/>
      <c r="DE181" s="142"/>
      <c r="DF181" s="142"/>
      <c r="DG181" s="142"/>
      <c r="DH181" s="142"/>
      <c r="DI181" s="142"/>
      <c r="DJ181" s="142"/>
      <c r="DK181" s="142"/>
      <c r="DL181" s="142"/>
      <c r="DM181" s="142"/>
      <c r="DN181" s="142"/>
      <c r="DO181" s="142"/>
      <c r="DP181" s="142"/>
      <c r="DQ181" s="142"/>
      <c r="DR181" s="142"/>
      <c r="DS181" s="142"/>
      <c r="DT181" s="142"/>
      <c r="DU181" s="142"/>
      <c r="DV181" s="142"/>
      <c r="DW181" s="142"/>
      <c r="DX181" s="142"/>
      <c r="DY181" s="142"/>
      <c r="DZ181" s="142"/>
      <c r="EA181" s="142"/>
      <c r="EB181" s="142"/>
      <c r="EC181" s="142"/>
      <c r="ED181" s="142"/>
      <c r="EE181" s="142"/>
      <c r="EF181" s="142"/>
      <c r="EG181" s="142"/>
      <c r="EH181" s="142"/>
      <c r="EI181" s="142"/>
      <c r="EJ181" s="142"/>
      <c r="EK181" s="142"/>
      <c r="EL181" s="142"/>
      <c r="EM181" s="143"/>
      <c r="EN181" s="143"/>
      <c r="EO181" s="143"/>
      <c r="EP181" s="142"/>
      <c r="EQ181" s="142"/>
      <c r="ER181" s="142"/>
      <c r="ES181" s="142"/>
      <c r="ET181" s="142"/>
      <c r="EU181" s="142"/>
      <c r="EV181" s="142"/>
      <c r="EW181" s="142"/>
      <c r="EX181" s="142"/>
      <c r="EY181" s="142"/>
      <c r="EZ181" s="142"/>
      <c r="FA181" s="142"/>
      <c r="FB181" s="143"/>
      <c r="FC181" s="142"/>
      <c r="FD181" s="142"/>
      <c r="FE181" s="142"/>
      <c r="FF181" s="142"/>
      <c r="FG181" s="142"/>
      <c r="FH181" s="142"/>
      <c r="FI181" s="142"/>
      <c r="FJ181" s="142"/>
      <c r="FK181" s="142"/>
      <c r="FL181" s="142"/>
      <c r="FM181" s="142"/>
      <c r="FN181" s="142"/>
      <c r="FO181" s="142"/>
      <c r="FP181" s="142"/>
      <c r="FQ181" s="143"/>
      <c r="FR181" s="142"/>
      <c r="FS181" s="142"/>
      <c r="FT181" s="142"/>
      <c r="FU181" s="142"/>
      <c r="FV181" s="142"/>
      <c r="FW181" s="142"/>
      <c r="FX181" s="142"/>
      <c r="FY181" s="143"/>
      <c r="FZ181" s="142"/>
      <c r="GA181" s="142"/>
      <c r="GB181" s="142"/>
      <c r="GC181" s="142"/>
      <c r="GD181" s="142"/>
      <c r="GE181" s="142"/>
      <c r="GF181" s="142"/>
      <c r="GG181" s="142"/>
      <c r="GH181" s="142"/>
      <c r="GI181" s="143"/>
      <c r="GJ181" s="142"/>
      <c r="GK181" s="142"/>
      <c r="GL181" s="142"/>
      <c r="GM181" s="142"/>
      <c r="GN181" s="142"/>
      <c r="GO181" s="142"/>
      <c r="GP181" s="142"/>
      <c r="GQ181" s="142"/>
      <c r="GR181" s="142"/>
      <c r="GS181" s="142"/>
      <c r="GT181" s="142"/>
      <c r="GU181" s="142"/>
      <c r="GV181" s="142"/>
      <c r="GW181" s="142"/>
      <c r="GX181" s="142"/>
      <c r="GY181" s="142"/>
      <c r="GZ181" s="142"/>
      <c r="HA181" s="142"/>
      <c r="HB181" s="142"/>
      <c r="HC181" s="142"/>
      <c r="HD181" s="142"/>
      <c r="HE181" s="142"/>
      <c r="HF181" s="142"/>
      <c r="HG181" s="142"/>
      <c r="HH181" s="142"/>
      <c r="HI181" s="142"/>
      <c r="HJ181" s="142"/>
      <c r="HK181" s="142"/>
      <c r="HL181" s="142"/>
      <c r="HM181" s="142"/>
      <c r="HN181" s="142"/>
      <c r="HO181" s="142"/>
      <c r="HP181" s="142"/>
      <c r="HQ181" s="142"/>
      <c r="HR181" s="142"/>
      <c r="HS181" s="142"/>
      <c r="HT181" s="142"/>
      <c r="HU181" s="142"/>
      <c r="HV181" s="142"/>
      <c r="HW181" s="142"/>
      <c r="HX181" s="142"/>
      <c r="HY181" s="142"/>
      <c r="HZ181" s="142"/>
      <c r="IA181" s="142"/>
      <c r="IB181" s="142"/>
      <c r="IC181" s="142"/>
      <c r="ID181" s="142"/>
      <c r="IE181" s="142"/>
      <c r="IF181" s="142"/>
      <c r="IG181" s="142"/>
      <c r="IH181" s="142"/>
      <c r="II181" s="143"/>
      <c r="IJ181" s="142"/>
      <c r="IK181" s="142"/>
      <c r="IL181" s="142"/>
      <c r="IM181" s="142"/>
      <c r="IN181" s="142"/>
      <c r="IO181" s="142"/>
      <c r="IP181" s="142"/>
      <c r="IQ181" s="142"/>
      <c r="IR181" s="142"/>
      <c r="IS181" s="142"/>
      <c r="IT181" s="142"/>
      <c r="IU181" s="142"/>
      <c r="IV181" s="142"/>
      <c r="IW181" s="142"/>
      <c r="IX181" s="142"/>
      <c r="IY181" s="142"/>
      <c r="IZ181" s="142"/>
      <c r="JA181" s="142"/>
      <c r="JB181" s="142"/>
      <c r="JC181" s="142"/>
      <c r="JD181" s="142"/>
      <c r="JE181" s="142"/>
      <c r="JF181" s="142"/>
      <c r="JG181" s="142"/>
      <c r="JH181" s="142"/>
      <c r="JI181" s="142"/>
      <c r="JJ181" s="142"/>
      <c r="JK181" s="142"/>
      <c r="JL181" s="142"/>
      <c r="JM181" s="142"/>
      <c r="JN181" s="142"/>
      <c r="JO181" s="142"/>
      <c r="JP181" s="142"/>
      <c r="JQ181" s="142"/>
      <c r="JR181" s="142"/>
      <c r="JS181" s="142"/>
      <c r="JT181" s="142"/>
      <c r="JU181" s="142"/>
      <c r="JV181" s="142"/>
      <c r="JW181" s="142"/>
      <c r="JX181" s="142"/>
      <c r="JY181" s="142"/>
      <c r="JZ181" s="142"/>
      <c r="KA181" s="142"/>
      <c r="KB181" s="142"/>
      <c r="KC181" s="142"/>
      <c r="KD181" s="142"/>
      <c r="KE181" s="142"/>
      <c r="KF181" s="142"/>
      <c r="KG181" s="142"/>
      <c r="KH181" s="142"/>
      <c r="KI181" s="142"/>
      <c r="KJ181" s="142"/>
      <c r="KK181" s="142"/>
      <c r="KL181" s="142"/>
      <c r="KM181" s="142"/>
      <c r="KN181" s="142"/>
      <c r="KO181" s="142"/>
      <c r="KP181" s="142"/>
      <c r="KQ181" s="142"/>
      <c r="KR181" s="142"/>
      <c r="KS181" s="142"/>
      <c r="KT181" s="142"/>
      <c r="KU181" s="142"/>
      <c r="KV181" s="142"/>
      <c r="KW181" s="142"/>
      <c r="KX181" s="142"/>
      <c r="KY181" s="142"/>
      <c r="KZ181" s="142"/>
      <c r="LA181" s="142"/>
      <c r="LB181" s="142"/>
      <c r="LC181" s="142"/>
      <c r="LD181" s="142"/>
      <c r="LE181" s="142"/>
      <c r="LF181" s="142"/>
      <c r="LG181" s="142"/>
      <c r="LH181" s="142"/>
      <c r="LI181" s="142"/>
      <c r="LJ181" s="142"/>
      <c r="LK181" s="142"/>
      <c r="LL181" s="142"/>
      <c r="LM181" s="142"/>
      <c r="LN181" s="142"/>
      <c r="LO181" s="142"/>
      <c r="LP181" s="142"/>
      <c r="LQ181" s="142"/>
      <c r="LR181" s="142"/>
      <c r="LS181" s="142"/>
      <c r="LT181" s="142"/>
      <c r="LU181" s="142"/>
      <c r="LV181" s="142"/>
      <c r="LW181" s="142"/>
      <c r="LX181" s="142"/>
      <c r="LY181" s="142"/>
      <c r="LZ181" s="142"/>
      <c r="MA181" s="142"/>
      <c r="MB181" s="142"/>
      <c r="MC181" s="142"/>
      <c r="MD181" s="142"/>
      <c r="ME181" s="142"/>
      <c r="MF181" s="142"/>
      <c r="MG181" s="142"/>
      <c r="MH181" s="142"/>
      <c r="MI181" s="142"/>
      <c r="MJ181" s="142"/>
      <c r="MK181" s="142"/>
      <c r="ML181" s="142"/>
      <c r="MM181" s="142"/>
      <c r="MN181" s="142"/>
      <c r="MO181" s="142"/>
      <c r="MP181" s="142"/>
      <c r="MQ181" s="142"/>
      <c r="MR181" s="142"/>
      <c r="MS181" s="142"/>
      <c r="MT181" s="142"/>
      <c r="MU181" s="142"/>
      <c r="MV181" s="142"/>
      <c r="MW181" s="142"/>
      <c r="MX181" s="142"/>
      <c r="MY181" s="142"/>
      <c r="MZ181" s="142"/>
      <c r="NA181" s="142"/>
      <c r="NB181" s="142"/>
      <c r="NC181" s="142"/>
      <c r="ND181" s="142"/>
      <c r="NE181" s="142"/>
      <c r="NF181" s="142"/>
      <c r="NG181" s="142"/>
      <c r="NH181" s="142"/>
      <c r="NI181" s="142"/>
      <c r="NJ181" s="142"/>
      <c r="NK181" s="142"/>
      <c r="NL181" s="142"/>
      <c r="NM181" s="142"/>
      <c r="NN181" s="142"/>
      <c r="NO181" s="142"/>
      <c r="NP181" s="142"/>
      <c r="NQ181" s="142"/>
      <c r="NR181" s="142"/>
      <c r="NS181" s="142"/>
      <c r="NT181" s="142"/>
      <c r="NU181" s="142"/>
      <c r="NV181" s="142"/>
      <c r="NW181" s="54"/>
      <c r="NX181" s="144"/>
      <c r="NY181" s="94"/>
      <c r="NZ181" s="54"/>
      <c r="OA181" s="54"/>
      <c r="OB181" s="166"/>
      <c r="OC181" s="128"/>
      <c r="OD181" s="145"/>
      <c r="OE181" s="5"/>
    </row>
    <row r="182" spans="1:395" s="32" customFormat="1" ht="12" customHeight="1" x14ac:dyDescent="0.25">
      <c r="A182" s="140"/>
      <c r="B182" s="141"/>
      <c r="C182" s="142"/>
      <c r="D182" s="142"/>
      <c r="E182" s="142"/>
      <c r="F182" s="142"/>
      <c r="G182" s="142"/>
      <c r="H182" s="142"/>
      <c r="I182" s="142"/>
      <c r="J182" s="142"/>
      <c r="K182" s="142"/>
      <c r="L182" s="142"/>
      <c r="M182" s="142"/>
      <c r="N182" s="142"/>
      <c r="O182" s="142"/>
      <c r="P182" s="142"/>
      <c r="Q182" s="142"/>
      <c r="R182" s="142"/>
      <c r="S182" s="143"/>
      <c r="T182" s="143"/>
      <c r="U182" s="143"/>
      <c r="V182" s="143"/>
      <c r="W182" s="143"/>
      <c r="X182" s="143"/>
      <c r="Y182" s="143"/>
      <c r="Z182" s="143"/>
      <c r="AA182" s="143"/>
      <c r="AB182" s="143"/>
      <c r="AC182" s="143"/>
      <c r="AD182" s="143"/>
      <c r="AE182" s="143"/>
      <c r="AF182" s="143"/>
      <c r="AG182" s="143"/>
      <c r="AH182" s="143"/>
      <c r="AI182" s="143"/>
      <c r="AJ182" s="142"/>
      <c r="AK182" s="142"/>
      <c r="AL182" s="142"/>
      <c r="AM182" s="142"/>
      <c r="AN182" s="142"/>
      <c r="AO182" s="142"/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  <c r="BE182" s="142"/>
      <c r="BF182" s="142"/>
      <c r="BG182" s="142"/>
      <c r="BH182" s="142"/>
      <c r="BI182" s="142"/>
      <c r="BJ182" s="142"/>
      <c r="BK182" s="142"/>
      <c r="BL182" s="142"/>
      <c r="BM182" s="142"/>
      <c r="BN182" s="142"/>
      <c r="BO182" s="142"/>
      <c r="BP182" s="142"/>
      <c r="BQ182" s="142"/>
      <c r="BR182" s="142"/>
      <c r="BS182" s="142"/>
      <c r="BT182" s="142"/>
      <c r="BU182" s="142"/>
      <c r="BV182" s="142"/>
      <c r="BW182" s="142"/>
      <c r="BX182" s="142"/>
      <c r="BY182" s="142"/>
      <c r="BZ182" s="142"/>
      <c r="CA182" s="142"/>
      <c r="CB182" s="142"/>
      <c r="CC182" s="142"/>
      <c r="CD182" s="142"/>
      <c r="CE182" s="142"/>
      <c r="CF182" s="142"/>
      <c r="CG182" s="142"/>
      <c r="CH182" s="142"/>
      <c r="CI182" s="142"/>
      <c r="CJ182" s="142"/>
      <c r="CK182" s="142"/>
      <c r="CL182" s="142"/>
      <c r="CM182" s="142"/>
      <c r="CN182" s="142"/>
      <c r="CO182" s="142"/>
      <c r="CP182" s="142"/>
      <c r="CQ182" s="142"/>
      <c r="CR182" s="142"/>
      <c r="CS182" s="142"/>
      <c r="CT182" s="143"/>
      <c r="CU182" s="142"/>
      <c r="CV182" s="142"/>
      <c r="CW182" s="142"/>
      <c r="CX182" s="142"/>
      <c r="CY182" s="142"/>
      <c r="CZ182" s="142"/>
      <c r="DA182" s="142"/>
      <c r="DB182" s="142"/>
      <c r="DC182" s="142"/>
      <c r="DD182" s="142"/>
      <c r="DE182" s="142"/>
      <c r="DF182" s="142"/>
      <c r="DG182" s="142"/>
      <c r="DH182" s="142"/>
      <c r="DI182" s="142"/>
      <c r="DJ182" s="142"/>
      <c r="DK182" s="142"/>
      <c r="DL182" s="142"/>
      <c r="DM182" s="142"/>
      <c r="DN182" s="142"/>
      <c r="DO182" s="142"/>
      <c r="DP182" s="142"/>
      <c r="DQ182" s="142"/>
      <c r="DR182" s="142"/>
      <c r="DS182" s="142"/>
      <c r="DT182" s="142"/>
      <c r="DU182" s="142"/>
      <c r="DV182" s="142"/>
      <c r="DW182" s="142"/>
      <c r="DX182" s="142"/>
      <c r="DY182" s="142"/>
      <c r="DZ182" s="142"/>
      <c r="EA182" s="142"/>
      <c r="EB182" s="142"/>
      <c r="EC182" s="142"/>
      <c r="ED182" s="142"/>
      <c r="EE182" s="142"/>
      <c r="EF182" s="142"/>
      <c r="EG182" s="142"/>
      <c r="EH182" s="142"/>
      <c r="EI182" s="142"/>
      <c r="EJ182" s="142"/>
      <c r="EK182" s="142"/>
      <c r="EL182" s="142"/>
      <c r="EM182" s="143"/>
      <c r="EN182" s="143"/>
      <c r="EO182" s="143"/>
      <c r="EP182" s="142"/>
      <c r="EQ182" s="142"/>
      <c r="ER182" s="142"/>
      <c r="ES182" s="142"/>
      <c r="ET182" s="142"/>
      <c r="EU182" s="142"/>
      <c r="EV182" s="142"/>
      <c r="EW182" s="142"/>
      <c r="EX182" s="142"/>
      <c r="EY182" s="142"/>
      <c r="EZ182" s="142"/>
      <c r="FA182" s="142"/>
      <c r="FB182" s="143"/>
      <c r="FC182" s="142"/>
      <c r="FD182" s="142"/>
      <c r="FE182" s="142"/>
      <c r="FF182" s="142"/>
      <c r="FG182" s="142"/>
      <c r="FH182" s="142"/>
      <c r="FI182" s="142"/>
      <c r="FJ182" s="142"/>
      <c r="FK182" s="142"/>
      <c r="FL182" s="142"/>
      <c r="FM182" s="142"/>
      <c r="FN182" s="142"/>
      <c r="FO182" s="142"/>
      <c r="FP182" s="142"/>
      <c r="FQ182" s="143"/>
      <c r="FR182" s="142"/>
      <c r="FS182" s="142"/>
      <c r="FT182" s="142"/>
      <c r="FU182" s="142"/>
      <c r="FV182" s="142"/>
      <c r="FW182" s="142"/>
      <c r="FX182" s="142"/>
      <c r="FY182" s="143"/>
      <c r="FZ182" s="142"/>
      <c r="GA182" s="142"/>
      <c r="GB182" s="142"/>
      <c r="GC182" s="142"/>
      <c r="GD182" s="142"/>
      <c r="GE182" s="142"/>
      <c r="GF182" s="142"/>
      <c r="GG182" s="142"/>
      <c r="GH182" s="142"/>
      <c r="GI182" s="143"/>
      <c r="GJ182" s="142"/>
      <c r="GK182" s="142"/>
      <c r="GL182" s="142"/>
      <c r="GM182" s="142"/>
      <c r="GN182" s="142"/>
      <c r="GO182" s="142"/>
      <c r="GP182" s="142"/>
      <c r="GQ182" s="142"/>
      <c r="GR182" s="142"/>
      <c r="GS182" s="142"/>
      <c r="GT182" s="142"/>
      <c r="GU182" s="142"/>
      <c r="GV182" s="142"/>
      <c r="GW182" s="142"/>
      <c r="GX182" s="142"/>
      <c r="GY182" s="142"/>
      <c r="GZ182" s="142"/>
      <c r="HA182" s="142"/>
      <c r="HB182" s="142"/>
      <c r="HC182" s="142"/>
      <c r="HD182" s="142"/>
      <c r="HE182" s="142"/>
      <c r="HF182" s="142"/>
      <c r="HG182" s="142"/>
      <c r="HH182" s="142"/>
      <c r="HI182" s="142"/>
      <c r="HJ182" s="142"/>
      <c r="HK182" s="142"/>
      <c r="HL182" s="142"/>
      <c r="HM182" s="142"/>
      <c r="HN182" s="142"/>
      <c r="HO182" s="142"/>
      <c r="HP182" s="142"/>
      <c r="HQ182" s="142"/>
      <c r="HR182" s="142"/>
      <c r="HS182" s="142"/>
      <c r="HT182" s="142"/>
      <c r="HU182" s="142"/>
      <c r="HV182" s="142"/>
      <c r="HW182" s="142"/>
      <c r="HX182" s="142"/>
      <c r="HY182" s="142"/>
      <c r="HZ182" s="142"/>
      <c r="IA182" s="142"/>
      <c r="IB182" s="142"/>
      <c r="IC182" s="142"/>
      <c r="ID182" s="142"/>
      <c r="IE182" s="142"/>
      <c r="IF182" s="142"/>
      <c r="IG182" s="142"/>
      <c r="IH182" s="142"/>
      <c r="II182" s="143"/>
      <c r="IJ182" s="142"/>
      <c r="IK182" s="142"/>
      <c r="IL182" s="142"/>
      <c r="IM182" s="142"/>
      <c r="IN182" s="142"/>
      <c r="IO182" s="142"/>
      <c r="IP182" s="142"/>
      <c r="IQ182" s="142"/>
      <c r="IR182" s="142"/>
      <c r="IS182" s="142"/>
      <c r="IT182" s="142"/>
      <c r="IU182" s="142"/>
      <c r="IV182" s="142"/>
      <c r="IW182" s="142"/>
      <c r="IX182" s="142"/>
      <c r="IY182" s="142"/>
      <c r="IZ182" s="142"/>
      <c r="JA182" s="142"/>
      <c r="JB182" s="142"/>
      <c r="JC182" s="142"/>
      <c r="JD182" s="142"/>
      <c r="JE182" s="142"/>
      <c r="JF182" s="142"/>
      <c r="JG182" s="142"/>
      <c r="JH182" s="142"/>
      <c r="JI182" s="142"/>
      <c r="JJ182" s="142"/>
      <c r="JK182" s="142"/>
      <c r="JL182" s="142"/>
      <c r="JM182" s="142"/>
      <c r="JN182" s="142"/>
      <c r="JO182" s="142"/>
      <c r="JP182" s="142"/>
      <c r="JQ182" s="142"/>
      <c r="JR182" s="142"/>
      <c r="JS182" s="142"/>
      <c r="JT182" s="142"/>
      <c r="JU182" s="142"/>
      <c r="JV182" s="142"/>
      <c r="JW182" s="142"/>
      <c r="JX182" s="142"/>
      <c r="JY182" s="142"/>
      <c r="JZ182" s="142"/>
      <c r="KA182" s="142"/>
      <c r="KB182" s="142"/>
      <c r="KC182" s="142"/>
      <c r="KD182" s="142"/>
      <c r="KE182" s="142"/>
      <c r="KF182" s="142"/>
      <c r="KG182" s="142"/>
      <c r="KH182" s="142"/>
      <c r="KI182" s="142"/>
      <c r="KJ182" s="142"/>
      <c r="KK182" s="142"/>
      <c r="KL182" s="142"/>
      <c r="KM182" s="142"/>
      <c r="KN182" s="142"/>
      <c r="KO182" s="142"/>
      <c r="KP182" s="142"/>
      <c r="KQ182" s="142"/>
      <c r="KR182" s="142"/>
      <c r="KS182" s="142"/>
      <c r="KT182" s="142"/>
      <c r="KU182" s="142"/>
      <c r="KV182" s="142"/>
      <c r="KW182" s="142"/>
      <c r="KX182" s="142"/>
      <c r="KY182" s="142"/>
      <c r="KZ182" s="142"/>
      <c r="LA182" s="142"/>
      <c r="LB182" s="142"/>
      <c r="LC182" s="142"/>
      <c r="LD182" s="142"/>
      <c r="LE182" s="142"/>
      <c r="LF182" s="142"/>
      <c r="LG182" s="142"/>
      <c r="LH182" s="142"/>
      <c r="LI182" s="142"/>
      <c r="LJ182" s="142"/>
      <c r="LK182" s="142"/>
      <c r="LL182" s="142"/>
      <c r="LM182" s="142"/>
      <c r="LN182" s="142"/>
      <c r="LO182" s="142"/>
      <c r="LP182" s="142"/>
      <c r="LQ182" s="142"/>
      <c r="LR182" s="142"/>
      <c r="LS182" s="142"/>
      <c r="LT182" s="142"/>
      <c r="LU182" s="142"/>
      <c r="LV182" s="142"/>
      <c r="LW182" s="142"/>
      <c r="LX182" s="142"/>
      <c r="LY182" s="142"/>
      <c r="LZ182" s="142"/>
      <c r="MA182" s="142"/>
      <c r="MB182" s="142"/>
      <c r="MC182" s="142"/>
      <c r="MD182" s="142"/>
      <c r="ME182" s="142"/>
      <c r="MF182" s="142"/>
      <c r="MG182" s="142"/>
      <c r="MH182" s="142"/>
      <c r="MI182" s="142"/>
      <c r="MJ182" s="142"/>
      <c r="MK182" s="142"/>
      <c r="ML182" s="142"/>
      <c r="MM182" s="142"/>
      <c r="MN182" s="142"/>
      <c r="MO182" s="142"/>
      <c r="MP182" s="142"/>
      <c r="MQ182" s="142"/>
      <c r="MR182" s="142"/>
      <c r="MS182" s="142"/>
      <c r="MT182" s="142"/>
      <c r="MU182" s="142"/>
      <c r="MV182" s="142"/>
      <c r="MW182" s="142"/>
      <c r="MX182" s="142"/>
      <c r="MY182" s="142"/>
      <c r="MZ182" s="142"/>
      <c r="NA182" s="142"/>
      <c r="NB182" s="142"/>
      <c r="NC182" s="142"/>
      <c r="ND182" s="142"/>
      <c r="NE182" s="142"/>
      <c r="NF182" s="142"/>
      <c r="NG182" s="142"/>
      <c r="NH182" s="142"/>
      <c r="NI182" s="142"/>
      <c r="NJ182" s="142"/>
      <c r="NK182" s="142"/>
      <c r="NL182" s="142"/>
      <c r="NM182" s="142"/>
      <c r="NN182" s="142"/>
      <c r="NO182" s="142"/>
      <c r="NP182" s="142"/>
      <c r="NQ182" s="142"/>
      <c r="NR182" s="142"/>
      <c r="NS182" s="142"/>
      <c r="NT182" s="142"/>
      <c r="NU182" s="142"/>
      <c r="NV182" s="142"/>
      <c r="NW182" s="54"/>
      <c r="NX182" s="144"/>
      <c r="NY182" s="94"/>
      <c r="NZ182" s="54"/>
      <c r="OA182" s="54"/>
      <c r="OB182" s="103"/>
      <c r="OC182" s="128"/>
      <c r="OD182" s="145"/>
      <c r="OE182" s="5"/>
    </row>
    <row r="183" spans="1:395" x14ac:dyDescent="0.25">
      <c r="A183" s="47"/>
      <c r="B183" s="48"/>
      <c r="C183" s="133"/>
      <c r="D183" s="133"/>
      <c r="E183" s="133"/>
      <c r="F183" s="133"/>
      <c r="G183" s="133"/>
      <c r="H183" s="133"/>
      <c r="I183" s="133"/>
      <c r="J183" s="133"/>
      <c r="K183" s="133"/>
      <c r="L183" s="133"/>
      <c r="NW183" s="6"/>
      <c r="NX183" s="6"/>
      <c r="NY183" s="55" t="s">
        <v>387</v>
      </c>
      <c r="NZ183" s="54"/>
      <c r="OA183" s="54"/>
      <c r="OB183" s="155"/>
      <c r="OC183" s="128"/>
      <c r="OD183" s="6"/>
    </row>
    <row r="184" spans="1:395" s="5" customFormat="1" x14ac:dyDescent="0.25">
      <c r="A184" s="146"/>
      <c r="B184" s="11"/>
      <c r="C184" s="133"/>
      <c r="D184" s="133"/>
      <c r="E184" s="133"/>
      <c r="F184" s="133"/>
      <c r="G184" s="133"/>
      <c r="H184" s="133"/>
      <c r="I184" s="133"/>
      <c r="J184" s="133"/>
      <c r="K184" s="133"/>
      <c r="L184" s="133"/>
      <c r="M184" s="134"/>
      <c r="N184" s="134"/>
      <c r="O184" s="134"/>
      <c r="P184" s="134"/>
      <c r="Q184" s="134"/>
      <c r="R184" s="134"/>
      <c r="S184" s="135"/>
      <c r="T184" s="135"/>
      <c r="U184" s="135"/>
      <c r="V184" s="135"/>
      <c r="W184" s="135"/>
      <c r="X184" s="135"/>
      <c r="Y184" s="135"/>
      <c r="Z184" s="135"/>
      <c r="AA184" s="135"/>
      <c r="AB184" s="135"/>
      <c r="AC184" s="135"/>
      <c r="AD184" s="135"/>
      <c r="AE184" s="135"/>
      <c r="AF184" s="135"/>
      <c r="AG184" s="135"/>
      <c r="AH184" s="135"/>
      <c r="AI184" s="135"/>
      <c r="AJ184" s="136"/>
      <c r="AK184" s="136"/>
      <c r="AL184" s="136"/>
      <c r="AM184" s="136"/>
      <c r="AN184" s="136"/>
      <c r="AO184" s="134"/>
      <c r="AP184" s="134"/>
      <c r="AQ184" s="134"/>
      <c r="AR184" s="134"/>
      <c r="AS184" s="134"/>
      <c r="AT184" s="134"/>
      <c r="AU184" s="134"/>
      <c r="AV184" s="134"/>
      <c r="AW184" s="134"/>
      <c r="AX184" s="134"/>
      <c r="AY184" s="134"/>
      <c r="AZ184" s="134"/>
      <c r="BA184" s="134"/>
      <c r="BB184" s="134"/>
      <c r="BC184" s="134"/>
      <c r="BD184" s="134"/>
      <c r="BE184" s="136"/>
      <c r="BF184" s="136"/>
      <c r="BG184" s="136"/>
      <c r="BH184" s="136"/>
      <c r="BI184" s="136"/>
      <c r="BJ184" s="136"/>
      <c r="BK184" s="136"/>
      <c r="BL184" s="136"/>
      <c r="BM184" s="136"/>
      <c r="BN184" s="134"/>
      <c r="BO184" s="134"/>
      <c r="BP184" s="134"/>
      <c r="BQ184" s="134"/>
      <c r="BR184" s="134"/>
      <c r="BS184" s="134"/>
      <c r="BT184" s="134"/>
      <c r="BU184" s="136"/>
      <c r="BV184" s="136"/>
      <c r="BW184" s="136"/>
      <c r="BX184" s="136"/>
      <c r="BY184" s="136"/>
      <c r="BZ184" s="136"/>
      <c r="CA184" s="136"/>
      <c r="CB184" s="136"/>
      <c r="CC184" s="136"/>
      <c r="CD184" s="134"/>
      <c r="CE184" s="134"/>
      <c r="CF184" s="134"/>
      <c r="CG184" s="134"/>
      <c r="CH184" s="134"/>
      <c r="CI184" s="134"/>
      <c r="CJ184" s="134"/>
      <c r="CK184" s="134"/>
      <c r="CL184" s="134"/>
      <c r="CM184" s="134"/>
      <c r="CN184" s="134"/>
      <c r="CO184" s="134"/>
      <c r="CP184" s="134"/>
      <c r="CQ184" s="134"/>
      <c r="CR184" s="134"/>
      <c r="CS184" s="134"/>
      <c r="CT184" s="135"/>
      <c r="CU184" s="136"/>
      <c r="CV184" s="136"/>
      <c r="CW184" s="136"/>
      <c r="CX184" s="136"/>
      <c r="CY184" s="136"/>
      <c r="CZ184" s="136"/>
      <c r="DA184" s="136"/>
      <c r="DB184" s="136"/>
      <c r="DC184" s="136"/>
      <c r="DD184" s="136"/>
      <c r="DE184" s="136"/>
      <c r="DF184" s="136"/>
      <c r="DG184" s="136"/>
      <c r="DH184" s="136"/>
      <c r="DI184" s="136"/>
      <c r="DJ184" s="136"/>
      <c r="DK184" s="136"/>
      <c r="DL184" s="136"/>
      <c r="DM184" s="136"/>
      <c r="DN184" s="136"/>
      <c r="DO184" s="136"/>
      <c r="DP184" s="136"/>
      <c r="DQ184" s="136"/>
      <c r="DR184" s="136"/>
      <c r="DS184" s="136"/>
      <c r="DT184" s="136"/>
      <c r="DU184" s="136"/>
      <c r="DV184" s="136"/>
      <c r="DW184" s="136"/>
      <c r="DX184" s="136"/>
      <c r="DY184" s="136"/>
      <c r="DZ184" s="136"/>
      <c r="EA184" s="134"/>
      <c r="EB184" s="134"/>
      <c r="EC184" s="134"/>
      <c r="ED184" s="134"/>
      <c r="EE184" s="134"/>
      <c r="EF184" s="134"/>
      <c r="EG184" s="134"/>
      <c r="EH184" s="134"/>
      <c r="EI184" s="134"/>
      <c r="EJ184" s="134"/>
      <c r="EK184" s="134"/>
      <c r="EL184" s="134"/>
      <c r="EM184" s="135"/>
      <c r="EN184" s="135"/>
      <c r="EO184" s="135"/>
      <c r="EP184" s="136"/>
      <c r="EQ184" s="134"/>
      <c r="ER184" s="134"/>
      <c r="ES184" s="134"/>
      <c r="ET184" s="134"/>
      <c r="EU184" s="134"/>
      <c r="EV184" s="134"/>
      <c r="EW184" s="134"/>
      <c r="EX184" s="134"/>
      <c r="EY184" s="134"/>
      <c r="EZ184" s="134"/>
      <c r="FA184" s="134"/>
      <c r="FB184" s="135"/>
      <c r="FC184" s="136"/>
      <c r="FD184" s="136"/>
      <c r="FE184" s="134"/>
      <c r="FF184" s="134"/>
      <c r="FG184" s="134"/>
      <c r="FH184" s="134"/>
      <c r="FI184" s="134"/>
      <c r="FJ184" s="134"/>
      <c r="FK184" s="134"/>
      <c r="FL184" s="134"/>
      <c r="FM184" s="134"/>
      <c r="FN184" s="134"/>
      <c r="FO184" s="134"/>
      <c r="FP184" s="134"/>
      <c r="FQ184" s="135"/>
      <c r="FR184" s="136"/>
      <c r="FS184" s="136"/>
      <c r="FT184" s="136"/>
      <c r="FU184" s="134"/>
      <c r="FV184" s="134"/>
      <c r="FW184" s="134"/>
      <c r="FX184" s="134"/>
      <c r="FY184" s="135"/>
      <c r="FZ184" s="136"/>
      <c r="GA184" s="136"/>
      <c r="GB184" s="136"/>
      <c r="GC184" s="136"/>
      <c r="GD184" s="136"/>
      <c r="GE184" s="136"/>
      <c r="GF184" s="136"/>
      <c r="GG184" s="136"/>
      <c r="GH184" s="136"/>
      <c r="GI184" s="135"/>
      <c r="GJ184" s="136"/>
      <c r="GK184" s="136"/>
      <c r="GL184" s="136"/>
      <c r="GM184" s="136"/>
      <c r="GN184" s="136"/>
      <c r="GO184" s="136"/>
      <c r="GP184" s="136"/>
      <c r="GQ184" s="136"/>
      <c r="GR184" s="136"/>
      <c r="GS184" s="134"/>
      <c r="GT184" s="134"/>
      <c r="GU184" s="134"/>
      <c r="GV184" s="134"/>
      <c r="GW184" s="134"/>
      <c r="GX184" s="134"/>
      <c r="GY184" s="134"/>
      <c r="GZ184" s="134"/>
      <c r="HA184" s="134"/>
      <c r="HB184" s="134"/>
      <c r="HC184" s="134"/>
      <c r="HD184" s="134"/>
      <c r="HE184" s="134"/>
      <c r="HF184" s="134"/>
      <c r="HG184" s="134"/>
      <c r="HH184" s="134"/>
      <c r="HI184" s="134"/>
      <c r="HJ184" s="134"/>
      <c r="HK184" s="134"/>
      <c r="HL184" s="134"/>
      <c r="HM184" s="134"/>
      <c r="HN184" s="134"/>
      <c r="HO184" s="134"/>
      <c r="HP184" s="134"/>
      <c r="HQ184" s="134"/>
      <c r="HR184" s="134"/>
      <c r="HS184" s="134"/>
      <c r="HT184" s="134"/>
      <c r="HU184" s="134"/>
      <c r="HV184" s="134"/>
      <c r="HW184" s="136"/>
      <c r="HX184" s="136"/>
      <c r="HY184" s="136"/>
      <c r="HZ184" s="136"/>
      <c r="IA184" s="136"/>
      <c r="IB184" s="136"/>
      <c r="IC184" s="136"/>
      <c r="ID184" s="136"/>
      <c r="IE184" s="136"/>
      <c r="IF184" s="136"/>
      <c r="IG184" s="136"/>
      <c r="IH184" s="136"/>
      <c r="II184" s="135"/>
      <c r="IJ184" s="134"/>
      <c r="IK184" s="134"/>
      <c r="IL184" s="134"/>
      <c r="IM184" s="134"/>
      <c r="IN184" s="134"/>
      <c r="IO184" s="134"/>
      <c r="IP184" s="134"/>
      <c r="IQ184" s="134"/>
      <c r="IR184" s="134"/>
      <c r="IS184" s="134"/>
      <c r="IT184" s="134"/>
      <c r="IU184" s="134"/>
      <c r="IV184" s="134"/>
      <c r="IW184" s="134"/>
      <c r="IX184" s="134"/>
      <c r="IY184" s="136"/>
      <c r="IZ184" s="136"/>
      <c r="JA184" s="136"/>
      <c r="JB184" s="134"/>
      <c r="JC184" s="134"/>
      <c r="JD184" s="134"/>
      <c r="JE184" s="134"/>
      <c r="JF184" s="134"/>
      <c r="JG184" s="134"/>
      <c r="JH184" s="134"/>
      <c r="JI184" s="134"/>
      <c r="JJ184" s="134"/>
      <c r="JK184" s="134"/>
      <c r="JL184" s="134"/>
      <c r="JM184" s="134"/>
      <c r="JN184" s="134"/>
      <c r="JO184" s="134"/>
      <c r="JP184" s="134"/>
      <c r="JQ184" s="134"/>
      <c r="JR184" s="134"/>
      <c r="JS184" s="134"/>
      <c r="JT184" s="134"/>
      <c r="JU184" s="134"/>
      <c r="JV184" s="134"/>
      <c r="JW184" s="134"/>
      <c r="JX184" s="134"/>
      <c r="JY184" s="134"/>
      <c r="JZ184" s="134"/>
      <c r="KA184" s="134"/>
      <c r="KB184" s="134"/>
      <c r="KC184" s="134"/>
      <c r="KD184" s="134"/>
      <c r="KE184" s="134"/>
      <c r="KF184" s="134"/>
      <c r="KG184" s="134"/>
      <c r="KH184" s="134"/>
      <c r="KI184" s="134"/>
      <c r="KJ184" s="134"/>
      <c r="KK184" s="134"/>
      <c r="KL184" s="134"/>
      <c r="KM184" s="134"/>
      <c r="KN184" s="134"/>
      <c r="KO184" s="134"/>
      <c r="KP184" s="134"/>
      <c r="KQ184" s="134"/>
      <c r="KR184" s="134"/>
      <c r="KS184" s="134"/>
      <c r="KT184" s="134"/>
      <c r="KU184" s="134"/>
      <c r="KV184" s="134"/>
      <c r="KW184" s="134"/>
      <c r="KX184" s="134"/>
      <c r="KY184" s="134"/>
      <c r="KZ184" s="134"/>
      <c r="LA184" s="134"/>
      <c r="LB184" s="134"/>
      <c r="LC184" s="134"/>
      <c r="LD184" s="134"/>
      <c r="LE184" s="134"/>
      <c r="LF184" s="134"/>
      <c r="LG184" s="134"/>
      <c r="LH184" s="134"/>
      <c r="LI184" s="134"/>
      <c r="LJ184" s="134"/>
      <c r="LK184" s="134"/>
      <c r="LL184" s="134"/>
      <c r="LM184" s="134"/>
      <c r="LN184" s="134"/>
      <c r="LO184" s="134"/>
      <c r="LP184" s="134"/>
      <c r="LQ184" s="134"/>
      <c r="LR184" s="134"/>
      <c r="LS184" s="134"/>
      <c r="LT184" s="134"/>
      <c r="LU184" s="134"/>
      <c r="LV184" s="134"/>
      <c r="LW184" s="134"/>
      <c r="LX184" s="134"/>
      <c r="LY184" s="134"/>
      <c r="LZ184" s="134"/>
      <c r="MA184" s="134"/>
      <c r="MB184" s="134"/>
      <c r="MC184" s="134"/>
      <c r="MD184" s="134"/>
      <c r="ME184" s="134"/>
      <c r="MF184" s="134"/>
      <c r="MG184" s="134"/>
      <c r="MH184" s="134"/>
      <c r="MI184" s="134"/>
      <c r="MJ184" s="134"/>
      <c r="MK184" s="134"/>
      <c r="ML184" s="134"/>
      <c r="MM184" s="134"/>
      <c r="MN184" s="134"/>
      <c r="MO184" s="134"/>
      <c r="MP184" s="134"/>
      <c r="MQ184" s="134"/>
      <c r="MR184" s="134"/>
      <c r="MS184" s="134"/>
      <c r="MT184" s="134"/>
      <c r="MU184" s="134"/>
      <c r="MV184" s="134"/>
      <c r="MW184" s="134"/>
      <c r="MX184" s="134"/>
      <c r="MY184" s="134"/>
      <c r="MZ184" s="134"/>
      <c r="NA184" s="134"/>
      <c r="NB184" s="134"/>
      <c r="NC184" s="134"/>
      <c r="ND184" s="134"/>
      <c r="NE184" s="134"/>
      <c r="NF184" s="134"/>
      <c r="NG184" s="134"/>
      <c r="NH184" s="134"/>
      <c r="NI184" s="134"/>
      <c r="NJ184" s="134"/>
      <c r="NK184" s="134"/>
      <c r="NL184" s="134"/>
      <c r="NM184" s="134"/>
      <c r="NN184" s="134"/>
      <c r="NO184" s="134"/>
      <c r="NP184" s="134"/>
      <c r="NQ184" s="134"/>
      <c r="NR184" s="134"/>
      <c r="NS184" s="134"/>
      <c r="NT184" s="134"/>
      <c r="NU184" s="134"/>
      <c r="NV184" s="134"/>
      <c r="NW184" s="36"/>
      <c r="NX184" s="148"/>
      <c r="NY184" s="54"/>
      <c r="NZ184" s="54" t="s">
        <v>496</v>
      </c>
      <c r="OA184" s="147" t="s">
        <v>495</v>
      </c>
      <c r="OB184" s="155"/>
      <c r="OC184" s="154"/>
      <c r="OD184" s="36"/>
    </row>
    <row r="185" spans="1:395" x14ac:dyDescent="0.25">
      <c r="A185" s="47"/>
      <c r="B185" s="122" t="s">
        <v>528</v>
      </c>
      <c r="C185" s="133"/>
      <c r="D185" s="133"/>
      <c r="E185" s="133"/>
      <c r="F185" s="133"/>
      <c r="G185" s="133"/>
      <c r="H185" s="133"/>
      <c r="I185" s="133"/>
      <c r="J185" s="133"/>
      <c r="K185" s="133"/>
      <c r="L185" s="133"/>
      <c r="NW185" s="6"/>
      <c r="NX185" s="6"/>
      <c r="NY185" s="161" t="s">
        <v>418</v>
      </c>
      <c r="NZ185" s="161">
        <f>1095.9-1064.3</f>
        <v>31.600000000000136</v>
      </c>
      <c r="OA185" s="162">
        <v>44179</v>
      </c>
      <c r="OB185" s="155"/>
      <c r="OC185" s="138"/>
      <c r="OD185" s="152"/>
    </row>
    <row r="186" spans="1:395" x14ac:dyDescent="0.25">
      <c r="A186" s="47"/>
      <c r="B186" s="123" t="s">
        <v>529</v>
      </c>
      <c r="C186" s="133"/>
      <c r="D186" s="133"/>
      <c r="E186" s="133"/>
      <c r="F186" s="133"/>
      <c r="G186" s="133"/>
      <c r="H186" s="133"/>
      <c r="I186" s="133"/>
      <c r="J186" s="133"/>
      <c r="K186" s="133"/>
      <c r="L186" s="133"/>
      <c r="NW186" s="6"/>
      <c r="NX186" s="6"/>
      <c r="NY186" s="161" t="s">
        <v>425</v>
      </c>
      <c r="NZ186" s="161">
        <f>632.78-632.28</f>
        <v>0.5</v>
      </c>
      <c r="OA186" s="162">
        <v>44209</v>
      </c>
      <c r="OB186" s="147"/>
      <c r="OC186" s="4"/>
      <c r="OD186" s="6"/>
      <c r="OE186" s="159" t="s">
        <v>33</v>
      </c>
    </row>
    <row r="187" spans="1:395" x14ac:dyDescent="0.25">
      <c r="A187" s="47"/>
      <c r="B187" s="48"/>
      <c r="C187" s="133"/>
      <c r="D187" s="133"/>
      <c r="E187" s="133"/>
      <c r="F187" s="133"/>
      <c r="G187" s="133"/>
      <c r="H187" s="133"/>
      <c r="I187" s="133"/>
      <c r="J187" s="133"/>
      <c r="K187" s="133"/>
      <c r="L187" s="133"/>
      <c r="NW187" s="6"/>
      <c r="NX187" s="6"/>
      <c r="NY187" s="161" t="s">
        <v>465</v>
      </c>
      <c r="NZ187" s="161">
        <v>7.05</v>
      </c>
      <c r="OA187" s="163" t="s">
        <v>494</v>
      </c>
      <c r="OB187" s="151"/>
      <c r="OC187" s="4"/>
      <c r="OD187" s="6"/>
      <c r="OE187" s="159">
        <v>44322</v>
      </c>
    </row>
    <row r="188" spans="1:395" x14ac:dyDescent="0.25">
      <c r="A188" s="47"/>
      <c r="B188" s="48"/>
      <c r="C188" s="133"/>
      <c r="D188" s="133"/>
      <c r="E188" s="133"/>
      <c r="F188" s="133"/>
      <c r="G188" s="133"/>
      <c r="H188" s="133"/>
      <c r="I188" s="133"/>
      <c r="J188" s="133"/>
      <c r="K188" s="133"/>
      <c r="L188" s="133"/>
      <c r="NW188" s="6"/>
      <c r="NX188" s="6"/>
      <c r="NY188" s="161" t="s">
        <v>519</v>
      </c>
      <c r="NZ188" s="167">
        <v>3868.2</v>
      </c>
      <c r="OA188" s="168">
        <v>44518</v>
      </c>
      <c r="OB188" s="46"/>
      <c r="OC188" s="4"/>
      <c r="OD188" s="6"/>
    </row>
    <row r="189" spans="1:395" x14ac:dyDescent="0.25">
      <c r="A189" s="47"/>
      <c r="B189" s="48"/>
      <c r="C189" s="133"/>
      <c r="D189" s="133"/>
      <c r="E189" s="133"/>
      <c r="F189" s="133"/>
      <c r="G189" s="133"/>
      <c r="H189" s="133"/>
      <c r="I189" s="133"/>
      <c r="J189" s="133"/>
      <c r="K189" s="133"/>
      <c r="L189" s="133"/>
      <c r="NW189" s="6"/>
      <c r="NX189" s="6"/>
      <c r="NY189" s="161" t="s">
        <v>564</v>
      </c>
      <c r="NZ189" s="161">
        <v>2</v>
      </c>
      <c r="OA189" s="162">
        <v>44560</v>
      </c>
      <c r="OB189" s="46"/>
      <c r="OC189" s="4"/>
      <c r="OD189" s="6"/>
    </row>
    <row r="190" spans="1:395" x14ac:dyDescent="0.25">
      <c r="A190" s="47"/>
      <c r="B190" s="48"/>
      <c r="C190" s="133"/>
      <c r="D190" s="133"/>
      <c r="E190" s="133"/>
      <c r="F190" s="133"/>
      <c r="G190" s="133"/>
      <c r="H190" s="133"/>
      <c r="I190" s="133"/>
      <c r="J190" s="133"/>
      <c r="K190" s="133"/>
      <c r="L190" s="133"/>
      <c r="NW190" s="6"/>
      <c r="NX190" s="6"/>
      <c r="NY190" s="161" t="s">
        <v>402</v>
      </c>
      <c r="NZ190" s="161">
        <v>0.01</v>
      </c>
      <c r="OA190" s="162">
        <v>44547</v>
      </c>
      <c r="OB190" s="46"/>
      <c r="OC190" s="4"/>
      <c r="OD190" s="6"/>
    </row>
    <row r="191" spans="1:395" x14ac:dyDescent="0.25">
      <c r="A191" s="47"/>
      <c r="B191" s="48"/>
      <c r="C191" s="133"/>
      <c r="D191" s="133"/>
      <c r="E191" s="133"/>
      <c r="F191" s="133"/>
      <c r="G191" s="133"/>
      <c r="H191" s="133"/>
      <c r="I191" s="133"/>
      <c r="J191" s="133"/>
      <c r="K191" s="133"/>
      <c r="L191" s="133"/>
      <c r="NW191" s="6"/>
      <c r="NX191" s="6"/>
      <c r="NY191" s="161"/>
      <c r="NZ191" s="161"/>
      <c r="OA191" s="162"/>
      <c r="OB191" s="46"/>
      <c r="OC191" s="4"/>
      <c r="OD191" s="6"/>
    </row>
    <row r="192" spans="1:395" x14ac:dyDescent="0.25">
      <c r="A192" s="47"/>
      <c r="B192" s="48"/>
      <c r="C192" s="133"/>
      <c r="D192" s="133"/>
      <c r="E192" s="133"/>
      <c r="F192" s="133"/>
      <c r="G192" s="133"/>
      <c r="H192" s="133"/>
      <c r="I192" s="133"/>
      <c r="J192" s="133"/>
      <c r="K192" s="133"/>
      <c r="L192" s="133"/>
      <c r="NW192" s="6"/>
      <c r="NX192" s="6"/>
      <c r="NY192" s="161"/>
      <c r="NZ192" s="161"/>
      <c r="OA192" s="162"/>
      <c r="OB192" s="46"/>
      <c r="OC192" s="4"/>
      <c r="OD192" s="6"/>
    </row>
    <row r="193" spans="1:394" x14ac:dyDescent="0.25">
      <c r="A193" s="47"/>
      <c r="B193" s="48"/>
      <c r="C193" s="133"/>
      <c r="D193" s="133"/>
      <c r="E193" s="133"/>
      <c r="F193" s="133"/>
      <c r="G193" s="133"/>
      <c r="H193" s="133"/>
      <c r="I193" s="133"/>
      <c r="J193" s="133"/>
      <c r="K193" s="133"/>
      <c r="L193" s="133"/>
      <c r="NW193" s="6"/>
      <c r="NX193" s="6"/>
      <c r="NY193" s="161"/>
      <c r="NZ193" s="161"/>
      <c r="OA193" s="162"/>
      <c r="OB193" s="46"/>
      <c r="OC193" s="4"/>
      <c r="OD193" s="6"/>
    </row>
    <row r="194" spans="1:394" x14ac:dyDescent="0.25">
      <c r="A194" s="47"/>
      <c r="B194" s="48"/>
      <c r="C194" s="133"/>
      <c r="D194" s="133"/>
      <c r="E194" s="133"/>
      <c r="F194" s="133"/>
      <c r="G194" s="133"/>
      <c r="H194" s="133"/>
      <c r="I194" s="133"/>
      <c r="J194" s="133"/>
      <c r="K194" s="133"/>
      <c r="L194" s="133"/>
      <c r="NW194" s="6"/>
      <c r="NX194" s="6"/>
      <c r="NY194" s="6"/>
      <c r="NZ194" s="6"/>
      <c r="OA194" s="6"/>
      <c r="OB194" s="46"/>
      <c r="OC194" s="4"/>
      <c r="OD194" s="6"/>
    </row>
    <row r="195" spans="1:394" x14ac:dyDescent="0.25">
      <c r="A195" s="47"/>
      <c r="B195" s="48"/>
      <c r="C195" s="133"/>
      <c r="D195" s="133"/>
      <c r="E195" s="133"/>
      <c r="F195" s="133"/>
      <c r="G195" s="133"/>
      <c r="H195" s="133"/>
      <c r="I195" s="133"/>
      <c r="J195" s="133"/>
      <c r="K195" s="133"/>
      <c r="L195" s="133"/>
      <c r="NW195" s="6"/>
      <c r="NX195" s="6"/>
      <c r="NY195" s="6"/>
      <c r="NZ195" s="6"/>
      <c r="OA195" s="6"/>
      <c r="OB195" s="46"/>
      <c r="OC195" s="4"/>
      <c r="OD195" s="6"/>
    </row>
    <row r="196" spans="1:394" x14ac:dyDescent="0.25">
      <c r="A196" s="47"/>
      <c r="B196" s="48"/>
      <c r="C196" s="133"/>
      <c r="D196" s="133"/>
      <c r="E196" s="133"/>
      <c r="F196" s="133"/>
      <c r="G196" s="133"/>
      <c r="H196" s="133"/>
      <c r="I196" s="133"/>
      <c r="J196" s="133"/>
      <c r="K196" s="133"/>
      <c r="L196" s="133"/>
      <c r="NW196" s="6"/>
      <c r="NX196" s="6"/>
      <c r="NY196" s="6"/>
      <c r="NZ196" s="6"/>
      <c r="OA196" s="6"/>
      <c r="OB196" s="46"/>
      <c r="OC196" s="4"/>
      <c r="OD196" s="6"/>
    </row>
    <row r="197" spans="1:394" x14ac:dyDescent="0.25">
      <c r="A197" s="47"/>
      <c r="B197" s="48"/>
      <c r="C197" s="133"/>
      <c r="D197" s="133"/>
      <c r="E197" s="133"/>
      <c r="F197" s="133"/>
      <c r="G197" s="133"/>
      <c r="H197" s="133"/>
      <c r="I197" s="133"/>
      <c r="J197" s="133"/>
      <c r="K197" s="133"/>
      <c r="L197" s="133"/>
      <c r="NW197" s="6"/>
      <c r="NX197" s="6"/>
      <c r="NY197" s="6"/>
      <c r="NZ197" s="6"/>
      <c r="OA197" s="6"/>
      <c r="OB197" s="46"/>
      <c r="OC197" s="4"/>
      <c r="OD197" s="6"/>
    </row>
    <row r="198" spans="1:394" x14ac:dyDescent="0.25">
      <c r="A198" s="47"/>
      <c r="B198" s="48"/>
      <c r="C198" s="133"/>
      <c r="D198" s="133"/>
      <c r="E198" s="133"/>
      <c r="F198" s="133"/>
      <c r="G198" s="133"/>
      <c r="H198" s="133"/>
      <c r="I198" s="133"/>
      <c r="J198" s="133"/>
      <c r="K198" s="133"/>
      <c r="L198" s="133"/>
      <c r="NW198" s="6"/>
      <c r="NX198" s="6"/>
      <c r="NY198" s="6"/>
      <c r="NZ198" s="6"/>
      <c r="OA198" s="6"/>
      <c r="OB198" s="46"/>
      <c r="OC198" s="4"/>
      <c r="OD198" s="6"/>
    </row>
    <row r="199" spans="1:394" x14ac:dyDescent="0.25">
      <c r="A199" s="47"/>
      <c r="B199" s="48"/>
      <c r="C199" s="133"/>
      <c r="D199" s="133"/>
      <c r="E199" s="133"/>
      <c r="F199" s="133"/>
      <c r="G199" s="133"/>
      <c r="H199" s="133"/>
      <c r="I199" s="133"/>
      <c r="J199" s="133"/>
      <c r="K199" s="133"/>
      <c r="L199" s="133"/>
      <c r="NW199" s="6"/>
      <c r="NX199" s="6"/>
      <c r="NY199" s="6"/>
      <c r="NZ199" s="6"/>
      <c r="OA199" s="6"/>
      <c r="OB199" s="46"/>
      <c r="OC199" s="4"/>
      <c r="OD199" s="6"/>
    </row>
    <row r="200" spans="1:394" x14ac:dyDescent="0.25">
      <c r="A200" s="47"/>
      <c r="B200" s="48"/>
      <c r="C200" s="133"/>
      <c r="D200" s="133"/>
      <c r="E200" s="133"/>
      <c r="F200" s="133"/>
      <c r="G200" s="133"/>
      <c r="H200" s="133"/>
      <c r="I200" s="133"/>
      <c r="J200" s="133"/>
      <c r="K200" s="133"/>
      <c r="L200" s="133"/>
      <c r="NW200" s="6"/>
      <c r="NX200" s="6"/>
      <c r="NY200" s="6"/>
      <c r="NZ200" s="6"/>
      <c r="OA200" s="6"/>
      <c r="OB200" s="46"/>
      <c r="OC200" s="4"/>
      <c r="OD200" s="6"/>
    </row>
    <row r="201" spans="1:394" x14ac:dyDescent="0.25">
      <c r="A201" s="47"/>
      <c r="B201" s="48"/>
      <c r="C201" s="133"/>
      <c r="D201" s="133"/>
      <c r="E201" s="133"/>
      <c r="F201" s="133"/>
      <c r="G201" s="133"/>
      <c r="H201" s="133"/>
      <c r="I201" s="133"/>
      <c r="J201" s="133"/>
      <c r="K201" s="133"/>
      <c r="L201" s="133"/>
      <c r="NW201" s="6"/>
      <c r="NX201" s="6"/>
      <c r="NY201" s="6"/>
      <c r="NZ201" s="6"/>
      <c r="OA201" s="6"/>
      <c r="OB201" s="46"/>
      <c r="OC201" s="4"/>
      <c r="OD201" s="6"/>
    </row>
    <row r="202" spans="1:394" x14ac:dyDescent="0.25">
      <c r="A202" s="47"/>
      <c r="B202" s="48"/>
      <c r="C202" s="133"/>
      <c r="D202" s="133"/>
      <c r="E202" s="133"/>
      <c r="F202" s="133"/>
      <c r="G202" s="133"/>
      <c r="H202" s="133"/>
      <c r="I202" s="133"/>
      <c r="J202" s="133"/>
      <c r="K202" s="133"/>
      <c r="L202" s="133"/>
      <c r="NW202" s="6"/>
      <c r="NX202" s="6"/>
      <c r="NY202" s="6"/>
      <c r="NZ202" s="6"/>
      <c r="OA202" s="6"/>
      <c r="OB202" s="46"/>
      <c r="OC202" s="4"/>
      <c r="OD202" s="6"/>
    </row>
    <row r="203" spans="1:394" x14ac:dyDescent="0.25">
      <c r="A203" s="47"/>
      <c r="B203" s="48"/>
      <c r="C203" s="133"/>
      <c r="D203" s="133"/>
      <c r="E203" s="133"/>
      <c r="F203" s="133"/>
      <c r="G203" s="133"/>
      <c r="H203" s="133"/>
      <c r="I203" s="133"/>
      <c r="J203" s="133"/>
      <c r="K203" s="133"/>
      <c r="L203" s="133"/>
      <c r="NW203" s="6"/>
      <c r="NX203" s="6"/>
      <c r="NY203" s="6"/>
      <c r="NZ203" s="6"/>
      <c r="OA203" s="6"/>
      <c r="OB203" s="46"/>
      <c r="OC203" s="4"/>
      <c r="OD203" s="6"/>
    </row>
    <row r="204" spans="1:394" x14ac:dyDescent="0.25">
      <c r="A204" s="47"/>
      <c r="B204" s="48"/>
      <c r="C204" s="133"/>
      <c r="D204" s="133"/>
      <c r="E204" s="133"/>
      <c r="F204" s="133"/>
      <c r="G204" s="133"/>
      <c r="H204" s="133"/>
      <c r="I204" s="133"/>
      <c r="J204" s="133"/>
      <c r="K204" s="133"/>
      <c r="L204" s="133"/>
      <c r="NW204" s="6"/>
      <c r="NX204" s="6"/>
      <c r="NY204" s="6"/>
      <c r="NZ204" s="6"/>
      <c r="OA204" s="6"/>
      <c r="OB204" s="46"/>
      <c r="OC204" s="4"/>
      <c r="OD204" s="6"/>
    </row>
    <row r="205" spans="1:394" x14ac:dyDescent="0.25">
      <c r="A205" s="47"/>
      <c r="B205" s="48"/>
      <c r="C205" s="133"/>
      <c r="D205" s="133"/>
      <c r="E205" s="133"/>
      <c r="F205" s="133"/>
      <c r="G205" s="133"/>
      <c r="H205" s="133"/>
      <c r="I205" s="133"/>
      <c r="J205" s="133"/>
      <c r="K205" s="133"/>
      <c r="L205" s="133"/>
      <c r="NW205" s="6"/>
      <c r="NX205" s="6"/>
      <c r="NY205" s="6"/>
      <c r="NZ205" s="6"/>
      <c r="OA205" s="6"/>
      <c r="OB205" s="46"/>
      <c r="OC205" s="4"/>
      <c r="OD205" s="6"/>
    </row>
    <row r="206" spans="1:394" x14ac:dyDescent="0.25">
      <c r="A206" s="47"/>
      <c r="B206" s="48"/>
      <c r="C206" s="133"/>
      <c r="D206" s="133"/>
      <c r="E206" s="133"/>
      <c r="F206" s="133"/>
      <c r="G206" s="133"/>
      <c r="H206" s="133"/>
      <c r="I206" s="133"/>
      <c r="J206" s="133"/>
      <c r="K206" s="133"/>
      <c r="L206" s="133"/>
      <c r="NW206" s="6"/>
      <c r="NX206" s="6"/>
      <c r="NY206" s="6"/>
      <c r="NZ206" s="6"/>
      <c r="OA206" s="6"/>
      <c r="OB206" s="46"/>
      <c r="OC206" s="4"/>
      <c r="OD206" s="6"/>
    </row>
    <row r="207" spans="1:394" x14ac:dyDescent="0.25">
      <c r="A207" s="47"/>
      <c r="B207" s="48"/>
      <c r="C207" s="133"/>
      <c r="D207" s="133"/>
      <c r="E207" s="133"/>
      <c r="F207" s="133"/>
      <c r="G207" s="133"/>
      <c r="H207" s="133"/>
      <c r="I207" s="133"/>
      <c r="J207" s="133"/>
      <c r="K207" s="133"/>
      <c r="L207" s="133"/>
      <c r="NW207" s="6"/>
      <c r="NX207" s="6"/>
      <c r="NY207" s="6"/>
      <c r="NZ207" s="6"/>
      <c r="OA207" s="6"/>
      <c r="OB207" s="46"/>
      <c r="OC207" s="4"/>
      <c r="OD207" s="6"/>
    </row>
    <row r="208" spans="1:394" x14ac:dyDescent="0.25">
      <c r="A208" s="47"/>
      <c r="B208" s="48"/>
      <c r="C208" s="133"/>
      <c r="D208" s="133"/>
      <c r="E208" s="133"/>
      <c r="F208" s="133"/>
      <c r="G208" s="133"/>
      <c r="H208" s="133"/>
      <c r="I208" s="133"/>
      <c r="J208" s="133"/>
      <c r="K208" s="133"/>
      <c r="L208" s="133"/>
      <c r="NW208" s="6"/>
      <c r="NX208" s="6"/>
      <c r="NY208" s="6"/>
      <c r="NZ208" s="6"/>
      <c r="OA208" s="6"/>
      <c r="OB208" s="46"/>
      <c r="OC208" s="4"/>
      <c r="OD208" s="6"/>
    </row>
    <row r="209" spans="1:394" x14ac:dyDescent="0.25">
      <c r="A209" s="47"/>
      <c r="B209" s="48"/>
      <c r="C209" s="133"/>
      <c r="D209" s="133"/>
      <c r="E209" s="133"/>
      <c r="F209" s="133"/>
      <c r="G209" s="133"/>
      <c r="H209" s="133"/>
      <c r="I209" s="133"/>
      <c r="J209" s="133"/>
      <c r="K209" s="133"/>
      <c r="L209" s="133"/>
      <c r="NW209" s="6"/>
      <c r="NX209" s="6"/>
      <c r="NY209" s="6"/>
      <c r="NZ209" s="6"/>
      <c r="OA209" s="6"/>
      <c r="OB209" s="46"/>
      <c r="OC209" s="4"/>
      <c r="OD209" s="6"/>
    </row>
    <row r="210" spans="1:394" x14ac:dyDescent="0.25">
      <c r="A210" s="47"/>
      <c r="B210" s="48"/>
      <c r="C210" s="133"/>
      <c r="D210" s="133"/>
      <c r="E210" s="133"/>
      <c r="F210" s="133"/>
      <c r="G210" s="133"/>
      <c r="H210" s="133"/>
      <c r="I210" s="133"/>
      <c r="J210" s="133"/>
      <c r="K210" s="133"/>
      <c r="L210" s="133"/>
      <c r="NW210" s="6"/>
      <c r="NX210" s="6"/>
      <c r="NY210" s="6"/>
      <c r="NZ210" s="6"/>
      <c r="OA210" s="6"/>
      <c r="OB210" s="46"/>
      <c r="OC210" s="4"/>
      <c r="OD210" s="6"/>
    </row>
    <row r="211" spans="1:394" x14ac:dyDescent="0.25">
      <c r="A211" s="47"/>
      <c r="B211" s="48"/>
      <c r="C211" s="133"/>
      <c r="D211" s="133"/>
      <c r="E211" s="133"/>
      <c r="F211" s="133"/>
      <c r="G211" s="133"/>
      <c r="H211" s="133"/>
      <c r="I211" s="133"/>
      <c r="J211" s="133"/>
      <c r="K211" s="133"/>
      <c r="L211" s="133"/>
      <c r="NW211" s="6"/>
      <c r="NX211" s="6"/>
      <c r="NY211" s="6"/>
      <c r="NZ211" s="6"/>
      <c r="OA211" s="6"/>
      <c r="OB211" s="46"/>
      <c r="OC211" s="4"/>
      <c r="OD211" s="6"/>
    </row>
    <row r="212" spans="1:394" x14ac:dyDescent="0.25">
      <c r="A212" s="47"/>
      <c r="B212" s="48"/>
      <c r="C212" s="133"/>
      <c r="D212" s="133"/>
      <c r="E212" s="133"/>
      <c r="F212" s="133"/>
      <c r="G212" s="133"/>
      <c r="H212" s="133"/>
      <c r="I212" s="133"/>
      <c r="J212" s="133"/>
      <c r="K212" s="133"/>
      <c r="L212" s="133"/>
      <c r="NW212" s="6"/>
      <c r="NX212" s="6"/>
      <c r="NY212" s="6"/>
      <c r="NZ212" s="6"/>
      <c r="OA212" s="6"/>
      <c r="OB212" s="46"/>
      <c r="OC212" s="4"/>
      <c r="OD212" s="6"/>
    </row>
    <row r="213" spans="1:394" x14ac:dyDescent="0.25">
      <c r="A213" s="47"/>
      <c r="B213" s="48"/>
      <c r="C213" s="133"/>
      <c r="D213" s="133"/>
      <c r="E213" s="133"/>
      <c r="F213" s="133"/>
      <c r="G213" s="133"/>
      <c r="H213" s="133"/>
      <c r="I213" s="133"/>
      <c r="J213" s="133"/>
      <c r="K213" s="133"/>
      <c r="L213" s="133"/>
      <c r="NW213" s="6"/>
      <c r="NX213" s="6"/>
      <c r="NY213" s="6"/>
      <c r="NZ213" s="6"/>
      <c r="OA213" s="6"/>
      <c r="OB213" s="46"/>
      <c r="OC213" s="4"/>
      <c r="OD213" s="6"/>
    </row>
    <row r="214" spans="1:394" x14ac:dyDescent="0.25">
      <c r="A214" s="47"/>
      <c r="B214" s="48"/>
      <c r="C214" s="133"/>
      <c r="D214" s="133"/>
      <c r="E214" s="133"/>
      <c r="F214" s="133"/>
      <c r="G214" s="133"/>
      <c r="H214" s="133"/>
      <c r="I214" s="133"/>
      <c r="J214" s="133"/>
      <c r="K214" s="133"/>
      <c r="L214" s="133"/>
      <c r="NW214" s="6"/>
      <c r="NX214" s="6"/>
      <c r="NY214" s="6"/>
      <c r="NZ214" s="6"/>
      <c r="OA214" s="6"/>
      <c r="OB214" s="46"/>
      <c r="OC214" s="4"/>
      <c r="OD214" s="6"/>
    </row>
    <row r="215" spans="1:394" x14ac:dyDescent="0.25">
      <c r="A215" s="47"/>
      <c r="B215" s="48"/>
      <c r="C215" s="133"/>
      <c r="D215" s="133"/>
      <c r="E215" s="133"/>
      <c r="F215" s="133"/>
      <c r="G215" s="133"/>
      <c r="H215" s="133"/>
      <c r="I215" s="133"/>
      <c r="J215" s="133"/>
      <c r="K215" s="133"/>
      <c r="L215" s="133"/>
      <c r="NW215" s="6"/>
      <c r="NX215" s="6"/>
      <c r="NY215" s="6"/>
      <c r="NZ215" s="6"/>
      <c r="OA215" s="6"/>
      <c r="OB215" s="46"/>
      <c r="OC215" s="4"/>
      <c r="OD215" s="6"/>
    </row>
    <row r="216" spans="1:394" x14ac:dyDescent="0.25">
      <c r="A216" s="47"/>
      <c r="B216" s="48"/>
      <c r="C216" s="133"/>
      <c r="D216" s="133"/>
      <c r="E216" s="133"/>
      <c r="F216" s="133"/>
      <c r="G216" s="133"/>
      <c r="H216" s="133"/>
      <c r="I216" s="133"/>
      <c r="J216" s="133"/>
      <c r="K216" s="133"/>
      <c r="L216" s="133"/>
      <c r="NW216" s="6"/>
      <c r="NX216" s="6"/>
      <c r="NY216" s="6"/>
      <c r="NZ216" s="6"/>
      <c r="OA216" s="6"/>
      <c r="OB216" s="46"/>
      <c r="OC216" s="4"/>
      <c r="OD216" s="6"/>
    </row>
    <row r="217" spans="1:394" x14ac:dyDescent="0.25">
      <c r="A217" s="47"/>
      <c r="B217" s="48"/>
      <c r="C217" s="133"/>
      <c r="D217" s="133"/>
      <c r="E217" s="133"/>
      <c r="F217" s="133"/>
      <c r="G217" s="133"/>
      <c r="H217" s="133"/>
      <c r="I217" s="133"/>
      <c r="J217" s="133"/>
      <c r="K217" s="133"/>
      <c r="L217" s="133"/>
      <c r="NW217" s="6"/>
      <c r="NX217" s="6"/>
      <c r="NY217" s="6"/>
      <c r="NZ217" s="6"/>
      <c r="OA217" s="6"/>
      <c r="OB217" s="46"/>
      <c r="OC217" s="4"/>
      <c r="OD217" s="6"/>
    </row>
    <row r="218" spans="1:394" x14ac:dyDescent="0.25">
      <c r="A218" s="47"/>
      <c r="B218" s="48"/>
      <c r="C218" s="133"/>
      <c r="D218" s="133"/>
      <c r="E218" s="133"/>
      <c r="F218" s="133"/>
      <c r="G218" s="133"/>
      <c r="H218" s="133"/>
      <c r="I218" s="133"/>
      <c r="J218" s="133"/>
      <c r="K218" s="133"/>
      <c r="L218" s="133"/>
      <c r="NW218" s="6"/>
      <c r="NX218" s="6"/>
      <c r="NY218" s="6"/>
      <c r="NZ218" s="6"/>
      <c r="OA218" s="6"/>
      <c r="OB218" s="46"/>
      <c r="OC218" s="4"/>
      <c r="OD218" s="6"/>
    </row>
    <row r="219" spans="1:394" x14ac:dyDescent="0.25">
      <c r="A219" s="47"/>
      <c r="B219" s="48"/>
      <c r="C219" s="133"/>
      <c r="D219" s="133"/>
      <c r="E219" s="133"/>
      <c r="F219" s="133"/>
      <c r="G219" s="133"/>
      <c r="H219" s="133"/>
      <c r="I219" s="133"/>
      <c r="J219" s="133"/>
      <c r="K219" s="133"/>
      <c r="L219" s="133"/>
      <c r="NW219" s="6"/>
      <c r="NX219" s="6"/>
      <c r="NY219" s="6"/>
      <c r="NZ219" s="6"/>
      <c r="OA219" s="6"/>
      <c r="OB219" s="46"/>
      <c r="OC219" s="4"/>
      <c r="OD219" s="6"/>
    </row>
    <row r="220" spans="1:394" x14ac:dyDescent="0.25">
      <c r="A220" s="47"/>
      <c r="B220" s="48"/>
      <c r="C220" s="133"/>
      <c r="D220" s="133"/>
      <c r="E220" s="133"/>
      <c r="F220" s="133"/>
      <c r="G220" s="133"/>
      <c r="H220" s="133"/>
      <c r="I220" s="133"/>
      <c r="J220" s="133"/>
      <c r="K220" s="133"/>
      <c r="L220" s="133"/>
      <c r="NW220" s="6"/>
      <c r="NX220" s="6"/>
      <c r="NY220" s="6"/>
      <c r="NZ220" s="6"/>
      <c r="OA220" s="6"/>
      <c r="OB220" s="46"/>
      <c r="OC220" s="4"/>
      <c r="OD220" s="6"/>
    </row>
    <row r="221" spans="1:394" x14ac:dyDescent="0.25">
      <c r="A221" s="47"/>
      <c r="B221" s="48"/>
      <c r="C221" s="133"/>
      <c r="D221" s="133"/>
      <c r="E221" s="133"/>
      <c r="F221" s="133"/>
      <c r="G221" s="133"/>
      <c r="H221" s="133"/>
      <c r="I221" s="133"/>
      <c r="J221" s="133"/>
      <c r="K221" s="133"/>
      <c r="L221" s="133"/>
      <c r="NW221" s="6"/>
      <c r="NX221" s="6"/>
      <c r="NY221" s="6"/>
      <c r="NZ221" s="6"/>
      <c r="OA221" s="6"/>
      <c r="OB221" s="46"/>
      <c r="OC221" s="4"/>
      <c r="OD221" s="6"/>
    </row>
    <row r="222" spans="1:394" x14ac:dyDescent="0.25">
      <c r="A222" s="47"/>
      <c r="B222" s="48"/>
      <c r="C222" s="133"/>
      <c r="D222" s="133"/>
      <c r="E222" s="133"/>
      <c r="F222" s="133"/>
      <c r="G222" s="133"/>
      <c r="H222" s="133"/>
      <c r="I222" s="133"/>
      <c r="J222" s="133"/>
      <c r="K222" s="133"/>
      <c r="L222" s="133"/>
      <c r="NW222" s="6"/>
      <c r="NX222" s="6"/>
      <c r="NY222" s="6"/>
      <c r="NZ222" s="6"/>
      <c r="OA222" s="6"/>
      <c r="OB222" s="46"/>
      <c r="OC222" s="4"/>
      <c r="OD222" s="6"/>
    </row>
    <row r="223" spans="1:394" x14ac:dyDescent="0.25">
      <c r="A223" s="47"/>
      <c r="B223" s="48"/>
      <c r="C223" s="133"/>
      <c r="D223" s="133"/>
      <c r="E223" s="133"/>
      <c r="F223" s="133"/>
      <c r="G223" s="133"/>
      <c r="H223" s="133"/>
      <c r="I223" s="133"/>
      <c r="J223" s="133"/>
      <c r="K223" s="133"/>
      <c r="L223" s="133"/>
      <c r="NW223" s="6"/>
      <c r="NX223" s="6"/>
      <c r="NY223" s="6"/>
      <c r="NZ223" s="6"/>
      <c r="OA223" s="6"/>
      <c r="OB223" s="46"/>
      <c r="OC223" s="4"/>
      <c r="OD223" s="6"/>
    </row>
    <row r="224" spans="1:394" x14ac:dyDescent="0.25">
      <c r="A224" s="47"/>
      <c r="B224" s="48"/>
      <c r="C224" s="133"/>
      <c r="D224" s="133"/>
      <c r="E224" s="133"/>
      <c r="F224" s="133"/>
      <c r="G224" s="133"/>
      <c r="H224" s="133"/>
      <c r="I224" s="133"/>
      <c r="J224" s="133"/>
      <c r="K224" s="133"/>
      <c r="L224" s="133"/>
      <c r="NW224" s="6"/>
      <c r="NX224" s="6"/>
      <c r="NY224" s="6"/>
      <c r="NZ224" s="6"/>
      <c r="OA224" s="6"/>
      <c r="OB224" s="46"/>
      <c r="OC224" s="4"/>
      <c r="OD224" s="6"/>
    </row>
    <row r="225" spans="1:394" x14ac:dyDescent="0.25">
      <c r="A225" s="47"/>
      <c r="B225" s="48"/>
      <c r="C225" s="133"/>
      <c r="D225" s="133"/>
      <c r="E225" s="133"/>
      <c r="F225" s="133"/>
      <c r="G225" s="133"/>
      <c r="H225" s="133"/>
      <c r="I225" s="133"/>
      <c r="J225" s="133"/>
      <c r="K225" s="133"/>
      <c r="L225" s="133"/>
      <c r="NW225" s="6"/>
      <c r="NX225" s="6"/>
      <c r="NY225" s="6"/>
      <c r="NZ225" s="6"/>
      <c r="OA225" s="6"/>
      <c r="OB225" s="46"/>
      <c r="OC225" s="4"/>
      <c r="OD225" s="6"/>
    </row>
    <row r="226" spans="1:394" x14ac:dyDescent="0.25">
      <c r="A226" s="47"/>
      <c r="B226" s="48"/>
      <c r="C226" s="133"/>
      <c r="D226" s="133"/>
      <c r="E226" s="133"/>
      <c r="F226" s="133"/>
      <c r="G226" s="133"/>
      <c r="H226" s="133"/>
      <c r="I226" s="133"/>
      <c r="J226" s="133"/>
      <c r="K226" s="133"/>
      <c r="L226" s="133"/>
      <c r="NW226" s="6"/>
      <c r="NX226" s="6"/>
      <c r="NY226" s="6"/>
      <c r="NZ226" s="6"/>
      <c r="OA226" s="6"/>
      <c r="OB226" s="46"/>
      <c r="OC226" s="4"/>
      <c r="OD226" s="6"/>
    </row>
    <row r="227" spans="1:394" x14ac:dyDescent="0.25">
      <c r="A227" s="47"/>
      <c r="B227" s="48"/>
      <c r="C227" s="133"/>
      <c r="D227" s="133"/>
      <c r="E227" s="133"/>
      <c r="F227" s="133"/>
      <c r="G227" s="133"/>
      <c r="H227" s="133"/>
      <c r="I227" s="133"/>
      <c r="J227" s="133"/>
      <c r="K227" s="133"/>
      <c r="L227" s="133"/>
      <c r="NW227" s="6"/>
      <c r="NX227" s="6"/>
      <c r="NY227" s="6"/>
      <c r="NZ227" s="6"/>
      <c r="OA227" s="6"/>
      <c r="OB227" s="46"/>
      <c r="OC227" s="4"/>
      <c r="OD227" s="6"/>
    </row>
    <row r="228" spans="1:394" x14ac:dyDescent="0.25">
      <c r="A228" s="47"/>
      <c r="B228" s="48"/>
      <c r="C228" s="133"/>
      <c r="D228" s="133"/>
      <c r="E228" s="133"/>
      <c r="F228" s="133"/>
      <c r="G228" s="133"/>
      <c r="H228" s="133"/>
      <c r="I228" s="133"/>
      <c r="J228" s="133"/>
      <c r="K228" s="133"/>
      <c r="L228" s="133"/>
      <c r="NW228" s="6"/>
      <c r="NX228" s="6"/>
      <c r="NY228" s="6"/>
      <c r="NZ228" s="6"/>
      <c r="OA228" s="6"/>
      <c r="OB228" s="46"/>
      <c r="OC228" s="4"/>
      <c r="OD228" s="6"/>
    </row>
    <row r="229" spans="1:394" x14ac:dyDescent="0.25">
      <c r="A229" s="47"/>
      <c r="B229" s="48"/>
      <c r="C229" s="133"/>
      <c r="D229" s="133"/>
      <c r="E229" s="133"/>
      <c r="F229" s="133"/>
      <c r="G229" s="133"/>
      <c r="H229" s="133"/>
      <c r="I229" s="133"/>
      <c r="J229" s="133"/>
      <c r="K229" s="133"/>
      <c r="L229" s="133"/>
      <c r="NW229" s="6"/>
      <c r="NX229" s="6"/>
      <c r="NY229" s="6"/>
      <c r="NZ229" s="6"/>
      <c r="OA229" s="6"/>
      <c r="OB229" s="46"/>
      <c r="OC229" s="4"/>
      <c r="OD229" s="6"/>
    </row>
    <row r="230" spans="1:394" x14ac:dyDescent="0.25">
      <c r="A230" s="47"/>
      <c r="B230" s="48"/>
      <c r="C230" s="133"/>
      <c r="D230" s="133"/>
      <c r="E230" s="133"/>
      <c r="F230" s="133"/>
      <c r="G230" s="133"/>
      <c r="H230" s="133"/>
      <c r="I230" s="133"/>
      <c r="J230" s="133"/>
      <c r="K230" s="133"/>
      <c r="L230" s="133"/>
      <c r="NW230" s="6"/>
      <c r="NX230" s="6"/>
      <c r="NY230" s="6"/>
      <c r="NZ230" s="6"/>
      <c r="OA230" s="6"/>
      <c r="OB230" s="46"/>
      <c r="OC230" s="4"/>
      <c r="OD230" s="6"/>
    </row>
    <row r="231" spans="1:394" x14ac:dyDescent="0.25">
      <c r="A231" s="47"/>
      <c r="B231" s="48"/>
      <c r="C231" s="133"/>
      <c r="D231" s="133"/>
      <c r="E231" s="133"/>
      <c r="F231" s="133"/>
      <c r="G231" s="133"/>
      <c r="H231" s="133"/>
      <c r="I231" s="133"/>
      <c r="J231" s="133"/>
      <c r="K231" s="133"/>
      <c r="L231" s="133"/>
      <c r="NW231" s="6"/>
      <c r="NX231" s="6"/>
      <c r="NY231" s="6"/>
      <c r="NZ231" s="6"/>
      <c r="OA231" s="6"/>
      <c r="OB231" s="46"/>
      <c r="OC231" s="4"/>
      <c r="OD231" s="6"/>
    </row>
    <row r="232" spans="1:394" x14ac:dyDescent="0.25">
      <c r="A232" s="47"/>
      <c r="B232" s="48"/>
      <c r="C232" s="133"/>
      <c r="D232" s="133"/>
      <c r="E232" s="133"/>
      <c r="F232" s="133"/>
      <c r="G232" s="133"/>
      <c r="H232" s="133"/>
      <c r="I232" s="133"/>
      <c r="J232" s="133"/>
      <c r="K232" s="133"/>
      <c r="L232" s="133"/>
      <c r="NW232" s="6"/>
      <c r="NX232" s="6"/>
      <c r="NY232" s="6"/>
      <c r="NZ232" s="6"/>
      <c r="OA232" s="6"/>
      <c r="OB232" s="46"/>
      <c r="OC232" s="4"/>
      <c r="OD232" s="6"/>
    </row>
    <row r="233" spans="1:394" x14ac:dyDescent="0.25">
      <c r="A233" s="47"/>
      <c r="B233" s="48"/>
      <c r="C233" s="133"/>
      <c r="D233" s="133"/>
      <c r="E233" s="133"/>
      <c r="F233" s="133"/>
      <c r="G233" s="133"/>
      <c r="H233" s="133"/>
      <c r="I233" s="133"/>
      <c r="J233" s="133"/>
      <c r="K233" s="133"/>
      <c r="L233" s="133"/>
      <c r="NW233" s="6"/>
      <c r="NX233" s="6"/>
      <c r="NY233" s="6"/>
      <c r="NZ233" s="6"/>
      <c r="OA233" s="6"/>
      <c r="OB233" s="46"/>
      <c r="OC233" s="4"/>
      <c r="OD233" s="6"/>
    </row>
    <row r="234" spans="1:394" x14ac:dyDescent="0.25">
      <c r="A234" s="47"/>
      <c r="B234" s="48"/>
      <c r="C234" s="133"/>
      <c r="D234" s="133"/>
      <c r="E234" s="133"/>
      <c r="F234" s="133"/>
      <c r="G234" s="133"/>
      <c r="H234" s="133"/>
      <c r="I234" s="133"/>
      <c r="J234" s="133"/>
      <c r="K234" s="133"/>
      <c r="L234" s="133"/>
      <c r="NW234" s="6"/>
      <c r="NX234" s="6"/>
      <c r="NY234" s="6"/>
      <c r="NZ234" s="6"/>
      <c r="OA234" s="6"/>
      <c r="OB234" s="46"/>
      <c r="OC234" s="4"/>
      <c r="OD234" s="6"/>
    </row>
    <row r="235" spans="1:394" x14ac:dyDescent="0.25">
      <c r="A235" s="47"/>
      <c r="B235" s="48"/>
      <c r="C235" s="133"/>
      <c r="D235" s="133"/>
      <c r="E235" s="133"/>
      <c r="F235" s="133"/>
      <c r="G235" s="133"/>
      <c r="H235" s="133"/>
      <c r="I235" s="133"/>
      <c r="J235" s="133"/>
      <c r="K235" s="133"/>
      <c r="L235" s="133"/>
      <c r="NW235" s="6"/>
      <c r="NX235" s="6"/>
      <c r="NY235" s="6"/>
      <c r="NZ235" s="6"/>
      <c r="OA235" s="6"/>
      <c r="OB235" s="46"/>
      <c r="OC235" s="4"/>
      <c r="OD235" s="6"/>
    </row>
    <row r="236" spans="1:394" x14ac:dyDescent="0.25">
      <c r="A236" s="47"/>
      <c r="B236" s="48"/>
      <c r="C236" s="133"/>
      <c r="D236" s="133"/>
      <c r="E236" s="133"/>
      <c r="F236" s="133"/>
      <c r="G236" s="133"/>
      <c r="H236" s="133"/>
      <c r="I236" s="133"/>
      <c r="J236" s="133"/>
      <c r="K236" s="133"/>
      <c r="L236" s="133"/>
      <c r="NW236" s="6"/>
      <c r="NX236" s="6"/>
      <c r="NY236" s="6"/>
      <c r="NZ236" s="6"/>
      <c r="OA236" s="6"/>
      <c r="OB236" s="46"/>
      <c r="OC236" s="4"/>
      <c r="OD236" s="6"/>
    </row>
    <row r="237" spans="1:394" x14ac:dyDescent="0.25">
      <c r="A237" s="47"/>
      <c r="B237" s="48"/>
      <c r="C237" s="133"/>
      <c r="D237" s="133"/>
      <c r="E237" s="133"/>
      <c r="F237" s="133"/>
      <c r="G237" s="133"/>
      <c r="H237" s="133"/>
      <c r="I237" s="133"/>
      <c r="J237" s="133"/>
      <c r="K237" s="133"/>
      <c r="L237" s="133"/>
      <c r="NW237" s="6"/>
      <c r="NX237" s="6"/>
      <c r="NY237" s="6"/>
      <c r="NZ237" s="6"/>
      <c r="OA237" s="6"/>
      <c r="OB237" s="46"/>
      <c r="OC237" s="4"/>
      <c r="OD237" s="6"/>
    </row>
    <row r="238" spans="1:394" x14ac:dyDescent="0.25">
      <c r="A238" s="47"/>
      <c r="B238" s="48"/>
      <c r="C238" s="133"/>
      <c r="D238" s="133"/>
      <c r="E238" s="133"/>
      <c r="F238" s="133"/>
      <c r="G238" s="133"/>
      <c r="H238" s="133"/>
      <c r="I238" s="133"/>
      <c r="J238" s="133"/>
      <c r="K238" s="133"/>
      <c r="L238" s="133"/>
      <c r="NW238" s="6"/>
      <c r="NX238" s="6"/>
      <c r="NY238" s="6"/>
      <c r="NZ238" s="6"/>
      <c r="OA238" s="6"/>
      <c r="OB238" s="46"/>
      <c r="OC238" s="4"/>
      <c r="OD238" s="6"/>
    </row>
    <row r="239" spans="1:394" x14ac:dyDescent="0.25">
      <c r="A239" s="47"/>
      <c r="B239" s="48"/>
      <c r="C239" s="133"/>
      <c r="D239" s="133"/>
      <c r="E239" s="133"/>
      <c r="F239" s="133"/>
      <c r="G239" s="133"/>
      <c r="H239" s="133"/>
      <c r="I239" s="133"/>
      <c r="J239" s="133"/>
      <c r="K239" s="133"/>
      <c r="L239" s="133"/>
      <c r="NW239" s="6"/>
      <c r="NX239" s="6"/>
      <c r="NY239" s="6"/>
      <c r="NZ239" s="6"/>
      <c r="OA239" s="6"/>
      <c r="OB239" s="46"/>
      <c r="OC239" s="4"/>
      <c r="OD239" s="6"/>
    </row>
    <row r="240" spans="1:394" x14ac:dyDescent="0.25">
      <c r="A240" s="47"/>
      <c r="B240" s="48"/>
      <c r="C240" s="133"/>
      <c r="D240" s="133"/>
      <c r="E240" s="133"/>
      <c r="F240" s="133"/>
      <c r="G240" s="133"/>
      <c r="H240" s="133"/>
      <c r="I240" s="133"/>
      <c r="J240" s="133"/>
      <c r="K240" s="133"/>
      <c r="L240" s="133"/>
      <c r="NW240" s="6"/>
      <c r="NX240" s="6"/>
      <c r="NY240" s="6"/>
      <c r="NZ240" s="6"/>
      <c r="OA240" s="6"/>
      <c r="OB240" s="46"/>
      <c r="OC240" s="4"/>
      <c r="OD240" s="6"/>
    </row>
    <row r="241" spans="1:394" x14ac:dyDescent="0.25">
      <c r="A241" s="47"/>
      <c r="B241" s="48"/>
      <c r="C241" s="133"/>
      <c r="D241" s="133"/>
      <c r="E241" s="133"/>
      <c r="F241" s="133"/>
      <c r="G241" s="133"/>
      <c r="H241" s="133"/>
      <c r="I241" s="133"/>
      <c r="J241" s="133"/>
      <c r="K241" s="133"/>
      <c r="L241" s="133"/>
      <c r="NW241" s="6"/>
      <c r="NX241" s="6"/>
      <c r="NY241" s="6"/>
      <c r="NZ241" s="6"/>
      <c r="OA241" s="6"/>
      <c r="OB241" s="46"/>
      <c r="OC241" s="4"/>
      <c r="OD241" s="6"/>
    </row>
    <row r="242" spans="1:394" x14ac:dyDescent="0.25">
      <c r="A242" s="47"/>
      <c r="B242" s="48"/>
      <c r="C242" s="133"/>
      <c r="D242" s="133"/>
      <c r="E242" s="133"/>
      <c r="F242" s="133"/>
      <c r="G242" s="133"/>
      <c r="H242" s="133"/>
      <c r="I242" s="133"/>
      <c r="J242" s="133"/>
      <c r="K242" s="133"/>
      <c r="L242" s="133"/>
      <c r="NW242" s="6"/>
      <c r="NX242" s="6"/>
      <c r="NY242" s="6"/>
      <c r="NZ242" s="6"/>
      <c r="OA242" s="6"/>
      <c r="OB242" s="46"/>
      <c r="OC242" s="4"/>
      <c r="OD242" s="6"/>
    </row>
    <row r="243" spans="1:394" x14ac:dyDescent="0.25">
      <c r="A243" s="47"/>
      <c r="B243" s="48"/>
      <c r="C243" s="133"/>
      <c r="D243" s="133"/>
      <c r="E243" s="133"/>
      <c r="F243" s="133"/>
      <c r="G243" s="133"/>
      <c r="H243" s="133"/>
      <c r="I243" s="133"/>
      <c r="J243" s="133"/>
      <c r="K243" s="133"/>
      <c r="L243" s="133"/>
      <c r="NW243" s="6"/>
      <c r="NX243" s="6"/>
      <c r="NY243" s="6"/>
      <c r="NZ243" s="6"/>
      <c r="OA243" s="6"/>
      <c r="OB243" s="46"/>
      <c r="OC243" s="4"/>
      <c r="OD243" s="6"/>
    </row>
    <row r="244" spans="1:394" x14ac:dyDescent="0.25">
      <c r="A244" s="47"/>
      <c r="B244" s="48"/>
      <c r="C244" s="133"/>
      <c r="D244" s="133"/>
      <c r="E244" s="133"/>
      <c r="F244" s="133"/>
      <c r="G244" s="133"/>
      <c r="H244" s="133"/>
      <c r="I244" s="133"/>
      <c r="J244" s="133"/>
      <c r="K244" s="133"/>
      <c r="L244" s="133"/>
      <c r="NW244" s="6"/>
      <c r="NX244" s="6"/>
      <c r="NY244" s="6"/>
      <c r="NZ244" s="6"/>
      <c r="OA244" s="6"/>
      <c r="OB244" s="46"/>
      <c r="OC244" s="4"/>
      <c r="OD244" s="6"/>
    </row>
    <row r="245" spans="1:394" x14ac:dyDescent="0.25">
      <c r="A245" s="47"/>
      <c r="B245" s="48"/>
      <c r="C245" s="133"/>
      <c r="D245" s="133"/>
      <c r="E245" s="133"/>
      <c r="F245" s="133"/>
      <c r="G245" s="133"/>
      <c r="H245" s="133"/>
      <c r="I245" s="133"/>
      <c r="J245" s="133"/>
      <c r="K245" s="133"/>
      <c r="L245" s="133"/>
      <c r="NW245" s="6"/>
      <c r="NX245" s="6"/>
      <c r="NY245" s="6"/>
      <c r="NZ245" s="6"/>
      <c r="OA245" s="6"/>
      <c r="OB245" s="46"/>
      <c r="OC245" s="4"/>
      <c r="OD245" s="6"/>
    </row>
    <row r="246" spans="1:394" x14ac:dyDescent="0.25">
      <c r="A246" s="47"/>
      <c r="B246" s="48"/>
      <c r="C246" s="133"/>
      <c r="D246" s="133"/>
      <c r="E246" s="133"/>
      <c r="F246" s="133"/>
      <c r="G246" s="133"/>
      <c r="H246" s="133"/>
      <c r="I246" s="133"/>
      <c r="J246" s="133"/>
      <c r="K246" s="133"/>
      <c r="L246" s="133"/>
      <c r="NW246" s="6"/>
      <c r="NX246" s="6"/>
      <c r="NY246" s="6"/>
      <c r="NZ246" s="6"/>
      <c r="OA246" s="6"/>
      <c r="OB246" s="46"/>
      <c r="OC246" s="4"/>
      <c r="OD246" s="6"/>
    </row>
    <row r="247" spans="1:394" x14ac:dyDescent="0.25">
      <c r="A247" s="47"/>
      <c r="B247" s="48"/>
      <c r="C247" s="133"/>
      <c r="D247" s="133"/>
      <c r="E247" s="133"/>
      <c r="F247" s="133"/>
      <c r="G247" s="133"/>
      <c r="H247" s="133"/>
      <c r="I247" s="133"/>
      <c r="J247" s="133"/>
      <c r="K247" s="133"/>
      <c r="L247" s="133"/>
      <c r="NW247" s="6"/>
      <c r="NX247" s="6"/>
      <c r="NY247" s="6"/>
      <c r="NZ247" s="6"/>
      <c r="OA247" s="6"/>
      <c r="OB247" s="46"/>
      <c r="OC247" s="4"/>
      <c r="OD247" s="6"/>
    </row>
    <row r="248" spans="1:394" x14ac:dyDescent="0.25">
      <c r="A248" s="47"/>
      <c r="B248" s="48"/>
      <c r="C248" s="133"/>
      <c r="D248" s="133"/>
      <c r="E248" s="133"/>
      <c r="F248" s="133"/>
      <c r="G248" s="133"/>
      <c r="H248" s="133"/>
      <c r="I248" s="133"/>
      <c r="J248" s="133"/>
      <c r="K248" s="133"/>
      <c r="L248" s="133"/>
      <c r="NW248" s="6"/>
      <c r="NX248" s="6"/>
      <c r="NY248" s="6"/>
      <c r="NZ248" s="6"/>
      <c r="OA248" s="6"/>
      <c r="OB248" s="46"/>
      <c r="OC248" s="4"/>
      <c r="OD248" s="6"/>
    </row>
    <row r="249" spans="1:394" x14ac:dyDescent="0.25">
      <c r="A249" s="47"/>
      <c r="B249" s="48"/>
      <c r="C249" s="133"/>
      <c r="D249" s="133"/>
      <c r="E249" s="133"/>
      <c r="F249" s="133"/>
      <c r="G249" s="133"/>
      <c r="H249" s="133"/>
      <c r="I249" s="133"/>
      <c r="J249" s="133"/>
      <c r="K249" s="133"/>
      <c r="L249" s="133"/>
      <c r="NW249" s="6"/>
      <c r="NX249" s="6"/>
      <c r="NY249" s="6"/>
      <c r="NZ249" s="6"/>
      <c r="OA249" s="6"/>
      <c r="OB249" s="46"/>
      <c r="OC249" s="4"/>
      <c r="OD249" s="6"/>
    </row>
    <row r="250" spans="1:394" x14ac:dyDescent="0.25">
      <c r="A250" s="47"/>
      <c r="B250" s="48"/>
      <c r="C250" s="133"/>
      <c r="D250" s="133"/>
      <c r="E250" s="133"/>
      <c r="F250" s="133"/>
      <c r="G250" s="133"/>
      <c r="H250" s="133"/>
      <c r="I250" s="133"/>
      <c r="J250" s="133"/>
      <c r="K250" s="133"/>
      <c r="L250" s="133"/>
      <c r="NW250" s="6"/>
      <c r="NX250" s="6"/>
      <c r="NY250" s="6"/>
      <c r="NZ250" s="6"/>
      <c r="OA250" s="6"/>
      <c r="OB250" s="46"/>
      <c r="OC250" s="4"/>
      <c r="OD250" s="6"/>
    </row>
    <row r="251" spans="1:394" x14ac:dyDescent="0.25">
      <c r="A251" s="47"/>
      <c r="B251" s="48"/>
      <c r="C251" s="133"/>
      <c r="D251" s="133"/>
      <c r="E251" s="133"/>
      <c r="F251" s="133"/>
      <c r="G251" s="133"/>
      <c r="H251" s="133"/>
      <c r="I251" s="133"/>
      <c r="J251" s="133"/>
      <c r="K251" s="133"/>
      <c r="L251" s="133"/>
      <c r="NW251" s="6"/>
      <c r="NX251" s="6"/>
      <c r="NY251" s="6"/>
      <c r="NZ251" s="6"/>
      <c r="OA251" s="6"/>
      <c r="OB251" s="46"/>
      <c r="OC251" s="4"/>
      <c r="OD251" s="6"/>
    </row>
    <row r="252" spans="1:394" x14ac:dyDescent="0.25">
      <c r="A252" s="47"/>
      <c r="B252" s="48"/>
      <c r="C252" s="133"/>
      <c r="D252" s="133"/>
      <c r="E252" s="133"/>
      <c r="F252" s="133"/>
      <c r="G252" s="133"/>
      <c r="H252" s="133"/>
      <c r="I252" s="133"/>
      <c r="J252" s="133"/>
      <c r="K252" s="133"/>
      <c r="L252" s="133"/>
      <c r="NW252" s="6"/>
      <c r="NX252" s="6"/>
      <c r="NY252" s="6"/>
      <c r="NZ252" s="6"/>
      <c r="OA252" s="6"/>
      <c r="OB252" s="46"/>
      <c r="OC252" s="4"/>
      <c r="OD252" s="6"/>
    </row>
    <row r="253" spans="1:394" x14ac:dyDescent="0.25">
      <c r="A253" s="47"/>
      <c r="B253" s="48"/>
      <c r="C253" s="133"/>
      <c r="D253" s="133"/>
      <c r="E253" s="133"/>
      <c r="F253" s="133"/>
      <c r="G253" s="133"/>
      <c r="H253" s="133"/>
      <c r="I253" s="133"/>
      <c r="J253" s="133"/>
      <c r="K253" s="133"/>
      <c r="L253" s="133"/>
      <c r="NW253" s="6"/>
      <c r="NX253" s="6"/>
      <c r="NY253" s="6"/>
      <c r="NZ253" s="6"/>
      <c r="OA253" s="6"/>
      <c r="OB253" s="46"/>
      <c r="OC253" s="4"/>
      <c r="OD253" s="6"/>
    </row>
    <row r="254" spans="1:394" x14ac:dyDescent="0.25">
      <c r="A254" s="47"/>
      <c r="B254" s="48"/>
      <c r="C254" s="133"/>
      <c r="D254" s="133"/>
      <c r="E254" s="133"/>
      <c r="F254" s="133"/>
      <c r="G254" s="133"/>
      <c r="H254" s="133"/>
      <c r="I254" s="133"/>
      <c r="J254" s="133"/>
      <c r="K254" s="133"/>
      <c r="L254" s="133"/>
      <c r="NW254" s="6"/>
      <c r="NX254" s="6"/>
      <c r="NY254" s="6"/>
      <c r="NZ254" s="6"/>
      <c r="OA254" s="6"/>
      <c r="OB254" s="46"/>
      <c r="OC254" s="4"/>
      <c r="OD254" s="6"/>
    </row>
    <row r="255" spans="1:394" x14ac:dyDescent="0.25">
      <c r="A255" s="47"/>
      <c r="B255" s="48"/>
      <c r="C255" s="133"/>
      <c r="D255" s="133"/>
      <c r="E255" s="133"/>
      <c r="F255" s="133"/>
      <c r="G255" s="133"/>
      <c r="H255" s="133"/>
      <c r="I255" s="133"/>
      <c r="J255" s="133"/>
      <c r="K255" s="133"/>
      <c r="L255" s="133"/>
      <c r="NW255" s="6"/>
      <c r="NX255" s="6"/>
      <c r="NY255" s="6"/>
      <c r="NZ255" s="6"/>
      <c r="OA255" s="6"/>
      <c r="OB255" s="46"/>
      <c r="OC255" s="4"/>
      <c r="OD255" s="6"/>
    </row>
    <row r="256" spans="1:394" x14ac:dyDescent="0.25">
      <c r="A256" s="47"/>
      <c r="B256" s="48"/>
      <c r="C256" s="133"/>
      <c r="D256" s="133"/>
      <c r="E256" s="133"/>
      <c r="F256" s="133"/>
      <c r="G256" s="133"/>
      <c r="H256" s="133"/>
      <c r="I256" s="133"/>
      <c r="J256" s="133"/>
      <c r="K256" s="133"/>
      <c r="L256" s="133"/>
      <c r="NW256" s="6"/>
      <c r="NX256" s="6"/>
      <c r="NY256" s="6"/>
      <c r="NZ256" s="6"/>
      <c r="OA256" s="6"/>
      <c r="OB256" s="46"/>
      <c r="OC256" s="4"/>
      <c r="OD256" s="6"/>
    </row>
    <row r="257" spans="1:394" x14ac:dyDescent="0.25">
      <c r="A257" s="47"/>
      <c r="B257" s="48"/>
      <c r="C257" s="133"/>
      <c r="D257" s="133"/>
      <c r="E257" s="133"/>
      <c r="F257" s="133"/>
      <c r="G257" s="133"/>
      <c r="H257" s="133"/>
      <c r="I257" s="133"/>
      <c r="J257" s="133"/>
      <c r="K257" s="133"/>
      <c r="L257" s="133"/>
      <c r="NW257" s="6"/>
      <c r="NX257" s="6"/>
      <c r="NY257" s="6"/>
      <c r="NZ257" s="6"/>
      <c r="OA257" s="6"/>
      <c r="OB257" s="46"/>
      <c r="OC257" s="4"/>
      <c r="OD257" s="6"/>
    </row>
    <row r="258" spans="1:394" x14ac:dyDescent="0.25">
      <c r="A258" s="47"/>
      <c r="B258" s="48"/>
      <c r="C258" s="133"/>
      <c r="D258" s="133"/>
      <c r="E258" s="133"/>
      <c r="F258" s="133"/>
      <c r="G258" s="133"/>
      <c r="H258" s="133"/>
      <c r="I258" s="133"/>
      <c r="J258" s="133"/>
      <c r="K258" s="133"/>
      <c r="L258" s="133"/>
      <c r="NW258" s="6"/>
      <c r="NX258" s="6"/>
      <c r="NY258" s="6"/>
      <c r="NZ258" s="6"/>
      <c r="OA258" s="6"/>
      <c r="OB258" s="46"/>
      <c r="OC258" s="4"/>
      <c r="OD258" s="6"/>
    </row>
    <row r="259" spans="1:394" x14ac:dyDescent="0.25">
      <c r="A259" s="47"/>
      <c r="B259" s="48"/>
      <c r="C259" s="133"/>
      <c r="D259" s="133"/>
      <c r="E259" s="133"/>
      <c r="F259" s="133"/>
      <c r="G259" s="133"/>
      <c r="H259" s="133"/>
      <c r="I259" s="133"/>
      <c r="J259" s="133"/>
      <c r="K259" s="133"/>
      <c r="L259" s="133"/>
      <c r="NW259" s="6"/>
      <c r="NX259" s="6"/>
      <c r="NY259" s="6"/>
      <c r="NZ259" s="6"/>
      <c r="OA259" s="6"/>
      <c r="OB259" s="46"/>
      <c r="OC259" s="4"/>
      <c r="OD259" s="6"/>
    </row>
    <row r="260" spans="1:394" x14ac:dyDescent="0.25">
      <c r="A260" s="47"/>
      <c r="B260" s="48"/>
      <c r="C260" s="133"/>
      <c r="D260" s="133"/>
      <c r="E260" s="133"/>
      <c r="F260" s="133"/>
      <c r="G260" s="133"/>
      <c r="H260" s="133"/>
      <c r="I260" s="133"/>
      <c r="J260" s="133"/>
      <c r="K260" s="133"/>
      <c r="L260" s="133"/>
      <c r="NW260" s="6"/>
      <c r="NX260" s="6"/>
      <c r="NY260" s="6"/>
      <c r="NZ260" s="6"/>
      <c r="OA260" s="6"/>
      <c r="OB260" s="46"/>
      <c r="OC260" s="4"/>
      <c r="OD260" s="6"/>
    </row>
    <row r="261" spans="1:394" x14ac:dyDescent="0.25">
      <c r="A261" s="47"/>
      <c r="B261" s="48"/>
      <c r="C261" s="133"/>
      <c r="D261" s="133"/>
      <c r="E261" s="133"/>
      <c r="F261" s="133"/>
      <c r="G261" s="133"/>
      <c r="H261" s="133"/>
      <c r="I261" s="133"/>
      <c r="J261" s="133"/>
      <c r="K261" s="133"/>
      <c r="L261" s="133"/>
      <c r="NW261" s="6"/>
      <c r="NX261" s="6"/>
      <c r="NY261" s="6"/>
      <c r="NZ261" s="6"/>
      <c r="OA261" s="6"/>
      <c r="OB261" s="46"/>
      <c r="OC261" s="4"/>
      <c r="OD261" s="6"/>
    </row>
    <row r="262" spans="1:394" x14ac:dyDescent="0.25">
      <c r="A262" s="47"/>
      <c r="B262" s="48"/>
      <c r="C262" s="133"/>
      <c r="D262" s="133"/>
      <c r="E262" s="133"/>
      <c r="F262" s="133"/>
      <c r="G262" s="133"/>
      <c r="H262" s="133"/>
      <c r="I262" s="133"/>
      <c r="J262" s="133"/>
      <c r="K262" s="133"/>
      <c r="L262" s="133"/>
      <c r="NW262" s="6"/>
      <c r="NX262" s="6"/>
      <c r="NY262" s="6"/>
      <c r="NZ262" s="6"/>
      <c r="OA262" s="6"/>
      <c r="OB262" s="46"/>
      <c r="OC262" s="4"/>
      <c r="OD262" s="6"/>
    </row>
    <row r="263" spans="1:394" x14ac:dyDescent="0.25">
      <c r="A263" s="47"/>
      <c r="B263" s="48"/>
      <c r="C263" s="133"/>
      <c r="D263" s="133"/>
      <c r="E263" s="133"/>
      <c r="F263" s="133"/>
      <c r="G263" s="133"/>
      <c r="H263" s="133"/>
      <c r="I263" s="133"/>
      <c r="J263" s="133"/>
      <c r="K263" s="133"/>
      <c r="L263" s="133"/>
      <c r="NW263" s="6"/>
      <c r="NX263" s="6"/>
      <c r="NY263" s="6"/>
      <c r="NZ263" s="6"/>
      <c r="OA263" s="6"/>
      <c r="OB263" s="46"/>
      <c r="OC263" s="4"/>
      <c r="OD263" s="6"/>
    </row>
    <row r="264" spans="1:394" x14ac:dyDescent="0.25">
      <c r="A264" s="47"/>
      <c r="B264" s="48"/>
      <c r="C264" s="133"/>
      <c r="D264" s="133"/>
      <c r="E264" s="133"/>
      <c r="F264" s="133"/>
      <c r="G264" s="133"/>
      <c r="H264" s="133"/>
      <c r="I264" s="133"/>
      <c r="J264" s="133"/>
      <c r="K264" s="133"/>
      <c r="L264" s="133"/>
      <c r="NW264" s="6"/>
      <c r="NX264" s="6"/>
      <c r="NY264" s="6"/>
      <c r="NZ264" s="6"/>
      <c r="OA264" s="6"/>
      <c r="OB264" s="46"/>
      <c r="OC264" s="4"/>
      <c r="OD264" s="6"/>
    </row>
    <row r="265" spans="1:394" x14ac:dyDescent="0.25">
      <c r="A265" s="47"/>
      <c r="B265" s="48"/>
      <c r="C265" s="133"/>
      <c r="D265" s="133"/>
      <c r="E265" s="133"/>
      <c r="F265" s="133"/>
      <c r="G265" s="133"/>
      <c r="H265" s="133"/>
      <c r="I265" s="133"/>
      <c r="J265" s="133"/>
      <c r="K265" s="133"/>
      <c r="L265" s="133"/>
      <c r="NW265" s="6"/>
      <c r="NX265" s="6"/>
      <c r="NY265" s="6"/>
      <c r="NZ265" s="6"/>
      <c r="OA265" s="6"/>
      <c r="OB265" s="46"/>
      <c r="OC265" s="4"/>
      <c r="OD265" s="6"/>
    </row>
    <row r="266" spans="1:394" x14ac:dyDescent="0.25">
      <c r="A266" s="47"/>
      <c r="B266" s="48"/>
      <c r="C266" s="133"/>
      <c r="D266" s="133"/>
      <c r="E266" s="133"/>
      <c r="F266" s="133"/>
      <c r="G266" s="133"/>
      <c r="H266" s="133"/>
      <c r="I266" s="133"/>
      <c r="J266" s="133"/>
      <c r="K266" s="133"/>
      <c r="L266" s="133"/>
      <c r="NW266" s="6"/>
      <c r="NX266" s="6"/>
      <c r="NY266" s="6"/>
      <c r="NZ266" s="6"/>
      <c r="OA266" s="6"/>
      <c r="OB266" s="46"/>
      <c r="OC266" s="4"/>
      <c r="OD266" s="6"/>
    </row>
    <row r="267" spans="1:394" x14ac:dyDescent="0.25">
      <c r="A267" s="47"/>
      <c r="B267" s="48"/>
      <c r="C267" s="133"/>
      <c r="D267" s="133"/>
      <c r="E267" s="133"/>
      <c r="F267" s="133"/>
      <c r="G267" s="133"/>
      <c r="H267" s="133"/>
      <c r="I267" s="133"/>
      <c r="J267" s="133"/>
      <c r="K267" s="133"/>
      <c r="L267" s="133"/>
      <c r="NW267" s="6"/>
      <c r="NX267" s="6"/>
      <c r="NY267" s="6"/>
      <c r="NZ267" s="6"/>
      <c r="OA267" s="6"/>
      <c r="OB267" s="46"/>
      <c r="OC267" s="4"/>
      <c r="OD267" s="6"/>
    </row>
    <row r="268" spans="1:394" x14ac:dyDescent="0.25">
      <c r="A268" s="47"/>
      <c r="B268" s="48"/>
      <c r="C268" s="133"/>
      <c r="D268" s="133"/>
      <c r="E268" s="133"/>
      <c r="F268" s="133"/>
      <c r="G268" s="133"/>
      <c r="H268" s="133"/>
      <c r="I268" s="133"/>
      <c r="J268" s="133"/>
      <c r="K268" s="133"/>
      <c r="L268" s="133"/>
      <c r="NW268" s="6"/>
      <c r="NX268" s="6"/>
      <c r="NY268" s="6"/>
      <c r="NZ268" s="6"/>
      <c r="OA268" s="6"/>
      <c r="OB268" s="46"/>
      <c r="OC268" s="4"/>
      <c r="OD268" s="6"/>
    </row>
    <row r="269" spans="1:394" x14ac:dyDescent="0.25">
      <c r="A269" s="47"/>
      <c r="B269" s="48"/>
      <c r="C269" s="133"/>
      <c r="D269" s="133"/>
      <c r="E269" s="133"/>
      <c r="F269" s="133"/>
      <c r="G269" s="133"/>
      <c r="H269" s="133"/>
      <c r="I269" s="133"/>
      <c r="J269" s="133"/>
      <c r="K269" s="133"/>
      <c r="L269" s="133"/>
      <c r="NW269" s="6"/>
      <c r="NX269" s="6"/>
      <c r="NY269" s="6"/>
      <c r="NZ269" s="6"/>
      <c r="OA269" s="6"/>
      <c r="OB269" s="46"/>
      <c r="OC269" s="4"/>
      <c r="OD269" s="6"/>
    </row>
    <row r="270" spans="1:394" x14ac:dyDescent="0.25">
      <c r="A270" s="47"/>
      <c r="B270" s="48"/>
      <c r="C270" s="133"/>
      <c r="D270" s="133"/>
      <c r="E270" s="133"/>
      <c r="F270" s="133"/>
      <c r="G270" s="133"/>
      <c r="H270" s="133"/>
      <c r="I270" s="133"/>
      <c r="J270" s="133"/>
      <c r="K270" s="133"/>
      <c r="L270" s="133"/>
      <c r="NW270" s="6"/>
      <c r="NX270" s="6"/>
      <c r="NY270" s="6"/>
      <c r="NZ270" s="6"/>
      <c r="OA270" s="6"/>
      <c r="OB270" s="46"/>
      <c r="OC270" s="4"/>
      <c r="OD270" s="6"/>
    </row>
    <row r="271" spans="1:394" x14ac:dyDescent="0.25">
      <c r="A271" s="47"/>
      <c r="B271" s="48"/>
      <c r="C271" s="133"/>
      <c r="D271" s="133"/>
      <c r="E271" s="133"/>
      <c r="F271" s="133"/>
      <c r="G271" s="133"/>
      <c r="H271" s="133"/>
      <c r="I271" s="133"/>
      <c r="J271" s="133"/>
      <c r="K271" s="133"/>
      <c r="L271" s="133"/>
      <c r="NW271" s="6"/>
      <c r="NX271" s="6"/>
      <c r="NY271" s="6"/>
      <c r="NZ271" s="6"/>
      <c r="OA271" s="6"/>
      <c r="OB271" s="46"/>
      <c r="OC271" s="4"/>
      <c r="OD271" s="6"/>
    </row>
    <row r="272" spans="1:394" x14ac:dyDescent="0.25">
      <c r="A272" s="47"/>
      <c r="B272" s="48"/>
      <c r="C272" s="133"/>
      <c r="D272" s="133"/>
      <c r="E272" s="133"/>
      <c r="F272" s="133"/>
      <c r="G272" s="133"/>
      <c r="H272" s="133"/>
      <c r="I272" s="133"/>
      <c r="J272" s="133"/>
      <c r="K272" s="133"/>
      <c r="L272" s="133"/>
      <c r="NW272" s="6"/>
      <c r="NX272" s="6"/>
      <c r="NY272" s="6"/>
      <c r="NZ272" s="6"/>
      <c r="OA272" s="6"/>
      <c r="OB272" s="46"/>
      <c r="OC272" s="4"/>
      <c r="OD272" s="6"/>
    </row>
    <row r="273" spans="1:394" x14ac:dyDescent="0.25">
      <c r="A273" s="47"/>
      <c r="B273" s="48"/>
      <c r="C273" s="133"/>
      <c r="D273" s="133"/>
      <c r="E273" s="133"/>
      <c r="F273" s="133"/>
      <c r="G273" s="133"/>
      <c r="H273" s="133"/>
      <c r="I273" s="133"/>
      <c r="J273" s="133"/>
      <c r="K273" s="133"/>
      <c r="L273" s="133"/>
      <c r="NW273" s="6"/>
      <c r="NX273" s="6"/>
      <c r="NY273" s="6"/>
      <c r="NZ273" s="6"/>
      <c r="OA273" s="6"/>
      <c r="OB273" s="46"/>
      <c r="OC273" s="4"/>
      <c r="OD273" s="6"/>
    </row>
    <row r="274" spans="1:394" x14ac:dyDescent="0.25">
      <c r="A274" s="47"/>
      <c r="B274" s="48"/>
      <c r="C274" s="133"/>
      <c r="D274" s="133"/>
      <c r="E274" s="133"/>
      <c r="F274" s="133"/>
      <c r="G274" s="133"/>
      <c r="H274" s="133"/>
      <c r="I274" s="133"/>
      <c r="J274" s="133"/>
      <c r="K274" s="133"/>
      <c r="L274" s="133"/>
      <c r="NW274" s="6"/>
      <c r="NX274" s="6"/>
      <c r="NY274" s="6"/>
      <c r="NZ274" s="6"/>
      <c r="OA274" s="6"/>
      <c r="OB274" s="46"/>
      <c r="OC274" s="4"/>
      <c r="OD274" s="6"/>
    </row>
    <row r="275" spans="1:394" x14ac:dyDescent="0.25">
      <c r="A275" s="47"/>
      <c r="B275" s="48"/>
      <c r="C275" s="133"/>
      <c r="D275" s="133"/>
      <c r="E275" s="133"/>
      <c r="F275" s="133"/>
      <c r="G275" s="133"/>
      <c r="H275" s="133"/>
      <c r="I275" s="133"/>
      <c r="J275" s="133"/>
      <c r="K275" s="133"/>
      <c r="L275" s="133"/>
      <c r="NW275" s="6"/>
      <c r="NX275" s="6"/>
      <c r="NY275" s="6"/>
      <c r="NZ275" s="6"/>
      <c r="OA275" s="6"/>
      <c r="OB275" s="46"/>
      <c r="OC275" s="4"/>
      <c r="OD275" s="6"/>
    </row>
    <row r="276" spans="1:394" x14ac:dyDescent="0.25">
      <c r="A276" s="47"/>
      <c r="B276" s="48"/>
      <c r="C276" s="133"/>
      <c r="D276" s="133"/>
      <c r="E276" s="133"/>
      <c r="F276" s="133"/>
      <c r="G276" s="133"/>
      <c r="H276" s="133"/>
      <c r="I276" s="133"/>
      <c r="J276" s="133"/>
      <c r="K276" s="133"/>
      <c r="L276" s="133"/>
      <c r="NW276" s="6"/>
      <c r="NX276" s="6"/>
      <c r="NY276" s="6"/>
      <c r="NZ276" s="6"/>
      <c r="OA276" s="6"/>
      <c r="OB276" s="46"/>
      <c r="OC276" s="4"/>
      <c r="OD276" s="6"/>
    </row>
    <row r="277" spans="1:394" x14ac:dyDescent="0.25">
      <c r="A277" s="47"/>
      <c r="B277" s="48"/>
      <c r="C277" s="133"/>
      <c r="D277" s="133"/>
      <c r="E277" s="133"/>
      <c r="F277" s="133"/>
      <c r="G277" s="133"/>
      <c r="H277" s="133"/>
      <c r="I277" s="133"/>
      <c r="J277" s="133"/>
      <c r="K277" s="133"/>
      <c r="L277" s="133"/>
      <c r="NW277" s="6"/>
      <c r="NX277" s="6"/>
      <c r="NY277" s="6"/>
      <c r="NZ277" s="6"/>
      <c r="OA277" s="6"/>
      <c r="OB277" s="46"/>
      <c r="OC277" s="4"/>
      <c r="OD277" s="6"/>
    </row>
    <row r="278" spans="1:394" x14ac:dyDescent="0.25">
      <c r="A278" s="47"/>
      <c r="B278" s="48"/>
      <c r="C278" s="133"/>
      <c r="D278" s="133"/>
      <c r="E278" s="133"/>
      <c r="F278" s="133"/>
      <c r="G278" s="133"/>
      <c r="H278" s="133"/>
      <c r="I278" s="133"/>
      <c r="J278" s="133"/>
      <c r="K278" s="133"/>
      <c r="L278" s="133"/>
      <c r="NW278" s="6"/>
      <c r="NX278" s="6"/>
      <c r="NY278" s="6"/>
      <c r="NZ278" s="6"/>
      <c r="OA278" s="6"/>
      <c r="OB278" s="46"/>
      <c r="OC278" s="4"/>
      <c r="OD278" s="6"/>
    </row>
    <row r="279" spans="1:394" x14ac:dyDescent="0.25">
      <c r="A279" s="47"/>
      <c r="B279" s="48"/>
      <c r="C279" s="133"/>
      <c r="D279" s="133"/>
      <c r="E279" s="133"/>
      <c r="F279" s="133"/>
      <c r="G279" s="133"/>
      <c r="H279" s="133"/>
      <c r="I279" s="133"/>
      <c r="J279" s="133"/>
      <c r="K279" s="133"/>
      <c r="L279" s="133"/>
      <c r="NW279" s="6"/>
      <c r="NX279" s="6"/>
      <c r="NY279" s="6"/>
      <c r="NZ279" s="6"/>
      <c r="OA279" s="6"/>
      <c r="OB279" s="46"/>
      <c r="OC279" s="4"/>
      <c r="OD279" s="6"/>
    </row>
    <row r="280" spans="1:394" x14ac:dyDescent="0.25">
      <c r="A280" s="47"/>
      <c r="B280" s="48"/>
      <c r="C280" s="133"/>
      <c r="D280" s="133"/>
      <c r="E280" s="133"/>
      <c r="F280" s="133"/>
      <c r="G280" s="133"/>
      <c r="H280" s="133"/>
      <c r="I280" s="133"/>
      <c r="J280" s="133"/>
      <c r="K280" s="133"/>
      <c r="L280" s="133"/>
      <c r="NW280" s="6"/>
      <c r="NX280" s="6"/>
      <c r="NY280" s="6"/>
      <c r="NZ280" s="6"/>
      <c r="OA280" s="6"/>
      <c r="OB280" s="46"/>
      <c r="OC280" s="4"/>
      <c r="OD280" s="6"/>
    </row>
    <row r="281" spans="1:394" x14ac:dyDescent="0.25">
      <c r="A281" s="47"/>
      <c r="B281" s="48"/>
      <c r="C281" s="133"/>
      <c r="D281" s="133"/>
      <c r="E281" s="133"/>
      <c r="F281" s="133"/>
      <c r="G281" s="133"/>
      <c r="H281" s="133"/>
      <c r="I281" s="133"/>
      <c r="J281" s="133"/>
      <c r="K281" s="133"/>
      <c r="L281" s="133"/>
      <c r="NW281" s="6"/>
      <c r="NX281" s="6"/>
      <c r="NY281" s="6"/>
      <c r="NZ281" s="6"/>
      <c r="OA281" s="6"/>
      <c r="OB281" s="46"/>
      <c r="OC281" s="4"/>
      <c r="OD281" s="6"/>
    </row>
    <row r="282" spans="1:394" x14ac:dyDescent="0.25">
      <c r="A282" s="47"/>
      <c r="B282" s="48"/>
      <c r="C282" s="133"/>
      <c r="D282" s="133"/>
      <c r="E282" s="133"/>
      <c r="F282" s="133"/>
      <c r="G282" s="133"/>
      <c r="H282" s="133"/>
      <c r="I282" s="133"/>
      <c r="J282" s="133"/>
      <c r="K282" s="133"/>
      <c r="L282" s="133"/>
      <c r="NW282" s="6"/>
      <c r="NX282" s="6"/>
      <c r="NY282" s="6"/>
      <c r="NZ282" s="6"/>
      <c r="OA282" s="6"/>
      <c r="OB282" s="46"/>
      <c r="OC282" s="4"/>
      <c r="OD282" s="6"/>
    </row>
    <row r="283" spans="1:394" x14ac:dyDescent="0.25">
      <c r="A283" s="47"/>
      <c r="B283" s="48"/>
      <c r="C283" s="133"/>
      <c r="D283" s="133"/>
      <c r="E283" s="133"/>
      <c r="F283" s="133"/>
      <c r="G283" s="133"/>
      <c r="H283" s="133"/>
      <c r="I283" s="133"/>
      <c r="J283" s="133"/>
      <c r="K283" s="133"/>
      <c r="L283" s="133"/>
      <c r="NW283" s="6"/>
      <c r="NX283" s="6"/>
      <c r="NY283" s="6"/>
      <c r="NZ283" s="6"/>
      <c r="OA283" s="6"/>
      <c r="OB283" s="46"/>
      <c r="OC283" s="4"/>
      <c r="OD283" s="6"/>
    </row>
    <row r="284" spans="1:394" x14ac:dyDescent="0.25">
      <c r="A284" s="47"/>
      <c r="B284" s="48"/>
      <c r="C284" s="133"/>
      <c r="D284" s="133"/>
      <c r="E284" s="133"/>
      <c r="F284" s="133"/>
      <c r="G284" s="133"/>
      <c r="H284" s="133"/>
      <c r="I284" s="133"/>
      <c r="J284" s="133"/>
      <c r="K284" s="133"/>
      <c r="L284" s="133"/>
      <c r="NW284" s="6"/>
      <c r="NX284" s="6"/>
      <c r="NY284" s="6"/>
      <c r="NZ284" s="6"/>
      <c r="OA284" s="6"/>
      <c r="OB284" s="46"/>
      <c r="OC284" s="4"/>
      <c r="OD284" s="6"/>
    </row>
    <row r="285" spans="1:394" x14ac:dyDescent="0.25">
      <c r="A285" s="47"/>
      <c r="B285" s="48"/>
      <c r="C285" s="133"/>
      <c r="D285" s="133"/>
      <c r="E285" s="133"/>
      <c r="F285" s="133"/>
      <c r="G285" s="133"/>
      <c r="H285" s="133"/>
      <c r="I285" s="133"/>
      <c r="J285" s="133"/>
      <c r="K285" s="133"/>
      <c r="L285" s="133"/>
      <c r="NW285" s="6"/>
      <c r="NX285" s="6"/>
      <c r="NY285" s="6"/>
      <c r="NZ285" s="6"/>
      <c r="OA285" s="6"/>
      <c r="OB285" s="46"/>
      <c r="OC285" s="4"/>
      <c r="OD285" s="6"/>
    </row>
    <row r="286" spans="1:394" x14ac:dyDescent="0.25">
      <c r="A286" s="47"/>
      <c r="B286" s="48"/>
      <c r="C286" s="133"/>
      <c r="D286" s="133"/>
      <c r="E286" s="133"/>
      <c r="F286" s="133"/>
      <c r="G286" s="133"/>
      <c r="H286" s="133"/>
      <c r="I286" s="133"/>
      <c r="J286" s="133"/>
      <c r="K286" s="133"/>
      <c r="L286" s="133"/>
      <c r="NW286" s="6"/>
      <c r="NX286" s="6"/>
      <c r="NY286" s="6"/>
      <c r="NZ286" s="6"/>
      <c r="OA286" s="6"/>
      <c r="OB286" s="46"/>
      <c r="OC286" s="4"/>
      <c r="OD286" s="6"/>
    </row>
    <row r="287" spans="1:394" x14ac:dyDescent="0.25">
      <c r="A287" s="47"/>
      <c r="B287" s="48"/>
      <c r="C287" s="133"/>
      <c r="D287" s="133"/>
      <c r="E287" s="133"/>
      <c r="F287" s="133"/>
      <c r="G287" s="133"/>
      <c r="H287" s="133"/>
      <c r="I287" s="133"/>
      <c r="J287" s="133"/>
      <c r="K287" s="133"/>
      <c r="L287" s="133"/>
      <c r="NW287" s="6"/>
      <c r="NX287" s="6"/>
      <c r="NY287" s="6"/>
      <c r="NZ287" s="6"/>
      <c r="OA287" s="6"/>
      <c r="OB287" s="46"/>
      <c r="OC287" s="4"/>
      <c r="OD287" s="6"/>
    </row>
    <row r="288" spans="1:394" x14ac:dyDescent="0.25">
      <c r="A288" s="47"/>
      <c r="B288" s="48"/>
      <c r="C288" s="133"/>
      <c r="D288" s="133"/>
      <c r="E288" s="133"/>
      <c r="F288" s="133"/>
      <c r="G288" s="133"/>
      <c r="H288" s="133"/>
      <c r="I288" s="133"/>
      <c r="J288" s="133"/>
      <c r="K288" s="133"/>
      <c r="L288" s="133"/>
      <c r="NW288" s="6"/>
      <c r="NX288" s="6"/>
      <c r="NY288" s="6"/>
      <c r="NZ288" s="6"/>
      <c r="OA288" s="6"/>
      <c r="OB288" s="46"/>
      <c r="OC288" s="4"/>
      <c r="OD288" s="6"/>
    </row>
    <row r="289" spans="1:394" x14ac:dyDescent="0.25">
      <c r="A289" s="47"/>
      <c r="B289" s="48"/>
      <c r="C289" s="133"/>
      <c r="D289" s="133"/>
      <c r="E289" s="133"/>
      <c r="F289" s="133"/>
      <c r="G289" s="133"/>
      <c r="H289" s="133"/>
      <c r="I289" s="133"/>
      <c r="J289" s="133"/>
      <c r="K289" s="133"/>
      <c r="L289" s="133"/>
      <c r="NW289" s="6"/>
      <c r="NX289" s="6"/>
      <c r="NY289" s="6"/>
      <c r="NZ289" s="6"/>
      <c r="OA289" s="6"/>
      <c r="OB289" s="46"/>
      <c r="OC289" s="4"/>
      <c r="OD289" s="6"/>
    </row>
    <row r="290" spans="1:394" x14ac:dyDescent="0.25">
      <c r="A290" s="47"/>
      <c r="B290" s="48"/>
      <c r="C290" s="133"/>
      <c r="D290" s="133"/>
      <c r="E290" s="133"/>
      <c r="F290" s="133"/>
      <c r="G290" s="133"/>
      <c r="H290" s="133"/>
      <c r="I290" s="133"/>
      <c r="J290" s="133"/>
      <c r="K290" s="133"/>
      <c r="L290" s="133"/>
      <c r="NW290" s="6"/>
      <c r="NX290" s="6"/>
      <c r="NY290" s="6"/>
      <c r="NZ290" s="6"/>
      <c r="OA290" s="6"/>
      <c r="OB290" s="46"/>
      <c r="OC290" s="4"/>
      <c r="OD290" s="6"/>
    </row>
    <row r="291" spans="1:394" x14ac:dyDescent="0.25">
      <c r="A291" s="47"/>
      <c r="B291" s="48"/>
      <c r="C291" s="133"/>
      <c r="D291" s="133"/>
      <c r="E291" s="133"/>
      <c r="F291" s="133"/>
      <c r="G291" s="133"/>
      <c r="H291" s="133"/>
      <c r="I291" s="133"/>
      <c r="J291" s="133"/>
      <c r="K291" s="133"/>
      <c r="L291" s="133"/>
      <c r="NW291" s="6"/>
      <c r="NX291" s="6"/>
      <c r="NY291" s="6"/>
      <c r="NZ291" s="6"/>
      <c r="OA291" s="6"/>
      <c r="OB291" s="46"/>
      <c r="OC291" s="4"/>
      <c r="OD291" s="6"/>
    </row>
    <row r="292" spans="1:394" x14ac:dyDescent="0.25">
      <c r="A292" s="47"/>
      <c r="B292" s="48"/>
      <c r="C292" s="133"/>
      <c r="D292" s="133"/>
      <c r="E292" s="133"/>
      <c r="F292" s="133"/>
      <c r="G292" s="133"/>
      <c r="H292" s="133"/>
      <c r="I292" s="133"/>
      <c r="J292" s="133"/>
      <c r="K292" s="133"/>
      <c r="L292" s="133"/>
      <c r="NW292" s="6"/>
      <c r="NX292" s="6"/>
      <c r="NY292" s="6"/>
      <c r="NZ292" s="6"/>
      <c r="OA292" s="6"/>
      <c r="OB292" s="46"/>
      <c r="OC292" s="4"/>
      <c r="OD292" s="6"/>
    </row>
    <row r="293" spans="1:394" x14ac:dyDescent="0.25">
      <c r="A293" s="47"/>
      <c r="B293" s="48"/>
      <c r="C293" s="133"/>
      <c r="D293" s="133"/>
      <c r="E293" s="133"/>
      <c r="F293" s="133"/>
      <c r="G293" s="133"/>
      <c r="H293" s="133"/>
      <c r="I293" s="133"/>
      <c r="J293" s="133"/>
      <c r="K293" s="133"/>
      <c r="L293" s="133"/>
      <c r="NW293" s="6"/>
      <c r="NX293" s="6"/>
      <c r="NY293" s="6"/>
      <c r="NZ293" s="6"/>
      <c r="OA293" s="6"/>
      <c r="OB293" s="46"/>
      <c r="OC293" s="4"/>
      <c r="OD293" s="6"/>
    </row>
    <row r="294" spans="1:394" x14ac:dyDescent="0.25">
      <c r="A294" s="47"/>
      <c r="B294" s="48"/>
      <c r="C294" s="133"/>
      <c r="D294" s="133"/>
      <c r="E294" s="133"/>
      <c r="F294" s="133"/>
      <c r="G294" s="133"/>
      <c r="H294" s="133"/>
      <c r="I294" s="133"/>
      <c r="J294" s="133"/>
      <c r="K294" s="133"/>
      <c r="L294" s="133"/>
      <c r="NW294" s="6"/>
      <c r="NX294" s="6"/>
      <c r="NY294" s="6"/>
      <c r="NZ294" s="6"/>
      <c r="OA294" s="6"/>
      <c r="OB294" s="46"/>
      <c r="OC294" s="4"/>
      <c r="OD294" s="6"/>
    </row>
    <row r="295" spans="1:394" x14ac:dyDescent="0.25">
      <c r="A295" s="47"/>
      <c r="B295" s="48"/>
      <c r="C295" s="133"/>
      <c r="D295" s="133"/>
      <c r="E295" s="133"/>
      <c r="F295" s="133"/>
      <c r="G295" s="133"/>
      <c r="H295" s="133"/>
      <c r="I295" s="133"/>
      <c r="J295" s="133"/>
      <c r="K295" s="133"/>
      <c r="L295" s="133"/>
      <c r="NW295" s="6"/>
      <c r="NX295" s="6"/>
      <c r="NY295" s="6"/>
      <c r="NZ295" s="6"/>
      <c r="OA295" s="6"/>
      <c r="OB295" s="46"/>
      <c r="OC295" s="4"/>
      <c r="OD295" s="6"/>
    </row>
    <row r="296" spans="1:394" x14ac:dyDescent="0.25">
      <c r="A296" s="47"/>
      <c r="B296" s="48"/>
      <c r="C296" s="133"/>
      <c r="D296" s="133"/>
      <c r="E296" s="133"/>
      <c r="F296" s="133"/>
      <c r="G296" s="133"/>
      <c r="H296" s="133"/>
      <c r="I296" s="133"/>
      <c r="J296" s="133"/>
      <c r="K296" s="133"/>
      <c r="L296" s="133"/>
      <c r="NW296" s="6"/>
      <c r="NX296" s="6"/>
      <c r="NY296" s="6"/>
      <c r="NZ296" s="6"/>
      <c r="OA296" s="6"/>
      <c r="OB296" s="46"/>
      <c r="OC296" s="4"/>
      <c r="OD296" s="6"/>
    </row>
    <row r="297" spans="1:394" x14ac:dyDescent="0.25">
      <c r="A297" s="47"/>
      <c r="B297" s="48"/>
      <c r="C297" s="133"/>
      <c r="D297" s="133"/>
      <c r="E297" s="133"/>
      <c r="F297" s="133"/>
      <c r="G297" s="133"/>
      <c r="H297" s="133"/>
      <c r="I297" s="133"/>
      <c r="J297" s="133"/>
      <c r="K297" s="133"/>
      <c r="L297" s="133"/>
      <c r="NW297" s="6"/>
      <c r="NX297" s="6"/>
      <c r="NY297" s="6"/>
      <c r="NZ297" s="6"/>
      <c r="OA297" s="6"/>
      <c r="OB297" s="46"/>
      <c r="OC297" s="4"/>
      <c r="OD297" s="6"/>
    </row>
    <row r="298" spans="1:394" x14ac:dyDescent="0.25">
      <c r="A298" s="47"/>
      <c r="B298" s="48"/>
      <c r="C298" s="133"/>
      <c r="D298" s="133"/>
      <c r="E298" s="133"/>
      <c r="F298" s="133"/>
      <c r="G298" s="133"/>
      <c r="H298" s="133"/>
      <c r="I298" s="133"/>
      <c r="J298" s="133"/>
      <c r="K298" s="133"/>
      <c r="L298" s="133"/>
      <c r="NW298" s="6"/>
      <c r="NX298" s="6"/>
      <c r="NY298" s="6"/>
      <c r="NZ298" s="6"/>
      <c r="OA298" s="6"/>
      <c r="OB298" s="46"/>
      <c r="OC298" s="4"/>
      <c r="OD298" s="6"/>
    </row>
    <row r="299" spans="1:394" x14ac:dyDescent="0.25">
      <c r="A299" s="47"/>
      <c r="B299" s="48"/>
      <c r="C299" s="133"/>
      <c r="D299" s="133"/>
      <c r="E299" s="133"/>
      <c r="F299" s="133"/>
      <c r="G299" s="133"/>
      <c r="H299" s="133"/>
      <c r="I299" s="133"/>
      <c r="J299" s="133"/>
      <c r="K299" s="133"/>
      <c r="L299" s="133"/>
      <c r="NW299" s="6"/>
      <c r="NX299" s="6"/>
      <c r="NY299" s="6"/>
      <c r="NZ299" s="6"/>
      <c r="OA299" s="6"/>
      <c r="OB299" s="46"/>
      <c r="OC299" s="4"/>
      <c r="OD299" s="6"/>
    </row>
    <row r="300" spans="1:394" x14ac:dyDescent="0.25">
      <c r="A300" s="47"/>
      <c r="B300" s="48"/>
      <c r="C300" s="133"/>
      <c r="D300" s="133"/>
      <c r="E300" s="133"/>
      <c r="F300" s="133"/>
      <c r="G300" s="133"/>
      <c r="H300" s="133"/>
      <c r="I300" s="133"/>
      <c r="J300" s="133"/>
      <c r="K300" s="133"/>
      <c r="L300" s="133"/>
      <c r="NW300" s="6"/>
      <c r="NX300" s="6"/>
      <c r="NY300" s="6"/>
      <c r="NZ300" s="6"/>
      <c r="OA300" s="6"/>
      <c r="OB300" s="46"/>
      <c r="OC300" s="4"/>
      <c r="OD300" s="6"/>
    </row>
    <row r="301" spans="1:394" x14ac:dyDescent="0.25">
      <c r="A301" s="47"/>
      <c r="B301" s="48"/>
      <c r="C301" s="133"/>
      <c r="D301" s="133"/>
      <c r="E301" s="133"/>
      <c r="F301" s="133"/>
      <c r="G301" s="133"/>
      <c r="H301" s="133"/>
      <c r="I301" s="133"/>
      <c r="J301" s="133"/>
      <c r="K301" s="133"/>
      <c r="L301" s="133"/>
      <c r="NW301" s="6"/>
      <c r="NX301" s="6"/>
      <c r="NY301" s="6"/>
      <c r="NZ301" s="6"/>
      <c r="OA301" s="6"/>
      <c r="OB301" s="46"/>
      <c r="OC301" s="4"/>
      <c r="OD301" s="6"/>
    </row>
    <row r="302" spans="1:394" x14ac:dyDescent="0.25">
      <c r="A302" s="47"/>
      <c r="B302" s="48"/>
      <c r="C302" s="133"/>
      <c r="D302" s="133"/>
      <c r="E302" s="133"/>
      <c r="F302" s="133"/>
      <c r="G302" s="133"/>
      <c r="H302" s="133"/>
      <c r="I302" s="133"/>
      <c r="J302" s="133"/>
      <c r="K302" s="133"/>
      <c r="L302" s="133"/>
      <c r="NW302" s="6"/>
      <c r="NX302" s="6"/>
      <c r="NY302" s="6"/>
      <c r="NZ302" s="6"/>
      <c r="OA302" s="6"/>
      <c r="OB302" s="46"/>
      <c r="OC302" s="4"/>
      <c r="OD302" s="6"/>
    </row>
    <row r="303" spans="1:394" x14ac:dyDescent="0.25">
      <c r="A303" s="47"/>
      <c r="B303" s="48"/>
      <c r="C303" s="133"/>
      <c r="D303" s="133"/>
      <c r="E303" s="133"/>
      <c r="F303" s="133"/>
      <c r="G303" s="133"/>
      <c r="H303" s="133"/>
      <c r="I303" s="133"/>
      <c r="J303" s="133"/>
      <c r="K303" s="133"/>
      <c r="L303" s="133"/>
      <c r="NW303" s="6"/>
      <c r="NX303" s="6"/>
      <c r="NY303" s="6"/>
      <c r="NZ303" s="6"/>
      <c r="OA303" s="6"/>
      <c r="OB303" s="46"/>
      <c r="OC303" s="4"/>
      <c r="OD303" s="6"/>
    </row>
    <row r="304" spans="1:394" x14ac:dyDescent="0.25">
      <c r="A304" s="47"/>
      <c r="B304" s="48"/>
      <c r="C304" s="133"/>
      <c r="D304" s="133"/>
      <c r="E304" s="133"/>
      <c r="F304" s="133"/>
      <c r="G304" s="133"/>
      <c r="H304" s="133"/>
      <c r="I304" s="133"/>
      <c r="J304" s="133"/>
      <c r="K304" s="133"/>
      <c r="L304" s="133"/>
      <c r="NW304" s="6"/>
      <c r="NX304" s="6"/>
      <c r="NY304" s="6"/>
      <c r="NZ304" s="6"/>
      <c r="OA304" s="6"/>
      <c r="OB304" s="46"/>
      <c r="OC304" s="4"/>
      <c r="OD304" s="6"/>
    </row>
    <row r="305" spans="1:394" x14ac:dyDescent="0.25">
      <c r="A305" s="47"/>
      <c r="B305" s="48"/>
      <c r="C305" s="133"/>
      <c r="D305" s="133"/>
      <c r="E305" s="133"/>
      <c r="F305" s="133"/>
      <c r="G305" s="133"/>
      <c r="H305" s="133"/>
      <c r="I305" s="133"/>
      <c r="J305" s="133"/>
      <c r="K305" s="133"/>
      <c r="L305" s="133"/>
      <c r="NW305" s="6"/>
      <c r="NX305" s="6"/>
      <c r="NY305" s="6"/>
      <c r="NZ305" s="6"/>
      <c r="OA305" s="6"/>
      <c r="OB305" s="46"/>
      <c r="OC305" s="4"/>
      <c r="OD305" s="6"/>
    </row>
    <row r="306" spans="1:394" x14ac:dyDescent="0.25">
      <c r="A306" s="47"/>
      <c r="B306" s="48"/>
      <c r="C306" s="133"/>
      <c r="D306" s="133"/>
      <c r="E306" s="133"/>
      <c r="F306" s="133"/>
      <c r="G306" s="133"/>
      <c r="H306" s="133"/>
      <c r="I306" s="133"/>
      <c r="J306" s="133"/>
      <c r="K306" s="133"/>
      <c r="L306" s="133"/>
      <c r="NW306" s="6"/>
      <c r="NX306" s="6"/>
      <c r="NY306" s="6"/>
      <c r="NZ306" s="6"/>
      <c r="OA306" s="6"/>
      <c r="OB306" s="46"/>
      <c r="OC306" s="4"/>
      <c r="OD306" s="6"/>
    </row>
    <row r="307" spans="1:394" x14ac:dyDescent="0.25">
      <c r="A307" s="47"/>
      <c r="B307" s="48"/>
      <c r="C307" s="133"/>
      <c r="D307" s="133"/>
      <c r="E307" s="133"/>
      <c r="F307" s="133"/>
      <c r="G307" s="133"/>
      <c r="H307" s="133"/>
      <c r="I307" s="133"/>
      <c r="J307" s="133"/>
      <c r="K307" s="133"/>
      <c r="L307" s="133"/>
      <c r="NW307" s="6"/>
      <c r="NX307" s="6"/>
      <c r="NY307" s="6"/>
      <c r="NZ307" s="6"/>
      <c r="OA307" s="6"/>
      <c r="OB307" s="46"/>
      <c r="OC307" s="4"/>
      <c r="OD307" s="6"/>
    </row>
    <row r="308" spans="1:394" x14ac:dyDescent="0.25">
      <c r="A308" s="47"/>
      <c r="B308" s="48"/>
      <c r="C308" s="133"/>
      <c r="D308" s="133"/>
      <c r="E308" s="133"/>
      <c r="F308" s="133"/>
      <c r="G308" s="133"/>
      <c r="H308" s="133"/>
      <c r="I308" s="133"/>
      <c r="J308" s="133"/>
      <c r="K308" s="133"/>
      <c r="L308" s="133"/>
      <c r="NW308" s="6"/>
      <c r="NX308" s="6"/>
      <c r="NY308" s="6"/>
      <c r="NZ308" s="6"/>
      <c r="OA308" s="6"/>
      <c r="OB308" s="46"/>
      <c r="OC308" s="4"/>
      <c r="OD308" s="6"/>
    </row>
    <row r="309" spans="1:394" x14ac:dyDescent="0.25">
      <c r="A309" s="47"/>
      <c r="B309" s="48"/>
      <c r="C309" s="133"/>
      <c r="D309" s="133"/>
      <c r="E309" s="133"/>
      <c r="F309" s="133"/>
      <c r="G309" s="133"/>
      <c r="H309" s="133"/>
      <c r="I309" s="133"/>
      <c r="J309" s="133"/>
      <c r="K309" s="133"/>
      <c r="L309" s="133"/>
      <c r="NW309" s="6"/>
      <c r="NX309" s="6"/>
      <c r="NY309" s="6"/>
      <c r="NZ309" s="6"/>
      <c r="OA309" s="6"/>
      <c r="OB309" s="46"/>
      <c r="OC309" s="4"/>
      <c r="OD309" s="6"/>
    </row>
    <row r="310" spans="1:394" x14ac:dyDescent="0.25">
      <c r="A310" s="47"/>
      <c r="B310" s="48"/>
      <c r="C310" s="133"/>
      <c r="D310" s="133"/>
      <c r="E310" s="133"/>
      <c r="F310" s="133"/>
      <c r="G310" s="133"/>
      <c r="H310" s="133"/>
      <c r="I310" s="133"/>
      <c r="J310" s="133"/>
      <c r="K310" s="133"/>
      <c r="L310" s="133"/>
      <c r="NW310" s="6"/>
      <c r="NX310" s="6"/>
      <c r="NY310" s="6"/>
      <c r="NZ310" s="6"/>
      <c r="OA310" s="6"/>
      <c r="OB310" s="46"/>
      <c r="OC310" s="4"/>
      <c r="OD310" s="6"/>
    </row>
    <row r="311" spans="1:394" x14ac:dyDescent="0.25">
      <c r="A311" s="47"/>
      <c r="B311" s="48"/>
      <c r="C311" s="133"/>
      <c r="D311" s="133"/>
      <c r="E311" s="133"/>
      <c r="F311" s="133"/>
      <c r="G311" s="133"/>
      <c r="H311" s="133"/>
      <c r="I311" s="133"/>
      <c r="J311" s="133"/>
      <c r="K311" s="133"/>
      <c r="L311" s="133"/>
      <c r="NW311" s="6"/>
      <c r="NX311" s="6"/>
      <c r="NY311" s="6"/>
      <c r="NZ311" s="6"/>
      <c r="OA311" s="6"/>
      <c r="OB311" s="46"/>
      <c r="OC311" s="4"/>
      <c r="OD311" s="6"/>
    </row>
    <row r="312" spans="1:394" x14ac:dyDescent="0.25">
      <c r="A312" s="47"/>
      <c r="B312" s="48"/>
      <c r="C312" s="133"/>
      <c r="D312" s="133"/>
      <c r="E312" s="133"/>
      <c r="F312" s="133"/>
      <c r="G312" s="133"/>
      <c r="H312" s="133"/>
      <c r="I312" s="133"/>
      <c r="J312" s="133"/>
      <c r="K312" s="133"/>
      <c r="L312" s="133"/>
      <c r="NW312" s="6"/>
      <c r="NX312" s="6"/>
      <c r="NY312" s="6"/>
      <c r="NZ312" s="6"/>
      <c r="OA312" s="6"/>
      <c r="OB312" s="46"/>
      <c r="OC312" s="4"/>
      <c r="OD312" s="6"/>
    </row>
    <row r="313" spans="1:394" x14ac:dyDescent="0.25">
      <c r="A313" s="47"/>
      <c r="B313" s="48"/>
      <c r="C313" s="133"/>
      <c r="D313" s="133"/>
      <c r="E313" s="133"/>
      <c r="F313" s="133"/>
      <c r="G313" s="133"/>
      <c r="H313" s="133"/>
      <c r="I313" s="133"/>
      <c r="J313" s="133"/>
      <c r="K313" s="133"/>
      <c r="L313" s="133"/>
      <c r="NW313" s="6"/>
      <c r="NX313" s="6"/>
      <c r="NY313" s="6"/>
      <c r="NZ313" s="6"/>
      <c r="OA313" s="6"/>
      <c r="OB313" s="46"/>
      <c r="OC313" s="4"/>
      <c r="OD313" s="6"/>
    </row>
    <row r="314" spans="1:394" x14ac:dyDescent="0.25">
      <c r="A314" s="47"/>
      <c r="B314" s="48"/>
      <c r="C314" s="133"/>
      <c r="D314" s="133"/>
      <c r="E314" s="133"/>
      <c r="F314" s="133"/>
      <c r="G314" s="133"/>
      <c r="H314" s="133"/>
      <c r="I314" s="133"/>
      <c r="J314" s="133"/>
      <c r="K314" s="133"/>
      <c r="L314" s="133"/>
      <c r="NW314" s="6"/>
      <c r="NX314" s="6"/>
      <c r="NY314" s="6"/>
      <c r="NZ314" s="6"/>
      <c r="OA314" s="6"/>
      <c r="OB314" s="46"/>
      <c r="OC314" s="4"/>
      <c r="OD314" s="6"/>
    </row>
    <row r="315" spans="1:394" x14ac:dyDescent="0.25">
      <c r="A315" s="47"/>
      <c r="B315" s="48"/>
      <c r="C315" s="133"/>
      <c r="D315" s="133"/>
      <c r="E315" s="133"/>
      <c r="F315" s="133"/>
      <c r="G315" s="133"/>
      <c r="H315" s="133"/>
      <c r="I315" s="133"/>
      <c r="J315" s="133"/>
      <c r="K315" s="133"/>
      <c r="L315" s="133"/>
      <c r="NW315" s="6"/>
      <c r="NX315" s="6"/>
      <c r="NY315" s="6"/>
      <c r="NZ315" s="6"/>
      <c r="OA315" s="6"/>
      <c r="OB315" s="46"/>
      <c r="OC315" s="4"/>
      <c r="OD315" s="6"/>
    </row>
    <row r="316" spans="1:394" x14ac:dyDescent="0.25">
      <c r="A316" s="47"/>
      <c r="B316" s="48"/>
      <c r="C316" s="133"/>
      <c r="D316" s="133"/>
      <c r="E316" s="133"/>
      <c r="F316" s="133"/>
      <c r="G316" s="133"/>
      <c r="H316" s="133"/>
      <c r="I316" s="133"/>
      <c r="J316" s="133"/>
      <c r="K316" s="133"/>
      <c r="L316" s="133"/>
      <c r="NW316" s="6"/>
      <c r="NX316" s="6"/>
      <c r="NY316" s="6"/>
      <c r="NZ316" s="6"/>
      <c r="OA316" s="6"/>
      <c r="OB316" s="46"/>
      <c r="OC316" s="4"/>
      <c r="OD316" s="6"/>
    </row>
    <row r="317" spans="1:394" x14ac:dyDescent="0.25">
      <c r="A317" s="47"/>
      <c r="B317" s="48"/>
      <c r="C317" s="133"/>
      <c r="D317" s="133"/>
      <c r="E317" s="133"/>
      <c r="F317" s="133"/>
      <c r="G317" s="133"/>
      <c r="H317" s="133"/>
      <c r="I317" s="133"/>
      <c r="J317" s="133"/>
      <c r="K317" s="133"/>
      <c r="L317" s="133"/>
      <c r="NW317" s="6"/>
      <c r="NX317" s="6"/>
      <c r="NY317" s="6"/>
      <c r="NZ317" s="6"/>
      <c r="OA317" s="6"/>
      <c r="OB317" s="46"/>
      <c r="OC317" s="4"/>
      <c r="OD317" s="6"/>
    </row>
    <row r="318" spans="1:394" x14ac:dyDescent="0.25">
      <c r="A318" s="47"/>
      <c r="B318" s="48"/>
      <c r="C318" s="133"/>
      <c r="D318" s="133"/>
      <c r="E318" s="133"/>
      <c r="F318" s="133"/>
      <c r="G318" s="133"/>
      <c r="H318" s="133"/>
      <c r="I318" s="133"/>
      <c r="J318" s="133"/>
      <c r="K318" s="133"/>
      <c r="L318" s="133"/>
      <c r="NW318" s="6"/>
      <c r="NX318" s="6"/>
      <c r="NY318" s="6"/>
      <c r="NZ318" s="6"/>
      <c r="OA318" s="6"/>
      <c r="OB318" s="46"/>
      <c r="OC318" s="4"/>
      <c r="OD318" s="6"/>
    </row>
    <row r="319" spans="1:394" x14ac:dyDescent="0.25">
      <c r="A319" s="47"/>
      <c r="B319" s="48"/>
      <c r="C319" s="133"/>
      <c r="D319" s="133"/>
      <c r="E319" s="133"/>
      <c r="F319" s="133"/>
      <c r="G319" s="133"/>
      <c r="H319" s="133"/>
      <c r="I319" s="133"/>
      <c r="J319" s="133"/>
      <c r="K319" s="133"/>
      <c r="L319" s="133"/>
      <c r="NW319" s="6"/>
      <c r="NX319" s="6"/>
      <c r="NY319" s="6"/>
      <c r="NZ319" s="6"/>
      <c r="OA319" s="6"/>
      <c r="OB319" s="46"/>
      <c r="OC319" s="4"/>
      <c r="OD319" s="6"/>
    </row>
    <row r="320" spans="1:394" x14ac:dyDescent="0.25">
      <c r="A320" s="47"/>
      <c r="B320" s="48"/>
      <c r="C320" s="133"/>
      <c r="D320" s="133"/>
      <c r="E320" s="133"/>
      <c r="F320" s="133"/>
      <c r="G320" s="133"/>
      <c r="H320" s="133"/>
      <c r="I320" s="133"/>
      <c r="J320" s="133"/>
      <c r="K320" s="133"/>
      <c r="L320" s="133"/>
      <c r="NW320" s="6"/>
      <c r="NX320" s="6"/>
      <c r="NY320" s="6"/>
      <c r="NZ320" s="6"/>
      <c r="OA320" s="6"/>
      <c r="OB320" s="46"/>
      <c r="OC320" s="4"/>
      <c r="OD320" s="6"/>
    </row>
    <row r="321" spans="1:394" x14ac:dyDescent="0.25">
      <c r="A321" s="47"/>
      <c r="B321" s="48"/>
      <c r="C321" s="133"/>
      <c r="D321" s="133"/>
      <c r="E321" s="133"/>
      <c r="F321" s="133"/>
      <c r="G321" s="133"/>
      <c r="H321" s="133"/>
      <c r="I321" s="133"/>
      <c r="J321" s="133"/>
      <c r="K321" s="133"/>
      <c r="L321" s="133"/>
      <c r="NW321" s="6"/>
      <c r="NX321" s="6"/>
      <c r="NY321" s="6"/>
      <c r="NZ321" s="6"/>
      <c r="OA321" s="6"/>
      <c r="OB321" s="46"/>
      <c r="OC321" s="4"/>
      <c r="OD321" s="6"/>
    </row>
    <row r="322" spans="1:394" x14ac:dyDescent="0.25">
      <c r="A322" s="47"/>
      <c r="B322" s="48"/>
      <c r="C322" s="133"/>
      <c r="D322" s="133"/>
      <c r="E322" s="133"/>
      <c r="F322" s="133"/>
      <c r="G322" s="133"/>
      <c r="H322" s="133"/>
      <c r="I322" s="133"/>
      <c r="J322" s="133"/>
      <c r="K322" s="133"/>
      <c r="L322" s="133"/>
      <c r="NW322" s="6"/>
      <c r="NX322" s="6"/>
      <c r="NY322" s="6"/>
      <c r="NZ322" s="6"/>
      <c r="OA322" s="6"/>
      <c r="OB322" s="46"/>
      <c r="OC322" s="4"/>
      <c r="OD322" s="6"/>
    </row>
    <row r="323" spans="1:394" x14ac:dyDescent="0.25">
      <c r="A323" s="47"/>
      <c r="B323" s="48"/>
      <c r="C323" s="133"/>
      <c r="D323" s="133"/>
      <c r="E323" s="133"/>
      <c r="F323" s="133"/>
      <c r="G323" s="133"/>
      <c r="H323" s="133"/>
      <c r="I323" s="133"/>
      <c r="J323" s="133"/>
      <c r="K323" s="133"/>
      <c r="L323" s="133"/>
      <c r="NW323" s="6"/>
      <c r="NX323" s="6"/>
      <c r="NY323" s="6"/>
      <c r="NZ323" s="6"/>
      <c r="OA323" s="6"/>
      <c r="OB323" s="46"/>
      <c r="OC323" s="4"/>
      <c r="OD323" s="6"/>
    </row>
    <row r="324" spans="1:394" x14ac:dyDescent="0.25">
      <c r="A324" s="47"/>
      <c r="B324" s="48"/>
      <c r="C324" s="133"/>
      <c r="D324" s="133"/>
      <c r="E324" s="133"/>
      <c r="F324" s="133"/>
      <c r="G324" s="133"/>
      <c r="H324" s="133"/>
      <c r="I324" s="133"/>
      <c r="J324" s="133"/>
      <c r="K324" s="133"/>
      <c r="L324" s="133"/>
      <c r="NW324" s="6"/>
      <c r="NX324" s="6"/>
      <c r="NY324" s="6"/>
      <c r="NZ324" s="6"/>
      <c r="OA324" s="6"/>
      <c r="OB324" s="46"/>
      <c r="OC324" s="4"/>
      <c r="OD324" s="6"/>
    </row>
    <row r="325" spans="1:394" x14ac:dyDescent="0.25">
      <c r="A325" s="47"/>
      <c r="B325" s="48"/>
      <c r="C325" s="133"/>
      <c r="D325" s="133"/>
      <c r="E325" s="133"/>
      <c r="F325" s="133"/>
      <c r="G325" s="133"/>
      <c r="H325" s="133"/>
      <c r="I325" s="133"/>
      <c r="J325" s="133"/>
      <c r="K325" s="133"/>
      <c r="L325" s="133"/>
      <c r="NW325" s="6"/>
      <c r="NX325" s="6"/>
      <c r="NY325" s="6"/>
      <c r="NZ325" s="6"/>
      <c r="OA325" s="6"/>
      <c r="OB325" s="46"/>
      <c r="OC325" s="4"/>
      <c r="OD325" s="6"/>
    </row>
    <row r="326" spans="1:394" x14ac:dyDescent="0.25">
      <c r="A326" s="47"/>
      <c r="B326" s="48"/>
      <c r="C326" s="133"/>
      <c r="D326" s="133"/>
      <c r="E326" s="133"/>
      <c r="F326" s="133"/>
      <c r="G326" s="133"/>
      <c r="H326" s="133"/>
      <c r="I326" s="133"/>
      <c r="J326" s="133"/>
      <c r="K326" s="133"/>
      <c r="L326" s="133"/>
      <c r="NW326" s="6"/>
      <c r="NX326" s="6"/>
      <c r="NY326" s="6"/>
      <c r="NZ326" s="6"/>
      <c r="OA326" s="6"/>
      <c r="OB326" s="46"/>
      <c r="OC326" s="4"/>
      <c r="OD326" s="6"/>
    </row>
    <row r="327" spans="1:394" x14ac:dyDescent="0.25">
      <c r="A327" s="47"/>
      <c r="B327" s="48"/>
      <c r="C327" s="133"/>
      <c r="D327" s="133"/>
      <c r="E327" s="133"/>
      <c r="F327" s="133"/>
      <c r="G327" s="133"/>
      <c r="H327" s="133"/>
      <c r="I327" s="133"/>
      <c r="J327" s="133"/>
      <c r="K327" s="133"/>
      <c r="L327" s="133"/>
      <c r="NW327" s="6"/>
      <c r="NX327" s="6"/>
      <c r="NY327" s="6"/>
      <c r="NZ327" s="6"/>
      <c r="OA327" s="6"/>
      <c r="OB327" s="46"/>
      <c r="OC327" s="4"/>
      <c r="OD327" s="6"/>
    </row>
    <row r="328" spans="1:394" x14ac:dyDescent="0.25">
      <c r="A328" s="47"/>
      <c r="B328" s="48"/>
      <c r="C328" s="133"/>
      <c r="D328" s="133"/>
      <c r="E328" s="133"/>
      <c r="F328" s="133"/>
      <c r="G328" s="133"/>
      <c r="H328" s="133"/>
      <c r="I328" s="133"/>
      <c r="J328" s="133"/>
      <c r="K328" s="133"/>
      <c r="L328" s="133"/>
      <c r="NW328" s="6"/>
      <c r="NX328" s="6"/>
      <c r="NY328" s="6"/>
      <c r="NZ328" s="6"/>
      <c r="OA328" s="6"/>
      <c r="OB328" s="46"/>
      <c r="OC328" s="4"/>
      <c r="OD328" s="6"/>
    </row>
    <row r="329" spans="1:394" x14ac:dyDescent="0.25">
      <c r="A329" s="47"/>
      <c r="B329" s="48"/>
      <c r="C329" s="133"/>
      <c r="D329" s="133"/>
      <c r="E329" s="133"/>
      <c r="F329" s="133"/>
      <c r="G329" s="133"/>
      <c r="H329" s="133"/>
      <c r="I329" s="133"/>
      <c r="J329" s="133"/>
      <c r="K329" s="133"/>
      <c r="L329" s="133"/>
      <c r="NW329" s="6"/>
      <c r="NX329" s="6"/>
      <c r="NY329" s="6"/>
      <c r="NZ329" s="6"/>
      <c r="OA329" s="6"/>
      <c r="OB329" s="46"/>
      <c r="OC329" s="4"/>
      <c r="OD329" s="6"/>
    </row>
    <row r="330" spans="1:394" x14ac:dyDescent="0.25">
      <c r="A330" s="47"/>
      <c r="B330" s="48"/>
      <c r="C330" s="133"/>
      <c r="D330" s="133"/>
      <c r="E330" s="133"/>
      <c r="F330" s="133"/>
      <c r="G330" s="133"/>
      <c r="H330" s="133"/>
      <c r="I330" s="133"/>
      <c r="J330" s="133"/>
      <c r="K330" s="133"/>
      <c r="L330" s="133"/>
      <c r="NW330" s="6"/>
      <c r="NX330" s="6"/>
      <c r="NY330" s="6"/>
      <c r="NZ330" s="6"/>
      <c r="OA330" s="6"/>
      <c r="OB330" s="46"/>
      <c r="OC330" s="4"/>
      <c r="OD330" s="6"/>
    </row>
    <row r="331" spans="1:394" x14ac:dyDescent="0.25">
      <c r="A331" s="47"/>
      <c r="B331" s="48"/>
      <c r="C331" s="133"/>
      <c r="D331" s="133"/>
      <c r="E331" s="133"/>
      <c r="F331" s="133"/>
      <c r="G331" s="133"/>
      <c r="H331" s="133"/>
      <c r="I331" s="133"/>
      <c r="J331" s="133"/>
      <c r="K331" s="133"/>
      <c r="L331" s="133"/>
      <c r="NW331" s="6"/>
      <c r="NX331" s="6"/>
      <c r="NY331" s="6"/>
      <c r="NZ331" s="6"/>
      <c r="OA331" s="6"/>
      <c r="OB331" s="46"/>
      <c r="OC331" s="4"/>
      <c r="OD331" s="6"/>
    </row>
    <row r="332" spans="1:394" x14ac:dyDescent="0.25">
      <c r="A332" s="47"/>
      <c r="B332" s="48"/>
      <c r="C332" s="133"/>
      <c r="D332" s="133"/>
      <c r="E332" s="133"/>
      <c r="F332" s="133"/>
      <c r="G332" s="133"/>
      <c r="H332" s="133"/>
      <c r="I332" s="133"/>
      <c r="J332" s="133"/>
      <c r="K332" s="133"/>
      <c r="L332" s="133"/>
      <c r="NW332" s="6"/>
      <c r="NX332" s="6"/>
      <c r="NY332" s="6"/>
      <c r="NZ332" s="6"/>
      <c r="OA332" s="6"/>
      <c r="OB332" s="46"/>
      <c r="OC332" s="4"/>
      <c r="OD332" s="6"/>
    </row>
    <row r="333" spans="1:394" x14ac:dyDescent="0.25">
      <c r="A333" s="47"/>
      <c r="B333" s="48"/>
      <c r="C333" s="133"/>
      <c r="D333" s="133"/>
      <c r="E333" s="133"/>
      <c r="F333" s="133"/>
      <c r="G333" s="133"/>
      <c r="H333" s="133"/>
      <c r="I333" s="133"/>
      <c r="J333" s="133"/>
      <c r="K333" s="133"/>
      <c r="L333" s="133"/>
      <c r="NW333" s="6"/>
      <c r="NX333" s="6"/>
      <c r="NY333" s="6"/>
      <c r="NZ333" s="6"/>
      <c r="OA333" s="6"/>
      <c r="OB333" s="46"/>
      <c r="OC333" s="4"/>
      <c r="OD333" s="6"/>
    </row>
    <row r="334" spans="1:394" x14ac:dyDescent="0.25">
      <c r="A334" s="47"/>
      <c r="B334" s="48"/>
      <c r="C334" s="133"/>
      <c r="D334" s="133"/>
      <c r="E334" s="133"/>
      <c r="F334" s="133"/>
      <c r="G334" s="133"/>
      <c r="H334" s="133"/>
      <c r="I334" s="133"/>
      <c r="J334" s="133"/>
      <c r="K334" s="133"/>
      <c r="L334" s="133"/>
      <c r="NW334" s="6"/>
      <c r="NX334" s="6"/>
      <c r="NY334" s="6"/>
      <c r="NZ334" s="6"/>
      <c r="OA334" s="6"/>
      <c r="OB334" s="46"/>
      <c r="OC334" s="4"/>
      <c r="OD334" s="6"/>
    </row>
    <row r="335" spans="1:394" x14ac:dyDescent="0.25">
      <c r="A335" s="47"/>
      <c r="B335" s="48"/>
      <c r="C335" s="133"/>
      <c r="D335" s="133"/>
      <c r="E335" s="133"/>
      <c r="F335" s="133"/>
      <c r="G335" s="133"/>
      <c r="H335" s="133"/>
      <c r="I335" s="133"/>
      <c r="J335" s="133"/>
      <c r="K335" s="133"/>
      <c r="L335" s="133"/>
      <c r="NW335" s="6"/>
      <c r="NX335" s="6"/>
      <c r="NY335" s="6"/>
      <c r="NZ335" s="6"/>
      <c r="OA335" s="6"/>
      <c r="OB335" s="46"/>
      <c r="OC335" s="4"/>
      <c r="OD335" s="6"/>
    </row>
    <row r="336" spans="1:394" x14ac:dyDescent="0.25">
      <c r="A336" s="47"/>
      <c r="B336" s="48"/>
      <c r="C336" s="133"/>
      <c r="D336" s="133"/>
      <c r="E336" s="133"/>
      <c r="F336" s="133"/>
      <c r="G336" s="133"/>
      <c r="H336" s="133"/>
      <c r="I336" s="133"/>
      <c r="J336" s="133"/>
      <c r="K336" s="133"/>
      <c r="L336" s="133"/>
      <c r="NW336" s="6"/>
      <c r="NX336" s="6"/>
      <c r="NY336" s="6"/>
      <c r="NZ336" s="6"/>
      <c r="OA336" s="6"/>
      <c r="OB336" s="46"/>
      <c r="OC336" s="4"/>
      <c r="OD336" s="6"/>
    </row>
    <row r="337" spans="1:394" x14ac:dyDescent="0.25">
      <c r="A337" s="47"/>
      <c r="B337" s="48"/>
      <c r="C337" s="133"/>
      <c r="D337" s="133"/>
      <c r="E337" s="133"/>
      <c r="F337" s="133"/>
      <c r="G337" s="133"/>
      <c r="H337" s="133"/>
      <c r="I337" s="133"/>
      <c r="J337" s="133"/>
      <c r="K337" s="133"/>
      <c r="L337" s="133"/>
      <c r="NW337" s="6"/>
      <c r="NX337" s="6"/>
      <c r="NY337" s="6"/>
      <c r="NZ337" s="6"/>
      <c r="OA337" s="6"/>
      <c r="OB337" s="46"/>
      <c r="OC337" s="4"/>
      <c r="OD337" s="6"/>
    </row>
    <row r="338" spans="1:394" x14ac:dyDescent="0.25">
      <c r="A338" s="47"/>
      <c r="B338" s="48"/>
      <c r="C338" s="133"/>
      <c r="D338" s="133"/>
      <c r="E338" s="133"/>
      <c r="F338" s="133"/>
      <c r="G338" s="133"/>
      <c r="H338" s="133"/>
      <c r="I338" s="133"/>
      <c r="J338" s="133"/>
      <c r="K338" s="133"/>
      <c r="L338" s="133"/>
      <c r="NW338" s="6"/>
      <c r="NX338" s="6"/>
      <c r="NY338" s="6"/>
      <c r="NZ338" s="6"/>
      <c r="OA338" s="6"/>
      <c r="OB338" s="46"/>
      <c r="OC338" s="4"/>
      <c r="OD338" s="6"/>
    </row>
    <row r="339" spans="1:394" x14ac:dyDescent="0.25">
      <c r="A339" s="47"/>
      <c r="B339" s="48"/>
      <c r="C339" s="133"/>
      <c r="D339" s="133"/>
      <c r="E339" s="133"/>
      <c r="F339" s="133"/>
      <c r="G339" s="133"/>
      <c r="H339" s="133"/>
      <c r="I339" s="133"/>
      <c r="J339" s="133"/>
      <c r="K339" s="133"/>
      <c r="L339" s="133"/>
      <c r="NW339" s="6"/>
      <c r="NX339" s="6"/>
      <c r="NY339" s="6"/>
      <c r="NZ339" s="6"/>
      <c r="OA339" s="6"/>
      <c r="OB339" s="46"/>
      <c r="OC339" s="4"/>
      <c r="OD339" s="6"/>
    </row>
    <row r="340" spans="1:394" x14ac:dyDescent="0.25">
      <c r="A340" s="47"/>
      <c r="B340" s="48"/>
      <c r="C340" s="133"/>
      <c r="D340" s="133"/>
      <c r="E340" s="133"/>
      <c r="F340" s="133"/>
      <c r="G340" s="133"/>
      <c r="H340" s="133"/>
      <c r="I340" s="133"/>
      <c r="J340" s="133"/>
      <c r="K340" s="133"/>
      <c r="L340" s="133"/>
      <c r="NW340" s="6"/>
      <c r="NX340" s="6"/>
      <c r="NY340" s="6"/>
      <c r="NZ340" s="6"/>
      <c r="OA340" s="6"/>
      <c r="OB340" s="46"/>
      <c r="OC340" s="4"/>
      <c r="OD340" s="6"/>
    </row>
    <row r="341" spans="1:394" x14ac:dyDescent="0.25">
      <c r="A341" s="47"/>
      <c r="B341" s="48"/>
      <c r="C341" s="133"/>
      <c r="D341" s="133"/>
      <c r="E341" s="133"/>
      <c r="F341" s="133"/>
      <c r="G341" s="133"/>
      <c r="H341" s="133"/>
      <c r="I341" s="133"/>
      <c r="J341" s="133"/>
      <c r="K341" s="133"/>
      <c r="L341" s="133"/>
      <c r="NW341" s="6"/>
      <c r="NX341" s="6"/>
      <c r="NY341" s="6"/>
      <c r="NZ341" s="6"/>
      <c r="OA341" s="6"/>
      <c r="OB341" s="46"/>
      <c r="OC341" s="4"/>
      <c r="OD341" s="6"/>
    </row>
    <row r="342" spans="1:394" x14ac:dyDescent="0.25">
      <c r="A342" s="47"/>
      <c r="B342" s="48"/>
      <c r="C342" s="133"/>
      <c r="D342" s="133"/>
      <c r="E342" s="133"/>
      <c r="F342" s="133"/>
      <c r="G342" s="133"/>
      <c r="H342" s="133"/>
      <c r="I342" s="133"/>
      <c r="J342" s="133"/>
      <c r="K342" s="133"/>
      <c r="L342" s="133"/>
      <c r="NW342" s="6"/>
      <c r="NX342" s="6"/>
      <c r="NY342" s="6"/>
      <c r="NZ342" s="6"/>
      <c r="OA342" s="6"/>
      <c r="OB342" s="46"/>
      <c r="OC342" s="4"/>
      <c r="OD342" s="6"/>
    </row>
    <row r="343" spans="1:394" x14ac:dyDescent="0.25">
      <c r="A343" s="47"/>
      <c r="B343" s="48"/>
      <c r="C343" s="133"/>
      <c r="D343" s="133"/>
      <c r="E343" s="133"/>
      <c r="F343" s="133"/>
      <c r="G343" s="133"/>
      <c r="H343" s="133"/>
      <c r="I343" s="133"/>
      <c r="J343" s="133"/>
      <c r="K343" s="133"/>
      <c r="L343" s="133"/>
      <c r="NW343" s="6"/>
      <c r="NX343" s="6"/>
      <c r="NY343" s="6"/>
      <c r="NZ343" s="6"/>
      <c r="OA343" s="6"/>
      <c r="OB343" s="46"/>
      <c r="OC343" s="4"/>
      <c r="OD343" s="6"/>
    </row>
    <row r="344" spans="1:394" x14ac:dyDescent="0.25">
      <c r="A344" s="47"/>
      <c r="B344" s="48"/>
      <c r="C344" s="133"/>
      <c r="D344" s="133"/>
      <c r="E344" s="133"/>
      <c r="F344" s="133"/>
      <c r="G344" s="133"/>
      <c r="H344" s="133"/>
      <c r="I344" s="133"/>
      <c r="J344" s="133"/>
      <c r="K344" s="133"/>
      <c r="L344" s="133"/>
      <c r="NW344" s="6"/>
      <c r="NX344" s="6"/>
      <c r="NY344" s="6"/>
      <c r="NZ344" s="6"/>
      <c r="OA344" s="6"/>
      <c r="OB344" s="46"/>
      <c r="OC344" s="4"/>
      <c r="OD344" s="6"/>
    </row>
    <row r="345" spans="1:394" x14ac:dyDescent="0.25">
      <c r="A345" s="47"/>
      <c r="B345" s="48"/>
      <c r="C345" s="133"/>
      <c r="D345" s="133"/>
      <c r="E345" s="133"/>
      <c r="F345" s="133"/>
      <c r="G345" s="133"/>
      <c r="H345" s="133"/>
      <c r="I345" s="133"/>
      <c r="J345" s="133"/>
      <c r="K345" s="133"/>
      <c r="L345" s="133"/>
      <c r="NW345" s="6"/>
      <c r="NX345" s="6"/>
      <c r="NY345" s="6"/>
      <c r="NZ345" s="6"/>
      <c r="OA345" s="6"/>
      <c r="OB345" s="46"/>
      <c r="OC345" s="4"/>
      <c r="OD345" s="6"/>
    </row>
    <row r="346" spans="1:394" x14ac:dyDescent="0.25">
      <c r="A346" s="47"/>
      <c r="B346" s="48"/>
      <c r="C346" s="133"/>
      <c r="D346" s="133"/>
      <c r="E346" s="133"/>
      <c r="F346" s="133"/>
      <c r="G346" s="133"/>
      <c r="H346" s="133"/>
      <c r="I346" s="133"/>
      <c r="J346" s="133"/>
      <c r="K346" s="133"/>
      <c r="L346" s="133"/>
      <c r="NW346" s="6"/>
      <c r="NX346" s="6"/>
      <c r="NY346" s="6"/>
      <c r="NZ346" s="6"/>
      <c r="OA346" s="6"/>
      <c r="OB346" s="46"/>
      <c r="OC346" s="4"/>
      <c r="OD346" s="6"/>
    </row>
    <row r="347" spans="1:394" x14ac:dyDescent="0.25">
      <c r="A347" s="47"/>
      <c r="B347" s="48"/>
      <c r="C347" s="133"/>
      <c r="D347" s="133"/>
      <c r="E347" s="133"/>
      <c r="F347" s="133"/>
      <c r="G347" s="133"/>
      <c r="H347" s="133"/>
      <c r="I347" s="133"/>
      <c r="J347" s="133"/>
      <c r="K347" s="133"/>
      <c r="L347" s="133"/>
      <c r="NW347" s="6"/>
      <c r="NX347" s="6"/>
      <c r="NY347" s="6"/>
      <c r="NZ347" s="6"/>
      <c r="OA347" s="6"/>
      <c r="OB347" s="46"/>
      <c r="OC347" s="4"/>
      <c r="OD347" s="6"/>
    </row>
    <row r="348" spans="1:394" x14ac:dyDescent="0.25">
      <c r="A348" s="47"/>
      <c r="B348" s="48"/>
      <c r="C348" s="133"/>
      <c r="D348" s="133"/>
      <c r="E348" s="133"/>
      <c r="F348" s="133"/>
      <c r="G348" s="133"/>
      <c r="H348" s="133"/>
      <c r="I348" s="133"/>
      <c r="J348" s="133"/>
      <c r="K348" s="133"/>
      <c r="L348" s="133"/>
      <c r="NW348" s="6"/>
      <c r="NX348" s="6"/>
      <c r="NY348" s="6"/>
      <c r="NZ348" s="6"/>
      <c r="OA348" s="6"/>
      <c r="OB348" s="46"/>
      <c r="OC348" s="4"/>
      <c r="OD348" s="6"/>
    </row>
    <row r="349" spans="1:394" x14ac:dyDescent="0.25">
      <c r="A349" s="47"/>
      <c r="B349" s="48"/>
      <c r="C349" s="133"/>
      <c r="D349" s="133"/>
      <c r="E349" s="133"/>
      <c r="F349" s="133"/>
      <c r="G349" s="133"/>
      <c r="H349" s="133"/>
      <c r="I349" s="133"/>
      <c r="J349" s="133"/>
      <c r="K349" s="133"/>
      <c r="L349" s="133"/>
      <c r="NW349" s="6"/>
      <c r="NX349" s="6"/>
      <c r="NY349" s="6"/>
      <c r="NZ349" s="6"/>
      <c r="OA349" s="6"/>
      <c r="OB349" s="46"/>
      <c r="OC349" s="4"/>
      <c r="OD349" s="6"/>
    </row>
    <row r="350" spans="1:394" x14ac:dyDescent="0.25">
      <c r="A350" s="47"/>
      <c r="B350" s="48"/>
      <c r="C350" s="133"/>
      <c r="D350" s="133"/>
      <c r="E350" s="133"/>
      <c r="F350" s="133"/>
      <c r="G350" s="133"/>
      <c r="H350" s="133"/>
      <c r="I350" s="133"/>
      <c r="J350" s="133"/>
      <c r="K350" s="133"/>
      <c r="L350" s="133"/>
      <c r="NW350" s="6"/>
      <c r="NX350" s="6"/>
      <c r="NY350" s="6"/>
      <c r="NZ350" s="6"/>
      <c r="OA350" s="6"/>
      <c r="OB350" s="46"/>
      <c r="OC350" s="4"/>
      <c r="OD350" s="6"/>
    </row>
    <row r="351" spans="1:394" x14ac:dyDescent="0.25">
      <c r="A351" s="47"/>
      <c r="B351" s="48"/>
      <c r="C351" s="133"/>
      <c r="D351" s="133"/>
      <c r="E351" s="133"/>
      <c r="F351" s="133"/>
      <c r="G351" s="133"/>
      <c r="H351" s="133"/>
      <c r="I351" s="133"/>
      <c r="J351" s="133"/>
      <c r="K351" s="133"/>
      <c r="L351" s="133"/>
      <c r="NW351" s="6"/>
      <c r="NX351" s="6"/>
      <c r="NY351" s="6"/>
      <c r="NZ351" s="6"/>
      <c r="OA351" s="6"/>
      <c r="OB351" s="46"/>
      <c r="OC351" s="4"/>
      <c r="OD351" s="6"/>
    </row>
    <row r="352" spans="1:394" x14ac:dyDescent="0.25">
      <c r="A352" s="47"/>
      <c r="B352" s="48"/>
      <c r="C352" s="133"/>
      <c r="D352" s="133"/>
      <c r="E352" s="133"/>
      <c r="F352" s="133"/>
      <c r="G352" s="133"/>
      <c r="H352" s="133"/>
      <c r="I352" s="133"/>
      <c r="J352" s="133"/>
      <c r="K352" s="133"/>
      <c r="L352" s="133"/>
      <c r="NW352" s="6"/>
      <c r="NX352" s="6"/>
      <c r="NY352" s="6"/>
      <c r="NZ352" s="6"/>
      <c r="OA352" s="6"/>
      <c r="OB352" s="46"/>
      <c r="OC352" s="4"/>
      <c r="OD352" s="6"/>
    </row>
    <row r="353" spans="1:394" x14ac:dyDescent="0.25">
      <c r="A353" s="47"/>
      <c r="B353" s="48"/>
      <c r="C353" s="133"/>
      <c r="D353" s="133"/>
      <c r="E353" s="133"/>
      <c r="F353" s="133"/>
      <c r="G353" s="133"/>
      <c r="H353" s="133"/>
      <c r="I353" s="133"/>
      <c r="J353" s="133"/>
      <c r="K353" s="133"/>
      <c r="L353" s="133"/>
      <c r="NW353" s="6"/>
      <c r="NX353" s="6"/>
      <c r="NY353" s="6"/>
      <c r="NZ353" s="6"/>
      <c r="OA353" s="6"/>
      <c r="OB353" s="46"/>
      <c r="OC353" s="4"/>
      <c r="OD353" s="6"/>
    </row>
    <row r="354" spans="1:394" x14ac:dyDescent="0.25">
      <c r="A354" s="47"/>
      <c r="B354" s="48"/>
      <c r="C354" s="133"/>
      <c r="D354" s="133"/>
      <c r="E354" s="133"/>
      <c r="F354" s="133"/>
      <c r="G354" s="133"/>
      <c r="H354" s="133"/>
      <c r="I354" s="133"/>
      <c r="J354" s="133"/>
      <c r="K354" s="133"/>
      <c r="L354" s="133"/>
      <c r="NW354" s="6"/>
      <c r="NX354" s="6"/>
      <c r="NY354" s="6"/>
      <c r="NZ354" s="6"/>
      <c r="OA354" s="6"/>
      <c r="OB354" s="46"/>
      <c r="OC354" s="4"/>
      <c r="OD354" s="6"/>
    </row>
    <row r="355" spans="1:394" x14ac:dyDescent="0.25">
      <c r="A355" s="47"/>
      <c r="B355" s="48"/>
      <c r="C355" s="133"/>
      <c r="D355" s="133"/>
      <c r="E355" s="133"/>
      <c r="F355" s="133"/>
      <c r="G355" s="133"/>
      <c r="H355" s="133"/>
      <c r="I355" s="133"/>
      <c r="J355" s="133"/>
      <c r="K355" s="133"/>
      <c r="L355" s="133"/>
      <c r="NW355" s="6"/>
      <c r="NX355" s="6"/>
      <c r="NY355" s="6"/>
      <c r="NZ355" s="6"/>
      <c r="OA355" s="6"/>
      <c r="OB355" s="46"/>
      <c r="OC355" s="4"/>
      <c r="OD355" s="6"/>
    </row>
    <row r="356" spans="1:394" x14ac:dyDescent="0.25">
      <c r="A356" s="47"/>
      <c r="B356" s="48"/>
      <c r="C356" s="133"/>
      <c r="D356" s="133"/>
      <c r="E356" s="133"/>
      <c r="F356" s="133"/>
      <c r="G356" s="133"/>
      <c r="H356" s="133"/>
      <c r="I356" s="133"/>
      <c r="J356" s="133"/>
      <c r="K356" s="133"/>
      <c r="L356" s="133"/>
      <c r="NW356" s="6"/>
      <c r="NX356" s="6"/>
      <c r="NY356" s="6"/>
      <c r="NZ356" s="6"/>
      <c r="OA356" s="6"/>
      <c r="OB356" s="46"/>
      <c r="OC356" s="4"/>
      <c r="OD356" s="6"/>
    </row>
    <row r="357" spans="1:394" x14ac:dyDescent="0.25">
      <c r="A357" s="47"/>
      <c r="B357" s="48"/>
      <c r="C357" s="133"/>
      <c r="D357" s="133"/>
      <c r="E357" s="133"/>
      <c r="F357" s="133"/>
      <c r="G357" s="133"/>
      <c r="H357" s="133"/>
      <c r="I357" s="133"/>
      <c r="J357" s="133"/>
      <c r="K357" s="133"/>
      <c r="L357" s="133"/>
      <c r="NW357" s="6"/>
      <c r="NX357" s="6"/>
      <c r="NY357" s="6"/>
      <c r="NZ357" s="6"/>
      <c r="OA357" s="6"/>
      <c r="OB357" s="46"/>
      <c r="OC357" s="4"/>
      <c r="OD357" s="6"/>
    </row>
    <row r="358" spans="1:394" x14ac:dyDescent="0.25">
      <c r="A358" s="47"/>
      <c r="B358" s="48"/>
      <c r="C358" s="133"/>
      <c r="D358" s="133"/>
      <c r="E358" s="133"/>
      <c r="F358" s="133"/>
      <c r="G358" s="133"/>
      <c r="H358" s="133"/>
      <c r="I358" s="133"/>
      <c r="J358" s="133"/>
      <c r="K358" s="133"/>
      <c r="L358" s="133"/>
      <c r="NW358" s="6"/>
      <c r="NX358" s="6"/>
      <c r="NY358" s="6"/>
      <c r="NZ358" s="6"/>
      <c r="OA358" s="6"/>
      <c r="OB358" s="46"/>
      <c r="OC358" s="4"/>
      <c r="OD358" s="6"/>
    </row>
    <row r="359" spans="1:394" x14ac:dyDescent="0.25">
      <c r="A359" s="47"/>
      <c r="B359" s="48"/>
      <c r="C359" s="133"/>
      <c r="D359" s="133"/>
      <c r="E359" s="133"/>
      <c r="F359" s="133"/>
      <c r="G359" s="133"/>
      <c r="H359" s="133"/>
      <c r="I359" s="133"/>
      <c r="J359" s="133"/>
      <c r="K359" s="133"/>
      <c r="L359" s="133"/>
      <c r="NW359" s="6"/>
      <c r="NX359" s="6"/>
      <c r="NY359" s="6"/>
      <c r="NZ359" s="6"/>
      <c r="OA359" s="6"/>
      <c r="OB359" s="46"/>
      <c r="OC359" s="4"/>
      <c r="OD359" s="6"/>
    </row>
    <row r="360" spans="1:394" x14ac:dyDescent="0.25">
      <c r="A360" s="47"/>
      <c r="B360" s="48"/>
      <c r="C360" s="133"/>
      <c r="D360" s="133"/>
      <c r="E360" s="133"/>
      <c r="F360" s="133"/>
      <c r="G360" s="133"/>
      <c r="H360" s="133"/>
      <c r="I360" s="133"/>
      <c r="J360" s="133"/>
      <c r="K360" s="133"/>
      <c r="L360" s="133"/>
      <c r="NW360" s="6"/>
      <c r="NX360" s="6"/>
      <c r="NY360" s="6"/>
      <c r="NZ360" s="6"/>
      <c r="OA360" s="6"/>
      <c r="OB360" s="46"/>
      <c r="OC360" s="4"/>
      <c r="OD360" s="6"/>
    </row>
    <row r="361" spans="1:394" x14ac:dyDescent="0.25">
      <c r="A361" s="47"/>
      <c r="B361" s="48"/>
      <c r="C361" s="133"/>
      <c r="D361" s="133"/>
      <c r="E361" s="133"/>
      <c r="F361" s="133"/>
      <c r="G361" s="133"/>
      <c r="H361" s="133"/>
      <c r="I361" s="133"/>
      <c r="J361" s="133"/>
      <c r="K361" s="133"/>
      <c r="L361" s="133"/>
      <c r="NW361" s="6"/>
      <c r="NX361" s="6"/>
      <c r="NY361" s="6"/>
      <c r="NZ361" s="6"/>
      <c r="OA361" s="6"/>
      <c r="OB361" s="46"/>
      <c r="OC361" s="4"/>
      <c r="OD361" s="6"/>
    </row>
    <row r="362" spans="1:394" x14ac:dyDescent="0.25">
      <c r="A362" s="47"/>
      <c r="B362" s="48"/>
      <c r="C362" s="133"/>
      <c r="D362" s="133"/>
      <c r="E362" s="133"/>
      <c r="F362" s="133"/>
      <c r="G362" s="133"/>
      <c r="H362" s="133"/>
      <c r="I362" s="133"/>
      <c r="J362" s="133"/>
      <c r="K362" s="133"/>
      <c r="L362" s="133"/>
      <c r="NW362" s="6"/>
      <c r="NX362" s="6"/>
      <c r="NY362" s="6"/>
      <c r="NZ362" s="6"/>
      <c r="OA362" s="6"/>
      <c r="OB362" s="46"/>
      <c r="OC362" s="4"/>
      <c r="OD362" s="6"/>
    </row>
    <row r="363" spans="1:394" x14ac:dyDescent="0.25">
      <c r="A363" s="47"/>
      <c r="B363" s="48"/>
      <c r="C363" s="133"/>
      <c r="D363" s="133"/>
      <c r="E363" s="133"/>
      <c r="F363" s="133"/>
      <c r="G363" s="133"/>
      <c r="H363" s="133"/>
      <c r="I363" s="133"/>
      <c r="J363" s="133"/>
      <c r="K363" s="133"/>
      <c r="L363" s="133"/>
      <c r="NW363" s="6"/>
      <c r="NX363" s="6"/>
      <c r="NY363" s="6"/>
      <c r="NZ363" s="6"/>
      <c r="OA363" s="6"/>
      <c r="OB363" s="46"/>
      <c r="OC363" s="4"/>
      <c r="OD363" s="6"/>
    </row>
    <row r="364" spans="1:394" x14ac:dyDescent="0.25">
      <c r="A364" s="47"/>
      <c r="B364" s="48"/>
      <c r="C364" s="133"/>
      <c r="D364" s="133"/>
      <c r="E364" s="133"/>
      <c r="F364" s="133"/>
      <c r="G364" s="133"/>
      <c r="H364" s="133"/>
      <c r="I364" s="133"/>
      <c r="J364" s="133"/>
      <c r="K364" s="133"/>
      <c r="L364" s="133"/>
      <c r="NW364" s="6"/>
      <c r="NX364" s="6"/>
      <c r="NY364" s="6"/>
      <c r="NZ364" s="6"/>
      <c r="OA364" s="6"/>
      <c r="OB364" s="46"/>
      <c r="OC364" s="4"/>
      <c r="OD364" s="6"/>
    </row>
    <row r="365" spans="1:394" x14ac:dyDescent="0.25">
      <c r="A365" s="47"/>
      <c r="B365" s="48"/>
      <c r="C365" s="133"/>
      <c r="D365" s="133"/>
      <c r="E365" s="133"/>
      <c r="F365" s="133"/>
      <c r="G365" s="133"/>
      <c r="H365" s="133"/>
      <c r="I365" s="133"/>
      <c r="J365" s="133"/>
      <c r="K365" s="133"/>
      <c r="L365" s="133"/>
      <c r="NW365" s="6"/>
      <c r="NX365" s="6"/>
      <c r="NY365" s="6"/>
      <c r="NZ365" s="6"/>
      <c r="OA365" s="6"/>
      <c r="OB365" s="46"/>
      <c r="OC365" s="4"/>
      <c r="OD365" s="6"/>
    </row>
    <row r="366" spans="1:394" x14ac:dyDescent="0.25">
      <c r="A366" s="47"/>
      <c r="B366" s="48"/>
      <c r="C366" s="133"/>
      <c r="D366" s="133"/>
      <c r="E366" s="133"/>
      <c r="F366" s="133"/>
      <c r="G366" s="133"/>
      <c r="H366" s="133"/>
      <c r="I366" s="133"/>
      <c r="J366" s="133"/>
      <c r="K366" s="133"/>
      <c r="L366" s="133"/>
      <c r="NW366" s="6"/>
      <c r="NX366" s="6"/>
      <c r="NY366" s="6"/>
      <c r="NZ366" s="6"/>
      <c r="OA366" s="6"/>
      <c r="OB366" s="46"/>
      <c r="OC366" s="4"/>
      <c r="OD366" s="6"/>
    </row>
    <row r="367" spans="1:394" x14ac:dyDescent="0.25">
      <c r="A367" s="47"/>
      <c r="B367" s="48"/>
      <c r="C367" s="133"/>
      <c r="D367" s="133"/>
      <c r="E367" s="133"/>
      <c r="F367" s="133"/>
      <c r="G367" s="133"/>
      <c r="H367" s="133"/>
      <c r="I367" s="133"/>
      <c r="J367" s="133"/>
      <c r="K367" s="133"/>
      <c r="L367" s="133"/>
      <c r="NW367" s="6"/>
      <c r="NX367" s="6"/>
      <c r="NY367" s="6"/>
      <c r="NZ367" s="6"/>
      <c r="OA367" s="6"/>
      <c r="OB367" s="46"/>
      <c r="OC367" s="4"/>
      <c r="OD367" s="6"/>
    </row>
    <row r="368" spans="1:394" x14ac:dyDescent="0.25">
      <c r="A368" s="47"/>
      <c r="B368" s="48"/>
      <c r="C368" s="133"/>
      <c r="D368" s="133"/>
      <c r="E368" s="133"/>
      <c r="F368" s="133"/>
      <c r="G368" s="133"/>
      <c r="H368" s="133"/>
      <c r="I368" s="133"/>
      <c r="J368" s="133"/>
      <c r="K368" s="133"/>
      <c r="L368" s="133"/>
      <c r="NW368" s="6"/>
      <c r="NX368" s="6"/>
      <c r="NY368" s="6"/>
      <c r="NZ368" s="6"/>
      <c r="OA368" s="6"/>
      <c r="OB368" s="46"/>
      <c r="OC368" s="4"/>
      <c r="OD368" s="6"/>
    </row>
    <row r="369" spans="1:394" x14ac:dyDescent="0.25">
      <c r="A369" s="47"/>
      <c r="B369" s="48"/>
      <c r="C369" s="133"/>
      <c r="D369" s="133"/>
      <c r="E369" s="133"/>
      <c r="F369" s="133"/>
      <c r="G369" s="133"/>
      <c r="H369" s="133"/>
      <c r="I369" s="133"/>
      <c r="J369" s="133"/>
      <c r="K369" s="133"/>
      <c r="L369" s="133"/>
      <c r="NW369" s="6"/>
      <c r="NX369" s="6"/>
      <c r="NY369" s="6"/>
      <c r="NZ369" s="6"/>
      <c r="OA369" s="6"/>
      <c r="OB369" s="46"/>
      <c r="OC369" s="4"/>
      <c r="OD369" s="6"/>
    </row>
    <row r="370" spans="1:394" x14ac:dyDescent="0.25">
      <c r="A370" s="47"/>
      <c r="B370" s="48"/>
      <c r="C370" s="133"/>
      <c r="D370" s="133"/>
      <c r="E370" s="133"/>
      <c r="F370" s="133"/>
      <c r="G370" s="133"/>
      <c r="H370" s="133"/>
      <c r="I370" s="133"/>
      <c r="J370" s="133"/>
      <c r="K370" s="133"/>
      <c r="L370" s="133"/>
      <c r="NW370" s="6"/>
      <c r="NX370" s="6"/>
      <c r="NY370" s="6"/>
      <c r="NZ370" s="6"/>
      <c r="OA370" s="6"/>
      <c r="OB370" s="46"/>
      <c r="OC370" s="4"/>
      <c r="OD370" s="6"/>
    </row>
    <row r="371" spans="1:394" x14ac:dyDescent="0.25">
      <c r="A371" s="47"/>
      <c r="B371" s="48"/>
      <c r="C371" s="133"/>
      <c r="D371" s="133"/>
      <c r="E371" s="133"/>
      <c r="F371" s="133"/>
      <c r="G371" s="133"/>
      <c r="H371" s="133"/>
      <c r="I371" s="133"/>
      <c r="J371" s="133"/>
      <c r="K371" s="133"/>
      <c r="L371" s="133"/>
      <c r="NW371" s="6"/>
      <c r="NX371" s="6"/>
      <c r="NY371" s="6"/>
      <c r="NZ371" s="6"/>
      <c r="OA371" s="6"/>
      <c r="OB371" s="46"/>
      <c r="OC371" s="4"/>
      <c r="OD371" s="6"/>
    </row>
    <row r="372" spans="1:394" x14ac:dyDescent="0.25">
      <c r="A372" s="47"/>
      <c r="B372" s="48"/>
      <c r="C372" s="133"/>
      <c r="D372" s="133"/>
      <c r="E372" s="133"/>
      <c r="F372" s="133"/>
      <c r="G372" s="133"/>
      <c r="H372" s="133"/>
      <c r="I372" s="133"/>
      <c r="J372" s="133"/>
      <c r="K372" s="133"/>
      <c r="L372" s="133"/>
      <c r="NW372" s="6"/>
      <c r="NX372" s="6"/>
      <c r="NY372" s="6"/>
      <c r="NZ372" s="6"/>
      <c r="OA372" s="6"/>
      <c r="OB372" s="46"/>
      <c r="OC372" s="4"/>
      <c r="OD372" s="6"/>
    </row>
    <row r="373" spans="1:394" x14ac:dyDescent="0.25">
      <c r="A373" s="47"/>
      <c r="B373" s="48"/>
      <c r="C373" s="133"/>
      <c r="D373" s="133"/>
      <c r="E373" s="133"/>
      <c r="F373" s="133"/>
      <c r="G373" s="133"/>
      <c r="H373" s="133"/>
      <c r="I373" s="133"/>
      <c r="J373" s="133"/>
      <c r="K373" s="133"/>
      <c r="L373" s="133"/>
      <c r="NW373" s="6"/>
      <c r="NX373" s="6"/>
      <c r="NY373" s="6"/>
      <c r="NZ373" s="6"/>
      <c r="OA373" s="6"/>
      <c r="OB373" s="46"/>
      <c r="OC373" s="4"/>
      <c r="OD373" s="6"/>
    </row>
    <row r="374" spans="1:394" x14ac:dyDescent="0.25">
      <c r="A374" s="47"/>
      <c r="B374" s="48"/>
      <c r="C374" s="133"/>
      <c r="D374" s="133"/>
      <c r="E374" s="133"/>
      <c r="F374" s="133"/>
      <c r="G374" s="133"/>
      <c r="H374" s="133"/>
      <c r="I374" s="133"/>
      <c r="J374" s="133"/>
      <c r="K374" s="133"/>
      <c r="L374" s="133"/>
      <c r="NW374" s="6"/>
      <c r="NX374" s="6"/>
      <c r="NY374" s="6"/>
      <c r="NZ374" s="6"/>
      <c r="OA374" s="6"/>
      <c r="OB374" s="46"/>
      <c r="OC374" s="4"/>
      <c r="OD374" s="6"/>
    </row>
    <row r="375" spans="1:394" x14ac:dyDescent="0.25">
      <c r="A375" s="47"/>
      <c r="B375" s="48"/>
      <c r="C375" s="133"/>
      <c r="D375" s="133"/>
      <c r="E375" s="133"/>
      <c r="F375" s="133"/>
      <c r="G375" s="133"/>
      <c r="H375" s="133"/>
      <c r="I375" s="133"/>
      <c r="J375" s="133"/>
      <c r="K375" s="133"/>
      <c r="L375" s="133"/>
      <c r="NW375" s="6"/>
      <c r="NX375" s="6"/>
      <c r="NY375" s="6"/>
      <c r="NZ375" s="6"/>
      <c r="OA375" s="6"/>
      <c r="OB375" s="46"/>
      <c r="OC375" s="4"/>
      <c r="OD375" s="6"/>
    </row>
    <row r="376" spans="1:394" x14ac:dyDescent="0.25">
      <c r="A376" s="47"/>
      <c r="B376" s="48"/>
      <c r="C376" s="133"/>
      <c r="D376" s="133"/>
      <c r="E376" s="133"/>
      <c r="F376" s="133"/>
      <c r="G376" s="133"/>
      <c r="H376" s="133"/>
      <c r="I376" s="133"/>
      <c r="J376" s="133"/>
      <c r="K376" s="133"/>
      <c r="L376" s="133"/>
      <c r="NW376" s="6"/>
      <c r="NX376" s="6"/>
      <c r="NY376" s="6"/>
      <c r="NZ376" s="6"/>
      <c r="OA376" s="6"/>
      <c r="OB376" s="46"/>
      <c r="OC376" s="4"/>
      <c r="OD376" s="6"/>
    </row>
    <row r="377" spans="1:394" x14ac:dyDescent="0.25">
      <c r="A377" s="47"/>
      <c r="B377" s="48"/>
      <c r="C377" s="133"/>
      <c r="D377" s="133"/>
      <c r="E377" s="133"/>
      <c r="F377" s="133"/>
      <c r="G377" s="133"/>
      <c r="H377" s="133"/>
      <c r="I377" s="133"/>
      <c r="J377" s="133"/>
      <c r="K377" s="133"/>
      <c r="L377" s="133"/>
      <c r="NW377" s="6"/>
      <c r="NX377" s="6"/>
      <c r="NY377" s="6"/>
      <c r="NZ377" s="6"/>
      <c r="OA377" s="6"/>
      <c r="OB377" s="46"/>
      <c r="OC377" s="4"/>
      <c r="OD377" s="6"/>
    </row>
    <row r="378" spans="1:394" x14ac:dyDescent="0.25">
      <c r="A378" s="47"/>
      <c r="B378" s="48"/>
      <c r="C378" s="133"/>
      <c r="D378" s="133"/>
      <c r="E378" s="133"/>
      <c r="F378" s="133"/>
      <c r="G378" s="133"/>
      <c r="H378" s="133"/>
      <c r="I378" s="133"/>
      <c r="J378" s="133"/>
      <c r="K378" s="133"/>
      <c r="L378" s="133"/>
      <c r="NW378" s="6"/>
      <c r="NX378" s="6"/>
      <c r="NY378" s="6"/>
      <c r="NZ378" s="6"/>
      <c r="OA378" s="6"/>
      <c r="OB378" s="46"/>
      <c r="OC378" s="4"/>
      <c r="OD378" s="6"/>
    </row>
    <row r="379" spans="1:394" x14ac:dyDescent="0.25">
      <c r="A379" s="47"/>
      <c r="B379" s="48"/>
      <c r="C379" s="133"/>
      <c r="D379" s="133"/>
      <c r="E379" s="133"/>
      <c r="F379" s="133"/>
      <c r="G379" s="133"/>
      <c r="H379" s="133"/>
      <c r="I379" s="133"/>
      <c r="J379" s="133"/>
      <c r="K379" s="133"/>
      <c r="L379" s="133"/>
      <c r="NW379" s="6"/>
      <c r="NX379" s="6"/>
      <c r="NY379" s="6"/>
      <c r="NZ379" s="6"/>
      <c r="OA379" s="6"/>
      <c r="OB379" s="46"/>
      <c r="OC379" s="4"/>
      <c r="OD379" s="6"/>
    </row>
    <row r="380" spans="1:394" x14ac:dyDescent="0.25">
      <c r="A380" s="47"/>
      <c r="B380" s="48"/>
      <c r="C380" s="133"/>
      <c r="D380" s="133"/>
      <c r="E380" s="133"/>
      <c r="F380" s="133"/>
      <c r="G380" s="133"/>
      <c r="H380" s="133"/>
      <c r="I380" s="133"/>
      <c r="J380" s="133"/>
      <c r="K380" s="133"/>
      <c r="L380" s="133"/>
      <c r="NW380" s="6"/>
      <c r="NX380" s="6"/>
      <c r="NY380" s="6"/>
      <c r="NZ380" s="6"/>
      <c r="OA380" s="6"/>
      <c r="OB380" s="46"/>
      <c r="OC380" s="4"/>
      <c r="OD380" s="6"/>
    </row>
    <row r="381" spans="1:394" x14ac:dyDescent="0.25">
      <c r="A381" s="47"/>
      <c r="B381" s="48"/>
      <c r="C381" s="133"/>
      <c r="D381" s="133"/>
      <c r="E381" s="133"/>
      <c r="F381" s="133"/>
      <c r="G381" s="133"/>
      <c r="H381" s="133"/>
      <c r="I381" s="133"/>
      <c r="J381" s="133"/>
      <c r="K381" s="133"/>
      <c r="L381" s="133"/>
      <c r="NW381" s="6"/>
      <c r="NX381" s="6"/>
      <c r="NY381" s="6"/>
      <c r="NZ381" s="6"/>
      <c r="OA381" s="6"/>
      <c r="OB381" s="46"/>
      <c r="OC381" s="4"/>
      <c r="OD381" s="6"/>
    </row>
    <row r="382" spans="1:394" x14ac:dyDescent="0.25">
      <c r="A382" s="47"/>
      <c r="B382" s="48"/>
      <c r="C382" s="133"/>
      <c r="D382" s="133"/>
      <c r="E382" s="133"/>
      <c r="F382" s="133"/>
      <c r="G382" s="133"/>
      <c r="H382" s="133"/>
      <c r="I382" s="133"/>
      <c r="J382" s="133"/>
      <c r="K382" s="133"/>
      <c r="L382" s="133"/>
      <c r="NW382" s="6"/>
      <c r="NX382" s="6"/>
      <c r="NY382" s="6"/>
      <c r="NZ382" s="6"/>
      <c r="OA382" s="6"/>
      <c r="OB382" s="46"/>
      <c r="OC382" s="4"/>
      <c r="OD382" s="6"/>
    </row>
    <row r="383" spans="1:394" x14ac:dyDescent="0.25">
      <c r="A383" s="47"/>
      <c r="B383" s="48"/>
      <c r="C383" s="133"/>
      <c r="D383" s="133"/>
      <c r="E383" s="133"/>
      <c r="F383" s="133"/>
      <c r="G383" s="133"/>
      <c r="H383" s="133"/>
      <c r="I383" s="133"/>
      <c r="J383" s="133"/>
      <c r="K383" s="133"/>
      <c r="L383" s="133"/>
      <c r="NW383" s="6"/>
      <c r="NX383" s="6"/>
      <c r="NY383" s="6"/>
      <c r="NZ383" s="6"/>
      <c r="OA383" s="6"/>
      <c r="OB383" s="46"/>
      <c r="OC383" s="4"/>
      <c r="OD383" s="6"/>
    </row>
    <row r="384" spans="1:394" x14ac:dyDescent="0.25">
      <c r="A384" s="47"/>
      <c r="B384" s="48"/>
      <c r="C384" s="133"/>
      <c r="D384" s="133"/>
      <c r="E384" s="133"/>
      <c r="F384" s="133"/>
      <c r="G384" s="133"/>
      <c r="H384" s="133"/>
      <c r="I384" s="133"/>
      <c r="J384" s="133"/>
      <c r="K384" s="133"/>
      <c r="L384" s="133"/>
      <c r="NW384" s="6"/>
      <c r="NX384" s="6"/>
      <c r="NY384" s="6"/>
      <c r="NZ384" s="6"/>
      <c r="OA384" s="6"/>
      <c r="OB384" s="46"/>
      <c r="OC384" s="4"/>
      <c r="OD384" s="6"/>
    </row>
    <row r="385" spans="1:394" x14ac:dyDescent="0.25">
      <c r="A385" s="47"/>
      <c r="B385" s="48"/>
      <c r="C385" s="133"/>
      <c r="D385" s="133"/>
      <c r="E385" s="133"/>
      <c r="F385" s="133"/>
      <c r="G385" s="133"/>
      <c r="H385" s="133"/>
      <c r="I385" s="133"/>
      <c r="J385" s="133"/>
      <c r="K385" s="133"/>
      <c r="L385" s="133"/>
      <c r="NW385" s="6"/>
      <c r="NX385" s="6"/>
      <c r="NY385" s="6"/>
      <c r="NZ385" s="6"/>
      <c r="OA385" s="6"/>
      <c r="OB385" s="46"/>
      <c r="OC385" s="4"/>
      <c r="OD385" s="6"/>
    </row>
    <row r="386" spans="1:394" x14ac:dyDescent="0.25">
      <c r="A386" s="47"/>
      <c r="B386" s="48"/>
      <c r="C386" s="133"/>
      <c r="D386" s="133"/>
      <c r="E386" s="133"/>
      <c r="F386" s="133"/>
      <c r="G386" s="133"/>
      <c r="H386" s="133"/>
      <c r="I386" s="133"/>
      <c r="J386" s="133"/>
      <c r="K386" s="133"/>
      <c r="L386" s="133"/>
      <c r="NW386" s="6"/>
      <c r="NX386" s="6"/>
      <c r="NY386" s="6"/>
      <c r="NZ386" s="6"/>
      <c r="OA386" s="6"/>
      <c r="OB386" s="46"/>
      <c r="OC386" s="4"/>
      <c r="OD386" s="6"/>
    </row>
    <row r="387" spans="1:394" x14ac:dyDescent="0.25">
      <c r="A387" s="47"/>
      <c r="B387" s="48"/>
      <c r="C387" s="133"/>
      <c r="D387" s="133"/>
      <c r="E387" s="133"/>
      <c r="F387" s="133"/>
      <c r="G387" s="133"/>
      <c r="H387" s="133"/>
      <c r="I387" s="133"/>
      <c r="J387" s="133"/>
      <c r="K387" s="133"/>
      <c r="L387" s="133"/>
      <c r="NW387" s="6"/>
      <c r="NX387" s="6"/>
      <c r="NY387" s="6"/>
      <c r="NZ387" s="6"/>
      <c r="OA387" s="6"/>
      <c r="OB387" s="46"/>
      <c r="OC387" s="4"/>
      <c r="OD387" s="6"/>
    </row>
    <row r="388" spans="1:394" x14ac:dyDescent="0.25">
      <c r="A388" s="47"/>
      <c r="B388" s="48"/>
      <c r="C388" s="133"/>
      <c r="D388" s="133"/>
      <c r="E388" s="133"/>
      <c r="F388" s="133"/>
      <c r="G388" s="133"/>
      <c r="H388" s="133"/>
      <c r="I388" s="133"/>
      <c r="J388" s="133"/>
      <c r="K388" s="133"/>
      <c r="L388" s="133"/>
      <c r="NW388" s="6"/>
      <c r="NX388" s="6"/>
      <c r="NY388" s="6"/>
      <c r="NZ388" s="6"/>
      <c r="OA388" s="6"/>
      <c r="OB388" s="46"/>
      <c r="OC388" s="4"/>
      <c r="OD388" s="6"/>
    </row>
    <row r="389" spans="1:394" x14ac:dyDescent="0.25">
      <c r="A389" s="47"/>
      <c r="B389" s="48"/>
      <c r="C389" s="133"/>
      <c r="D389" s="133"/>
      <c r="E389" s="133"/>
      <c r="F389" s="133"/>
      <c r="G389" s="133"/>
      <c r="H389" s="133"/>
      <c r="I389" s="133"/>
      <c r="J389" s="133"/>
      <c r="K389" s="133"/>
      <c r="L389" s="133"/>
      <c r="NW389" s="6"/>
      <c r="NX389" s="6"/>
      <c r="NY389" s="6"/>
      <c r="NZ389" s="6"/>
      <c r="OA389" s="6"/>
      <c r="OB389" s="46"/>
      <c r="OC389" s="4"/>
      <c r="OD389" s="6"/>
    </row>
    <row r="390" spans="1:394" x14ac:dyDescent="0.25">
      <c r="A390" s="47"/>
      <c r="B390" s="48"/>
      <c r="C390" s="133"/>
      <c r="D390" s="133"/>
      <c r="E390" s="133"/>
      <c r="F390" s="133"/>
      <c r="G390" s="133"/>
      <c r="H390" s="133"/>
      <c r="I390" s="133"/>
      <c r="J390" s="133"/>
      <c r="K390" s="133"/>
      <c r="L390" s="133"/>
      <c r="NW390" s="6"/>
      <c r="NX390" s="6"/>
      <c r="NY390" s="6"/>
      <c r="NZ390" s="6"/>
      <c r="OA390" s="6"/>
      <c r="OB390" s="46"/>
      <c r="OC390" s="4"/>
      <c r="OD390" s="6"/>
    </row>
    <row r="391" spans="1:394" x14ac:dyDescent="0.25">
      <c r="A391" s="47"/>
      <c r="B391" s="48"/>
      <c r="C391" s="133"/>
      <c r="D391" s="133"/>
      <c r="E391" s="133"/>
      <c r="F391" s="133"/>
      <c r="G391" s="133"/>
      <c r="H391" s="133"/>
      <c r="I391" s="133"/>
      <c r="J391" s="133"/>
      <c r="K391" s="133"/>
      <c r="L391" s="133"/>
      <c r="NW391" s="6"/>
      <c r="NX391" s="6"/>
      <c r="NY391" s="6"/>
      <c r="NZ391" s="6"/>
      <c r="OA391" s="6"/>
      <c r="OB391" s="46"/>
      <c r="OC391" s="4"/>
      <c r="OD391" s="6"/>
    </row>
    <row r="392" spans="1:394" x14ac:dyDescent="0.25">
      <c r="A392" s="47"/>
      <c r="B392" s="48"/>
      <c r="C392" s="133"/>
      <c r="D392" s="133"/>
      <c r="E392" s="133"/>
      <c r="F392" s="133"/>
      <c r="G392" s="133"/>
      <c r="H392" s="133"/>
      <c r="I392" s="133"/>
      <c r="J392" s="133"/>
      <c r="K392" s="133"/>
      <c r="L392" s="133"/>
      <c r="NW392" s="6"/>
      <c r="NX392" s="6"/>
      <c r="NY392" s="6"/>
      <c r="NZ392" s="6"/>
      <c r="OA392" s="6"/>
      <c r="OB392" s="46"/>
      <c r="OC392" s="4"/>
      <c r="OD392" s="6"/>
    </row>
    <row r="393" spans="1:394" x14ac:dyDescent="0.25">
      <c r="A393" s="47"/>
      <c r="B393" s="48"/>
      <c r="C393" s="133"/>
      <c r="D393" s="133"/>
      <c r="E393" s="133"/>
      <c r="F393" s="133"/>
      <c r="G393" s="133"/>
      <c r="H393" s="133"/>
      <c r="I393" s="133"/>
      <c r="J393" s="133"/>
      <c r="K393" s="133"/>
      <c r="L393" s="133"/>
      <c r="NW393" s="6"/>
      <c r="NX393" s="6"/>
      <c r="NY393" s="6"/>
      <c r="NZ393" s="6"/>
      <c r="OA393" s="6"/>
      <c r="OB393" s="46"/>
      <c r="OC393" s="4"/>
      <c r="OD393" s="6"/>
    </row>
    <row r="394" spans="1:394" x14ac:dyDescent="0.25">
      <c r="A394" s="47"/>
      <c r="B394" s="48"/>
      <c r="C394" s="133"/>
      <c r="D394" s="133"/>
      <c r="E394" s="133"/>
      <c r="F394" s="133"/>
      <c r="G394" s="133"/>
      <c r="H394" s="133"/>
      <c r="I394" s="133"/>
      <c r="J394" s="133"/>
      <c r="K394" s="133"/>
      <c r="L394" s="133"/>
      <c r="NW394" s="6"/>
      <c r="NX394" s="6"/>
      <c r="NY394" s="6"/>
      <c r="NZ394" s="6"/>
      <c r="OA394" s="6"/>
      <c r="OB394" s="46"/>
      <c r="OC394" s="4"/>
      <c r="OD394" s="6"/>
    </row>
    <row r="395" spans="1:394" x14ac:dyDescent="0.25">
      <c r="A395" s="47"/>
      <c r="B395" s="48"/>
      <c r="C395" s="133"/>
      <c r="D395" s="133"/>
      <c r="E395" s="133"/>
      <c r="F395" s="133"/>
      <c r="G395" s="133"/>
      <c r="H395" s="133"/>
      <c r="I395" s="133"/>
      <c r="J395" s="133"/>
      <c r="K395" s="133"/>
      <c r="L395" s="133"/>
      <c r="NW395" s="6"/>
      <c r="NX395" s="6"/>
      <c r="NY395" s="6"/>
      <c r="NZ395" s="6"/>
      <c r="OA395" s="6"/>
      <c r="OB395" s="46"/>
      <c r="OC395" s="4"/>
      <c r="OD395" s="6"/>
    </row>
    <row r="396" spans="1:394" x14ac:dyDescent="0.25">
      <c r="A396" s="47"/>
      <c r="B396" s="48"/>
      <c r="C396" s="133"/>
      <c r="D396" s="133"/>
      <c r="E396" s="133"/>
      <c r="F396" s="133"/>
      <c r="G396" s="133"/>
      <c r="H396" s="133"/>
      <c r="I396" s="133"/>
      <c r="J396" s="133"/>
      <c r="K396" s="133"/>
      <c r="L396" s="133"/>
      <c r="NW396" s="6"/>
      <c r="NX396" s="6"/>
      <c r="NY396" s="6"/>
      <c r="NZ396" s="6"/>
      <c r="OA396" s="6"/>
      <c r="OB396" s="46"/>
      <c r="OC396" s="4"/>
      <c r="OD396" s="6"/>
    </row>
    <row r="397" spans="1:394" x14ac:dyDescent="0.25">
      <c r="A397" s="47"/>
      <c r="B397" s="48"/>
      <c r="C397" s="133"/>
      <c r="D397" s="133"/>
      <c r="E397" s="133"/>
      <c r="F397" s="133"/>
      <c r="G397" s="133"/>
      <c r="H397" s="133"/>
      <c r="I397" s="133"/>
      <c r="J397" s="133"/>
      <c r="K397" s="133"/>
      <c r="L397" s="133"/>
      <c r="NW397" s="6"/>
      <c r="NX397" s="6"/>
      <c r="NY397" s="6"/>
      <c r="NZ397" s="6"/>
      <c r="OA397" s="6"/>
      <c r="OB397" s="46"/>
      <c r="OC397" s="4"/>
      <c r="OD397" s="6"/>
    </row>
    <row r="398" spans="1:394" x14ac:dyDescent="0.25">
      <c r="A398" s="47"/>
      <c r="B398" s="48"/>
      <c r="C398" s="133"/>
      <c r="D398" s="133"/>
      <c r="E398" s="133"/>
      <c r="F398" s="133"/>
      <c r="G398" s="133"/>
      <c r="H398" s="133"/>
      <c r="I398" s="133"/>
      <c r="J398" s="133"/>
      <c r="K398" s="133"/>
      <c r="L398" s="133"/>
      <c r="NW398" s="6"/>
      <c r="NX398" s="6"/>
      <c r="NY398" s="6"/>
      <c r="NZ398" s="6"/>
      <c r="OA398" s="6"/>
      <c r="OB398" s="46"/>
      <c r="OC398" s="4"/>
      <c r="OD398" s="6"/>
    </row>
    <row r="399" spans="1:394" x14ac:dyDescent="0.25">
      <c r="A399" s="47"/>
      <c r="B399" s="48"/>
      <c r="C399" s="133"/>
      <c r="D399" s="133"/>
      <c r="E399" s="133"/>
      <c r="F399" s="133"/>
      <c r="G399" s="133"/>
      <c r="H399" s="133"/>
      <c r="I399" s="133"/>
      <c r="J399" s="133"/>
      <c r="K399" s="133"/>
      <c r="L399" s="133"/>
      <c r="NW399" s="6"/>
      <c r="NX399" s="6"/>
      <c r="NY399" s="6"/>
      <c r="NZ399" s="6"/>
      <c r="OA399" s="6"/>
      <c r="OB399" s="46"/>
      <c r="OC399" s="4"/>
      <c r="OD399" s="6"/>
    </row>
    <row r="400" spans="1:394" x14ac:dyDescent="0.25">
      <c r="A400" s="47"/>
      <c r="B400" s="48"/>
      <c r="C400" s="133"/>
      <c r="D400" s="133"/>
      <c r="E400" s="133"/>
      <c r="F400" s="133"/>
      <c r="G400" s="133"/>
      <c r="H400" s="133"/>
      <c r="I400" s="133"/>
      <c r="J400" s="133"/>
      <c r="K400" s="133"/>
      <c r="L400" s="133"/>
      <c r="NW400" s="6"/>
      <c r="NX400" s="6"/>
      <c r="NY400" s="6"/>
      <c r="NZ400" s="6"/>
      <c r="OA400" s="6"/>
      <c r="OB400" s="46"/>
      <c r="OC400" s="4"/>
      <c r="OD400" s="6"/>
    </row>
    <row r="401" spans="1:394" x14ac:dyDescent="0.25">
      <c r="A401" s="47"/>
      <c r="B401" s="48"/>
      <c r="C401" s="133"/>
      <c r="D401" s="133"/>
      <c r="E401" s="133"/>
      <c r="F401" s="133"/>
      <c r="G401" s="133"/>
      <c r="H401" s="133"/>
      <c r="I401" s="133"/>
      <c r="J401" s="133"/>
      <c r="K401" s="133"/>
      <c r="L401" s="133"/>
      <c r="NW401" s="6"/>
      <c r="NX401" s="6"/>
      <c r="NY401" s="6"/>
      <c r="NZ401" s="6"/>
      <c r="OA401" s="6"/>
      <c r="OB401" s="46"/>
      <c r="OC401" s="4"/>
      <c r="OD401" s="6"/>
    </row>
    <row r="402" spans="1:394" x14ac:dyDescent="0.25">
      <c r="A402" s="47"/>
      <c r="B402" s="48"/>
      <c r="C402" s="133"/>
      <c r="D402" s="133"/>
      <c r="E402" s="133"/>
      <c r="F402" s="133"/>
      <c r="G402" s="133"/>
      <c r="H402" s="133"/>
      <c r="I402" s="133"/>
      <c r="J402" s="133"/>
      <c r="K402" s="133"/>
      <c r="L402" s="133"/>
      <c r="NW402" s="6"/>
      <c r="NX402" s="6"/>
      <c r="NY402" s="6"/>
      <c r="NZ402" s="6"/>
      <c r="OA402" s="6"/>
      <c r="OB402" s="46"/>
      <c r="OC402" s="4"/>
      <c r="OD402" s="6"/>
    </row>
    <row r="403" spans="1:394" x14ac:dyDescent="0.25">
      <c r="A403" s="47"/>
      <c r="B403" s="48"/>
      <c r="C403" s="133"/>
      <c r="D403" s="133"/>
      <c r="E403" s="133"/>
      <c r="F403" s="133"/>
      <c r="G403" s="133"/>
      <c r="H403" s="133"/>
      <c r="I403" s="133"/>
      <c r="J403" s="133"/>
      <c r="K403" s="133"/>
      <c r="L403" s="133"/>
      <c r="NW403" s="6"/>
      <c r="NX403" s="6"/>
      <c r="NY403" s="6"/>
      <c r="NZ403" s="6"/>
      <c r="OA403" s="6"/>
      <c r="OB403" s="46"/>
      <c r="OC403" s="4"/>
      <c r="OD403" s="6"/>
    </row>
    <row r="404" spans="1:394" x14ac:dyDescent="0.25">
      <c r="A404" s="47"/>
      <c r="B404" s="48"/>
      <c r="C404" s="133"/>
      <c r="D404" s="133"/>
      <c r="E404" s="133"/>
      <c r="F404" s="133"/>
      <c r="G404" s="133"/>
      <c r="H404" s="133"/>
      <c r="I404" s="133"/>
      <c r="J404" s="133"/>
      <c r="K404" s="133"/>
      <c r="L404" s="133"/>
      <c r="NW404" s="6"/>
      <c r="NX404" s="6"/>
      <c r="NY404" s="6"/>
      <c r="NZ404" s="6"/>
      <c r="OA404" s="6"/>
      <c r="OB404" s="46"/>
      <c r="OC404" s="4"/>
      <c r="OD404" s="6"/>
    </row>
    <row r="405" spans="1:394" x14ac:dyDescent="0.25">
      <c r="A405" s="47"/>
      <c r="B405" s="48"/>
      <c r="C405" s="133"/>
      <c r="D405" s="133"/>
      <c r="E405" s="133"/>
      <c r="F405" s="133"/>
      <c r="G405" s="133"/>
      <c r="H405" s="133"/>
      <c r="I405" s="133"/>
      <c r="J405" s="133"/>
      <c r="K405" s="133"/>
      <c r="L405" s="133"/>
      <c r="NW405" s="6"/>
      <c r="NX405" s="6"/>
      <c r="NY405" s="6"/>
      <c r="NZ405" s="6"/>
      <c r="OA405" s="6"/>
      <c r="OB405" s="46"/>
      <c r="OC405" s="4"/>
      <c r="OD405" s="6"/>
    </row>
    <row r="406" spans="1:394" x14ac:dyDescent="0.25">
      <c r="A406" s="47"/>
      <c r="B406" s="48"/>
      <c r="C406" s="133"/>
      <c r="D406" s="133"/>
      <c r="E406" s="133"/>
      <c r="F406" s="133"/>
      <c r="G406" s="133"/>
      <c r="H406" s="133"/>
      <c r="I406" s="133"/>
      <c r="J406" s="133"/>
      <c r="K406" s="133"/>
      <c r="L406" s="133"/>
      <c r="NW406" s="6"/>
      <c r="NX406" s="6"/>
      <c r="NY406" s="6"/>
      <c r="NZ406" s="6"/>
      <c r="OA406" s="6"/>
      <c r="OB406" s="46"/>
      <c r="OC406" s="4"/>
      <c r="OD406" s="6"/>
    </row>
    <row r="407" spans="1:394" x14ac:dyDescent="0.25">
      <c r="A407" s="47"/>
      <c r="B407" s="48"/>
      <c r="C407" s="133"/>
      <c r="D407" s="133"/>
      <c r="E407" s="133"/>
      <c r="F407" s="133"/>
      <c r="G407" s="133"/>
      <c r="H407" s="133"/>
      <c r="I407" s="133"/>
      <c r="J407" s="133"/>
      <c r="K407" s="133"/>
      <c r="L407" s="133"/>
      <c r="NW407" s="6"/>
      <c r="NX407" s="6"/>
      <c r="NY407" s="6"/>
      <c r="NZ407" s="6"/>
      <c r="OA407" s="6"/>
      <c r="OB407" s="46"/>
      <c r="OC407" s="4"/>
      <c r="OD407" s="6"/>
    </row>
    <row r="408" spans="1:394" x14ac:dyDescent="0.25">
      <c r="A408" s="47"/>
      <c r="B408" s="48"/>
      <c r="C408" s="133"/>
      <c r="D408" s="133"/>
      <c r="E408" s="133"/>
      <c r="F408" s="133"/>
      <c r="G408" s="133"/>
      <c r="H408" s="133"/>
      <c r="I408" s="133"/>
      <c r="J408" s="133"/>
      <c r="K408" s="133"/>
      <c r="L408" s="133"/>
      <c r="NW408" s="6"/>
      <c r="NX408" s="6"/>
      <c r="NY408" s="6"/>
      <c r="NZ408" s="6"/>
      <c r="OA408" s="6"/>
      <c r="OB408" s="46"/>
      <c r="OC408" s="4"/>
      <c r="OD408" s="6"/>
    </row>
    <row r="409" spans="1:394" x14ac:dyDescent="0.25">
      <c r="A409" s="47"/>
      <c r="B409" s="48"/>
      <c r="C409" s="133"/>
      <c r="D409" s="133"/>
      <c r="E409" s="133"/>
      <c r="F409" s="133"/>
      <c r="G409" s="133"/>
      <c r="H409" s="133"/>
      <c r="I409" s="133"/>
      <c r="J409" s="133"/>
      <c r="K409" s="133"/>
      <c r="L409" s="133"/>
      <c r="NW409" s="6"/>
      <c r="NX409" s="6"/>
      <c r="NY409" s="6"/>
      <c r="NZ409" s="6"/>
      <c r="OA409" s="6"/>
      <c r="OB409" s="46"/>
      <c r="OC409" s="4"/>
      <c r="OD409" s="6"/>
    </row>
    <row r="410" spans="1:394" x14ac:dyDescent="0.25">
      <c r="A410" s="47"/>
      <c r="B410" s="48"/>
      <c r="C410" s="133"/>
      <c r="D410" s="133"/>
      <c r="E410" s="133"/>
      <c r="F410" s="133"/>
      <c r="G410" s="133"/>
      <c r="H410" s="133"/>
      <c r="I410" s="133"/>
      <c r="J410" s="133"/>
      <c r="K410" s="133"/>
      <c r="L410" s="133"/>
      <c r="NW410" s="6"/>
      <c r="NX410" s="6"/>
      <c r="NY410" s="6"/>
      <c r="NZ410" s="6"/>
      <c r="OA410" s="6"/>
      <c r="OB410" s="46"/>
      <c r="OC410" s="4"/>
      <c r="OD410" s="6"/>
    </row>
    <row r="411" spans="1:394" x14ac:dyDescent="0.25">
      <c r="A411" s="47"/>
      <c r="B411" s="48"/>
      <c r="C411" s="133"/>
      <c r="D411" s="133"/>
      <c r="E411" s="133"/>
      <c r="F411" s="133"/>
      <c r="G411" s="133"/>
      <c r="H411" s="133"/>
      <c r="I411" s="133"/>
      <c r="J411" s="133"/>
      <c r="K411" s="133"/>
      <c r="L411" s="133"/>
      <c r="NW411" s="6"/>
      <c r="NX411" s="6"/>
      <c r="NY411" s="6"/>
      <c r="NZ411" s="6"/>
      <c r="OA411" s="6"/>
      <c r="OB411" s="46"/>
      <c r="OC411" s="4"/>
      <c r="OD411" s="6"/>
    </row>
    <row r="412" spans="1:394" x14ac:dyDescent="0.25">
      <c r="A412" s="47"/>
      <c r="B412" s="48"/>
      <c r="C412" s="133"/>
      <c r="D412" s="133"/>
      <c r="E412" s="133"/>
      <c r="F412" s="133"/>
      <c r="G412" s="133"/>
      <c r="H412" s="133"/>
      <c r="I412" s="133"/>
      <c r="J412" s="133"/>
      <c r="K412" s="133"/>
      <c r="L412" s="133"/>
      <c r="NW412" s="6"/>
      <c r="NX412" s="6"/>
      <c r="NY412" s="6"/>
      <c r="NZ412" s="6"/>
      <c r="OA412" s="6"/>
      <c r="OB412" s="46"/>
      <c r="OC412" s="4"/>
      <c r="OD412" s="6"/>
    </row>
    <row r="413" spans="1:394" x14ac:dyDescent="0.25">
      <c r="A413" s="47"/>
      <c r="B413" s="48"/>
      <c r="C413" s="133"/>
      <c r="D413" s="133"/>
      <c r="E413" s="133"/>
      <c r="F413" s="133"/>
      <c r="G413" s="133"/>
      <c r="H413" s="133"/>
      <c r="I413" s="133"/>
      <c r="J413" s="133"/>
      <c r="K413" s="133"/>
      <c r="L413" s="133"/>
      <c r="NW413" s="6"/>
      <c r="NX413" s="6"/>
      <c r="NY413" s="6"/>
      <c r="NZ413" s="6"/>
      <c r="OA413" s="6"/>
      <c r="OB413" s="46"/>
      <c r="OC413" s="4"/>
      <c r="OD413" s="6"/>
    </row>
    <row r="414" spans="1:394" x14ac:dyDescent="0.25">
      <c r="A414" s="47"/>
      <c r="B414" s="48"/>
      <c r="C414" s="133"/>
      <c r="D414" s="133"/>
      <c r="E414" s="133"/>
      <c r="F414" s="133"/>
      <c r="G414" s="133"/>
      <c r="H414" s="133"/>
      <c r="I414" s="133"/>
      <c r="J414" s="133"/>
      <c r="K414" s="133"/>
      <c r="L414" s="133"/>
      <c r="NW414" s="6"/>
      <c r="NX414" s="6"/>
      <c r="NY414" s="6"/>
      <c r="NZ414" s="6"/>
      <c r="OA414" s="6"/>
      <c r="OB414" s="46"/>
      <c r="OC414" s="4"/>
      <c r="OD414" s="6"/>
    </row>
    <row r="415" spans="1:394" x14ac:dyDescent="0.25">
      <c r="A415" s="47"/>
      <c r="B415" s="48"/>
      <c r="C415" s="133"/>
      <c r="D415" s="133"/>
      <c r="E415" s="133"/>
      <c r="F415" s="133"/>
      <c r="G415" s="133"/>
      <c r="H415" s="133"/>
      <c r="I415" s="133"/>
      <c r="J415" s="133"/>
      <c r="K415" s="133"/>
      <c r="L415" s="133"/>
      <c r="NW415" s="6"/>
      <c r="NX415" s="6"/>
      <c r="NY415" s="6"/>
      <c r="NZ415" s="6"/>
      <c r="OA415" s="6"/>
      <c r="OB415" s="46"/>
      <c r="OC415" s="4"/>
      <c r="OD415" s="6"/>
    </row>
    <row r="416" spans="1:394" x14ac:dyDescent="0.25">
      <c r="A416" s="47"/>
      <c r="B416" s="48"/>
      <c r="C416" s="133"/>
      <c r="D416" s="133"/>
      <c r="E416" s="133"/>
      <c r="F416" s="133"/>
      <c r="G416" s="133"/>
      <c r="H416" s="133"/>
      <c r="I416" s="133"/>
      <c r="J416" s="133"/>
      <c r="K416" s="133"/>
      <c r="L416" s="133"/>
      <c r="NW416" s="6"/>
      <c r="NX416" s="6"/>
      <c r="NY416" s="6"/>
      <c r="NZ416" s="6"/>
      <c r="OA416" s="6"/>
      <c r="OB416" s="46"/>
      <c r="OC416" s="4"/>
      <c r="OD416" s="6"/>
    </row>
    <row r="417" spans="1:394" x14ac:dyDescent="0.25">
      <c r="A417" s="47"/>
      <c r="B417" s="48"/>
      <c r="C417" s="133"/>
      <c r="D417" s="133"/>
      <c r="E417" s="133"/>
      <c r="F417" s="133"/>
      <c r="G417" s="133"/>
      <c r="H417" s="133"/>
      <c r="I417" s="133"/>
      <c r="J417" s="133"/>
      <c r="K417" s="133"/>
      <c r="L417" s="133"/>
      <c r="NW417" s="6"/>
      <c r="NX417" s="6"/>
      <c r="NY417" s="6"/>
      <c r="NZ417" s="6"/>
      <c r="OA417" s="6"/>
      <c r="OB417" s="46"/>
      <c r="OC417" s="4"/>
      <c r="OD417" s="6"/>
    </row>
    <row r="418" spans="1:394" x14ac:dyDescent="0.25">
      <c r="A418" s="47"/>
      <c r="B418" s="48"/>
      <c r="C418" s="133"/>
      <c r="D418" s="133"/>
      <c r="E418" s="133"/>
      <c r="F418" s="133"/>
      <c r="G418" s="133"/>
      <c r="H418" s="133"/>
      <c r="I418" s="133"/>
      <c r="J418" s="133"/>
      <c r="K418" s="133"/>
      <c r="L418" s="133"/>
      <c r="NW418" s="6"/>
      <c r="NX418" s="6"/>
      <c r="NY418" s="6"/>
      <c r="NZ418" s="6"/>
      <c r="OA418" s="6"/>
      <c r="OB418" s="46"/>
      <c r="OC418" s="4"/>
      <c r="OD418" s="6"/>
    </row>
    <row r="419" spans="1:394" x14ac:dyDescent="0.25">
      <c r="A419" s="47"/>
      <c r="B419" s="48"/>
      <c r="C419" s="133"/>
      <c r="D419" s="133"/>
      <c r="E419" s="133"/>
      <c r="F419" s="133"/>
      <c r="G419" s="133"/>
      <c r="H419" s="133"/>
      <c r="I419" s="133"/>
      <c r="J419" s="133"/>
      <c r="K419" s="133"/>
      <c r="L419" s="133"/>
      <c r="NW419" s="6"/>
      <c r="NX419" s="6"/>
      <c r="NY419" s="6"/>
      <c r="NZ419" s="6"/>
      <c r="OA419" s="6"/>
      <c r="OB419" s="46"/>
      <c r="OC419" s="4"/>
      <c r="OD419" s="6"/>
    </row>
    <row r="420" spans="1:394" x14ac:dyDescent="0.25">
      <c r="A420" s="47"/>
      <c r="B420" s="48"/>
      <c r="C420" s="133"/>
      <c r="D420" s="133"/>
      <c r="E420" s="133"/>
      <c r="F420" s="133"/>
      <c r="G420" s="133"/>
      <c r="H420" s="133"/>
      <c r="I420" s="133"/>
      <c r="J420" s="133"/>
      <c r="K420" s="133"/>
      <c r="L420" s="133"/>
      <c r="NW420" s="6"/>
      <c r="NX420" s="6"/>
      <c r="NY420" s="6"/>
      <c r="NZ420" s="6"/>
      <c r="OA420" s="6"/>
      <c r="OB420" s="46"/>
      <c r="OC420" s="4"/>
      <c r="OD420" s="6"/>
    </row>
    <row r="421" spans="1:394" x14ac:dyDescent="0.25">
      <c r="A421" s="47"/>
      <c r="B421" s="48"/>
      <c r="C421" s="133"/>
      <c r="D421" s="133"/>
      <c r="E421" s="133"/>
      <c r="F421" s="133"/>
      <c r="G421" s="133"/>
      <c r="H421" s="133"/>
      <c r="I421" s="133"/>
      <c r="J421" s="133"/>
      <c r="K421" s="133"/>
      <c r="L421" s="133"/>
      <c r="NW421" s="6"/>
      <c r="NX421" s="6"/>
      <c r="NY421" s="6"/>
      <c r="NZ421" s="6"/>
      <c r="OA421" s="6"/>
      <c r="OB421" s="46"/>
      <c r="OC421" s="4"/>
      <c r="OD421" s="6"/>
    </row>
    <row r="422" spans="1:394" x14ac:dyDescent="0.25">
      <c r="A422" s="47"/>
      <c r="B422" s="48"/>
      <c r="C422" s="133"/>
      <c r="D422" s="133"/>
      <c r="E422" s="133"/>
      <c r="F422" s="133"/>
      <c r="G422" s="133"/>
      <c r="H422" s="133"/>
      <c r="I422" s="133"/>
      <c r="J422" s="133"/>
      <c r="K422" s="133"/>
      <c r="L422" s="133"/>
      <c r="NW422" s="6"/>
      <c r="NX422" s="6"/>
      <c r="NY422" s="6"/>
      <c r="NZ422" s="6"/>
      <c r="OA422" s="6"/>
      <c r="OB422" s="46"/>
      <c r="OC422" s="4"/>
      <c r="OD422" s="6"/>
    </row>
    <row r="423" spans="1:394" x14ac:dyDescent="0.25">
      <c r="A423" s="47"/>
      <c r="B423" s="48"/>
      <c r="C423" s="133"/>
      <c r="D423" s="133"/>
      <c r="E423" s="133"/>
      <c r="F423" s="133"/>
      <c r="G423" s="133"/>
      <c r="H423" s="133"/>
      <c r="I423" s="133"/>
      <c r="J423" s="133"/>
      <c r="K423" s="133"/>
      <c r="L423" s="133"/>
      <c r="NW423" s="6"/>
      <c r="NX423" s="6"/>
      <c r="NY423" s="6"/>
      <c r="NZ423" s="6"/>
      <c r="OA423" s="6"/>
      <c r="OB423" s="46"/>
      <c r="OC423" s="4"/>
      <c r="OD423" s="6"/>
    </row>
    <row r="424" spans="1:394" x14ac:dyDescent="0.25">
      <c r="A424" s="47"/>
      <c r="B424" s="48"/>
      <c r="C424" s="133"/>
      <c r="D424" s="133"/>
      <c r="E424" s="133"/>
      <c r="F424" s="133"/>
      <c r="G424" s="133"/>
      <c r="H424" s="133"/>
      <c r="I424" s="133"/>
      <c r="J424" s="133"/>
      <c r="K424" s="133"/>
      <c r="L424" s="133"/>
      <c r="NW424" s="6"/>
      <c r="NX424" s="6"/>
      <c r="NY424" s="6"/>
      <c r="NZ424" s="6"/>
      <c r="OA424" s="6"/>
      <c r="OB424" s="46"/>
      <c r="OC424" s="4"/>
      <c r="OD424" s="6"/>
    </row>
    <row r="425" spans="1:394" x14ac:dyDescent="0.25">
      <c r="A425" s="47"/>
      <c r="B425" s="48"/>
      <c r="C425" s="133"/>
      <c r="D425" s="133"/>
      <c r="E425" s="133"/>
      <c r="F425" s="133"/>
      <c r="G425" s="133"/>
      <c r="H425" s="133"/>
      <c r="I425" s="133"/>
      <c r="J425" s="133"/>
      <c r="K425" s="133"/>
      <c r="L425" s="133"/>
      <c r="NW425" s="6"/>
      <c r="NX425" s="6"/>
      <c r="NY425" s="6"/>
      <c r="NZ425" s="6"/>
      <c r="OA425" s="6"/>
      <c r="OB425" s="46"/>
      <c r="OC425" s="4"/>
      <c r="OD425" s="6"/>
    </row>
    <row r="426" spans="1:394" x14ac:dyDescent="0.25">
      <c r="A426" s="47"/>
      <c r="B426" s="48"/>
      <c r="C426" s="133"/>
      <c r="D426" s="133"/>
      <c r="E426" s="133"/>
      <c r="F426" s="133"/>
      <c r="G426" s="133"/>
      <c r="H426" s="133"/>
      <c r="I426" s="133"/>
      <c r="J426" s="133"/>
      <c r="K426" s="133"/>
      <c r="L426" s="133"/>
      <c r="NW426" s="6"/>
      <c r="NX426" s="6"/>
      <c r="NY426" s="6"/>
      <c r="NZ426" s="6"/>
      <c r="OA426" s="6"/>
      <c r="OB426" s="46"/>
      <c r="OC426" s="4"/>
      <c r="OD426" s="6"/>
    </row>
    <row r="427" spans="1:394" x14ac:dyDescent="0.25">
      <c r="A427" s="47"/>
      <c r="B427" s="48"/>
      <c r="C427" s="133"/>
      <c r="D427" s="133"/>
      <c r="E427" s="133"/>
      <c r="F427" s="133"/>
      <c r="G427" s="133"/>
      <c r="H427" s="133"/>
      <c r="I427" s="133"/>
      <c r="J427" s="133"/>
      <c r="K427" s="133"/>
      <c r="L427" s="133"/>
      <c r="NW427" s="6"/>
      <c r="NX427" s="6"/>
      <c r="NY427" s="6"/>
      <c r="NZ427" s="6"/>
      <c r="OA427" s="6"/>
      <c r="OB427" s="46"/>
      <c r="OC427" s="4"/>
      <c r="OD427" s="6"/>
    </row>
    <row r="428" spans="1:394" x14ac:dyDescent="0.25">
      <c r="A428" s="47"/>
      <c r="B428" s="48"/>
      <c r="C428" s="133"/>
      <c r="D428" s="133"/>
      <c r="E428" s="133"/>
      <c r="F428" s="133"/>
      <c r="G428" s="133"/>
      <c r="H428" s="133"/>
      <c r="I428" s="133"/>
      <c r="J428" s="133"/>
      <c r="K428" s="133"/>
      <c r="L428" s="133"/>
      <c r="NW428" s="6"/>
      <c r="NX428" s="6"/>
      <c r="NY428" s="6"/>
      <c r="NZ428" s="6"/>
      <c r="OA428" s="6"/>
      <c r="OB428" s="46"/>
      <c r="OC428" s="4"/>
      <c r="OD428" s="6"/>
    </row>
    <row r="429" spans="1:394" x14ac:dyDescent="0.25">
      <c r="A429" s="47"/>
      <c r="B429" s="48"/>
      <c r="C429" s="133"/>
      <c r="D429" s="133"/>
      <c r="E429" s="133"/>
      <c r="F429" s="133"/>
      <c r="G429" s="133"/>
      <c r="H429" s="133"/>
      <c r="I429" s="133"/>
      <c r="J429" s="133"/>
      <c r="K429" s="133"/>
      <c r="L429" s="133"/>
      <c r="NW429" s="6"/>
      <c r="NX429" s="6"/>
      <c r="NY429" s="6"/>
      <c r="NZ429" s="6"/>
      <c r="OA429" s="6"/>
      <c r="OB429" s="46"/>
      <c r="OC429" s="4"/>
      <c r="OD429" s="6"/>
    </row>
    <row r="430" spans="1:394" x14ac:dyDescent="0.25">
      <c r="A430" s="47"/>
      <c r="B430" s="48"/>
      <c r="C430" s="133"/>
      <c r="D430" s="133"/>
      <c r="E430" s="133"/>
      <c r="F430" s="133"/>
      <c r="G430" s="133"/>
      <c r="H430" s="133"/>
      <c r="I430" s="133"/>
      <c r="J430" s="133"/>
      <c r="K430" s="133"/>
      <c r="L430" s="133"/>
      <c r="NW430" s="6"/>
      <c r="NX430" s="6"/>
      <c r="NY430" s="6"/>
      <c r="NZ430" s="6"/>
      <c r="OA430" s="6"/>
      <c r="OB430" s="46"/>
      <c r="OC430" s="4"/>
      <c r="OD430" s="6"/>
    </row>
    <row r="431" spans="1:394" x14ac:dyDescent="0.25">
      <c r="A431" s="47"/>
      <c r="B431" s="48"/>
      <c r="C431" s="133"/>
      <c r="D431" s="133"/>
      <c r="E431" s="133"/>
      <c r="F431" s="133"/>
      <c r="G431" s="133"/>
      <c r="H431" s="133"/>
      <c r="I431" s="133"/>
      <c r="J431" s="133"/>
      <c r="K431" s="133"/>
      <c r="L431" s="133"/>
      <c r="NW431" s="6"/>
      <c r="NX431" s="6"/>
      <c r="NY431" s="6"/>
      <c r="NZ431" s="6"/>
      <c r="OA431" s="6"/>
      <c r="OB431" s="46"/>
      <c r="OC431" s="4"/>
      <c r="OD431" s="6"/>
    </row>
    <row r="432" spans="1:394" x14ac:dyDescent="0.25">
      <c r="A432" s="47"/>
      <c r="B432" s="48"/>
      <c r="C432" s="133"/>
      <c r="D432" s="133"/>
      <c r="E432" s="133"/>
      <c r="F432" s="133"/>
      <c r="G432" s="133"/>
      <c r="H432" s="133"/>
      <c r="I432" s="133"/>
      <c r="J432" s="133"/>
      <c r="K432" s="133"/>
      <c r="L432" s="133"/>
      <c r="NW432" s="6"/>
      <c r="NX432" s="6"/>
      <c r="NY432" s="6"/>
      <c r="NZ432" s="6"/>
      <c r="OA432" s="6"/>
      <c r="OB432" s="46"/>
      <c r="OC432" s="4"/>
      <c r="OD432" s="6"/>
    </row>
    <row r="433" spans="1:394" x14ac:dyDescent="0.25">
      <c r="A433" s="47"/>
      <c r="B433" s="48"/>
      <c r="C433" s="133"/>
      <c r="D433" s="133"/>
      <c r="E433" s="133"/>
      <c r="F433" s="133"/>
      <c r="G433" s="133"/>
      <c r="H433" s="133"/>
      <c r="I433" s="133"/>
      <c r="J433" s="133"/>
      <c r="K433" s="133"/>
      <c r="L433" s="133"/>
      <c r="NW433" s="6"/>
      <c r="NX433" s="6"/>
      <c r="NY433" s="6"/>
      <c r="NZ433" s="6"/>
      <c r="OA433" s="6"/>
      <c r="OB433" s="46"/>
      <c r="OC433" s="4"/>
      <c r="OD433" s="6"/>
    </row>
    <row r="434" spans="1:394" x14ac:dyDescent="0.25">
      <c r="A434" s="47"/>
      <c r="B434" s="48"/>
      <c r="C434" s="133"/>
      <c r="D434" s="133"/>
      <c r="E434" s="133"/>
      <c r="F434" s="133"/>
      <c r="G434" s="133"/>
      <c r="H434" s="133"/>
      <c r="I434" s="133"/>
      <c r="J434" s="133"/>
      <c r="K434" s="133"/>
      <c r="L434" s="133"/>
      <c r="NW434" s="6"/>
      <c r="NX434" s="6"/>
      <c r="NY434" s="6"/>
      <c r="NZ434" s="6"/>
      <c r="OA434" s="6"/>
      <c r="OB434" s="46"/>
      <c r="OC434" s="4"/>
      <c r="OD434" s="6"/>
    </row>
    <row r="435" spans="1:394" x14ac:dyDescent="0.25">
      <c r="A435" s="47"/>
      <c r="B435" s="48"/>
      <c r="C435" s="133"/>
      <c r="D435" s="133"/>
      <c r="E435" s="133"/>
      <c r="F435" s="133"/>
      <c r="G435" s="133"/>
      <c r="H435" s="133"/>
      <c r="I435" s="133"/>
      <c r="J435" s="133"/>
      <c r="K435" s="133"/>
      <c r="L435" s="133"/>
      <c r="NW435" s="6"/>
      <c r="NX435" s="6"/>
      <c r="NY435" s="6"/>
      <c r="NZ435" s="6"/>
      <c r="OA435" s="6"/>
      <c r="OB435" s="46"/>
      <c r="OC435" s="4"/>
      <c r="OD435" s="6"/>
    </row>
    <row r="436" spans="1:394" x14ac:dyDescent="0.25">
      <c r="A436" s="47"/>
      <c r="B436" s="48"/>
      <c r="C436" s="133"/>
      <c r="D436" s="133"/>
      <c r="E436" s="133"/>
      <c r="F436" s="133"/>
      <c r="G436" s="133"/>
      <c r="H436" s="133"/>
      <c r="I436" s="133"/>
      <c r="J436" s="133"/>
      <c r="K436" s="133"/>
      <c r="L436" s="133"/>
      <c r="NW436" s="6"/>
      <c r="NX436" s="6"/>
      <c r="NY436" s="6"/>
      <c r="NZ436" s="6"/>
      <c r="OA436" s="6"/>
      <c r="OB436" s="46"/>
      <c r="OC436" s="4"/>
      <c r="OD436" s="6"/>
    </row>
    <row r="437" spans="1:394" x14ac:dyDescent="0.25">
      <c r="A437" s="47"/>
      <c r="B437" s="48"/>
      <c r="C437" s="133"/>
      <c r="D437" s="133"/>
      <c r="E437" s="133"/>
      <c r="F437" s="133"/>
      <c r="G437" s="133"/>
      <c r="H437" s="133"/>
      <c r="I437" s="133"/>
      <c r="J437" s="133"/>
      <c r="K437" s="133"/>
      <c r="L437" s="133"/>
      <c r="NW437" s="6"/>
      <c r="NX437" s="6"/>
      <c r="NY437" s="6"/>
      <c r="NZ437" s="6"/>
      <c r="OA437" s="6"/>
      <c r="OB437" s="46"/>
      <c r="OC437" s="4"/>
      <c r="OD437" s="6"/>
    </row>
    <row r="438" spans="1:394" x14ac:dyDescent="0.25">
      <c r="A438" s="47"/>
      <c r="B438" s="48"/>
      <c r="C438" s="133"/>
      <c r="D438" s="133"/>
      <c r="E438" s="133"/>
      <c r="F438" s="133"/>
      <c r="G438" s="133"/>
      <c r="H438" s="133"/>
      <c r="I438" s="133"/>
      <c r="J438" s="133"/>
      <c r="K438" s="133"/>
      <c r="L438" s="133"/>
      <c r="NW438" s="6"/>
      <c r="NX438" s="6"/>
      <c r="NY438" s="6"/>
      <c r="NZ438" s="6"/>
      <c r="OA438" s="6"/>
      <c r="OB438" s="46"/>
      <c r="OC438" s="4"/>
      <c r="OD438" s="6"/>
    </row>
    <row r="439" spans="1:394" x14ac:dyDescent="0.25">
      <c r="A439" s="47"/>
      <c r="B439" s="48"/>
      <c r="C439" s="133"/>
      <c r="D439" s="133"/>
      <c r="E439" s="133"/>
      <c r="F439" s="133"/>
      <c r="G439" s="133"/>
      <c r="H439" s="133"/>
      <c r="I439" s="133"/>
      <c r="J439" s="133"/>
      <c r="K439" s="133"/>
      <c r="L439" s="133"/>
      <c r="NW439" s="6"/>
      <c r="NX439" s="6"/>
      <c r="NY439" s="6"/>
      <c r="NZ439" s="6"/>
      <c r="OA439" s="6"/>
      <c r="OB439" s="46"/>
      <c r="OC439" s="4"/>
      <c r="OD439" s="6"/>
    </row>
    <row r="440" spans="1:394" x14ac:dyDescent="0.25">
      <c r="A440" s="47"/>
      <c r="B440" s="48"/>
      <c r="C440" s="133"/>
      <c r="D440" s="133"/>
      <c r="E440" s="133"/>
      <c r="F440" s="133"/>
      <c r="G440" s="133"/>
      <c r="H440" s="133"/>
      <c r="I440" s="133"/>
      <c r="J440" s="133"/>
      <c r="K440" s="133"/>
      <c r="L440" s="133"/>
      <c r="NW440" s="6"/>
      <c r="NX440" s="6"/>
      <c r="NY440" s="6"/>
      <c r="NZ440" s="6"/>
      <c r="OA440" s="6"/>
      <c r="OB440" s="46"/>
      <c r="OC440" s="4"/>
      <c r="OD440" s="6"/>
    </row>
    <row r="441" spans="1:394" x14ac:dyDescent="0.25">
      <c r="A441" s="47"/>
      <c r="B441" s="48"/>
      <c r="C441" s="133"/>
      <c r="D441" s="133"/>
      <c r="E441" s="133"/>
      <c r="F441" s="133"/>
      <c r="G441" s="133"/>
      <c r="H441" s="133"/>
      <c r="I441" s="133"/>
      <c r="J441" s="133"/>
      <c r="K441" s="133"/>
      <c r="L441" s="133"/>
      <c r="NW441" s="6"/>
      <c r="NX441" s="6"/>
      <c r="NY441" s="6"/>
      <c r="NZ441" s="6"/>
      <c r="OA441" s="6"/>
      <c r="OB441" s="46"/>
      <c r="OC441" s="4"/>
      <c r="OD441" s="6"/>
    </row>
    <row r="442" spans="1:394" x14ac:dyDescent="0.25">
      <c r="A442" s="47"/>
      <c r="B442" s="48"/>
      <c r="C442" s="133"/>
      <c r="D442" s="133"/>
      <c r="E442" s="133"/>
      <c r="F442" s="133"/>
      <c r="G442" s="133"/>
      <c r="H442" s="133"/>
      <c r="I442" s="133"/>
      <c r="J442" s="133"/>
      <c r="K442" s="133"/>
      <c r="L442" s="133"/>
      <c r="NW442" s="6"/>
      <c r="NX442" s="6"/>
      <c r="NY442" s="6"/>
      <c r="NZ442" s="6"/>
      <c r="OA442" s="6"/>
      <c r="OB442" s="46"/>
      <c r="OC442" s="4"/>
      <c r="OD442" s="6"/>
    </row>
    <row r="443" spans="1:394" x14ac:dyDescent="0.25">
      <c r="A443" s="47"/>
      <c r="B443" s="48"/>
      <c r="C443" s="133"/>
      <c r="D443" s="133"/>
      <c r="E443" s="133"/>
      <c r="F443" s="133"/>
      <c r="G443" s="133"/>
      <c r="H443" s="133"/>
      <c r="I443" s="133"/>
      <c r="J443" s="133"/>
      <c r="K443" s="133"/>
      <c r="L443" s="133"/>
      <c r="NW443" s="6"/>
      <c r="NX443" s="6"/>
      <c r="NY443" s="6"/>
      <c r="NZ443" s="6"/>
      <c r="OA443" s="6"/>
      <c r="OB443" s="46"/>
      <c r="OC443" s="4"/>
      <c r="OD443" s="6"/>
    </row>
    <row r="444" spans="1:394" x14ac:dyDescent="0.25">
      <c r="A444" s="47"/>
      <c r="B444" s="48"/>
      <c r="C444" s="133"/>
      <c r="D444" s="133"/>
      <c r="E444" s="133"/>
      <c r="F444" s="133"/>
      <c r="G444" s="133"/>
      <c r="H444" s="133"/>
      <c r="I444" s="133"/>
      <c r="J444" s="133"/>
      <c r="K444" s="133"/>
      <c r="L444" s="133"/>
      <c r="NW444" s="6"/>
      <c r="NX444" s="6"/>
      <c r="NY444" s="6"/>
      <c r="NZ444" s="6"/>
      <c r="OA444" s="6"/>
      <c r="OB444" s="46"/>
      <c r="OC444" s="4"/>
      <c r="OD444" s="6"/>
    </row>
    <row r="445" spans="1:394" x14ac:dyDescent="0.25">
      <c r="A445" s="47"/>
      <c r="B445" s="48"/>
      <c r="C445" s="133"/>
      <c r="D445" s="133"/>
      <c r="E445" s="133"/>
      <c r="F445" s="133"/>
      <c r="G445" s="133"/>
      <c r="H445" s="133"/>
      <c r="I445" s="133"/>
      <c r="J445" s="133"/>
      <c r="K445" s="133"/>
      <c r="L445" s="133"/>
      <c r="NW445" s="6"/>
      <c r="NX445" s="6"/>
      <c r="NY445" s="6"/>
      <c r="NZ445" s="6"/>
      <c r="OA445" s="6"/>
      <c r="OB445" s="46"/>
      <c r="OC445" s="4"/>
      <c r="OD445" s="6"/>
    </row>
    <row r="446" spans="1:394" x14ac:dyDescent="0.25">
      <c r="A446" s="47"/>
      <c r="B446" s="48"/>
      <c r="C446" s="133"/>
      <c r="D446" s="133"/>
      <c r="E446" s="133"/>
      <c r="F446" s="133"/>
      <c r="G446" s="133"/>
      <c r="H446" s="133"/>
      <c r="I446" s="133"/>
      <c r="J446" s="133"/>
      <c r="K446" s="133"/>
      <c r="L446" s="133"/>
      <c r="NW446" s="6"/>
      <c r="NX446" s="6"/>
      <c r="NY446" s="6"/>
      <c r="NZ446" s="6"/>
      <c r="OA446" s="6"/>
      <c r="OB446" s="46"/>
      <c r="OC446" s="4"/>
      <c r="OD446" s="6"/>
    </row>
    <row r="447" spans="1:394" x14ac:dyDescent="0.25">
      <c r="A447" s="47"/>
      <c r="B447" s="48"/>
      <c r="C447" s="133"/>
      <c r="D447" s="133"/>
      <c r="E447" s="133"/>
      <c r="F447" s="133"/>
      <c r="G447" s="133"/>
      <c r="H447" s="133"/>
      <c r="I447" s="133"/>
      <c r="J447" s="133"/>
      <c r="K447" s="133"/>
      <c r="L447" s="133"/>
      <c r="NW447" s="6"/>
      <c r="NX447" s="6"/>
      <c r="NY447" s="6"/>
      <c r="NZ447" s="6"/>
      <c r="OA447" s="6"/>
      <c r="OB447" s="46"/>
      <c r="OC447" s="4"/>
      <c r="OD447" s="6"/>
    </row>
    <row r="448" spans="1:394" x14ac:dyDescent="0.25">
      <c r="A448" s="47"/>
      <c r="B448" s="48"/>
      <c r="C448" s="133"/>
      <c r="D448" s="133"/>
      <c r="E448" s="133"/>
      <c r="F448" s="133"/>
      <c r="G448" s="133"/>
      <c r="H448" s="133"/>
      <c r="I448" s="133"/>
      <c r="J448" s="133"/>
      <c r="K448" s="133"/>
      <c r="L448" s="133"/>
      <c r="NW448" s="6"/>
      <c r="NX448" s="6"/>
      <c r="NY448" s="6"/>
      <c r="NZ448" s="6"/>
      <c r="OA448" s="6"/>
      <c r="OB448" s="46"/>
      <c r="OC448" s="4"/>
      <c r="OD448" s="6"/>
    </row>
    <row r="449" spans="1:394" x14ac:dyDescent="0.25">
      <c r="A449" s="47"/>
      <c r="B449" s="48"/>
      <c r="C449" s="133"/>
      <c r="D449" s="133"/>
      <c r="E449" s="133"/>
      <c r="F449" s="133"/>
      <c r="G449" s="133"/>
      <c r="H449" s="133"/>
      <c r="I449" s="133"/>
      <c r="J449" s="133"/>
      <c r="K449" s="133"/>
      <c r="L449" s="133"/>
      <c r="NW449" s="6"/>
      <c r="NX449" s="6"/>
      <c r="NY449" s="6"/>
      <c r="NZ449" s="6"/>
      <c r="OA449" s="6"/>
      <c r="OB449" s="46"/>
      <c r="OC449" s="4"/>
      <c r="OD449" s="6"/>
    </row>
    <row r="450" spans="1:394" x14ac:dyDescent="0.25">
      <c r="A450" s="47"/>
      <c r="B450" s="48"/>
      <c r="C450" s="133"/>
      <c r="D450" s="133"/>
      <c r="E450" s="133"/>
      <c r="F450" s="133"/>
      <c r="G450" s="133"/>
      <c r="H450" s="133"/>
      <c r="I450" s="133"/>
      <c r="J450" s="133"/>
      <c r="K450" s="133"/>
      <c r="L450" s="133"/>
      <c r="NW450" s="6"/>
      <c r="NX450" s="6"/>
      <c r="NY450" s="6"/>
      <c r="NZ450" s="6"/>
      <c r="OA450" s="6"/>
      <c r="OB450" s="46"/>
      <c r="OC450" s="4"/>
      <c r="OD450" s="6"/>
    </row>
    <row r="451" spans="1:394" x14ac:dyDescent="0.25">
      <c r="A451" s="47"/>
      <c r="B451" s="48"/>
      <c r="C451" s="133"/>
      <c r="D451" s="133"/>
      <c r="E451" s="133"/>
      <c r="F451" s="133"/>
      <c r="G451" s="133"/>
      <c r="H451" s="133"/>
      <c r="I451" s="133"/>
      <c r="J451" s="133"/>
      <c r="K451" s="133"/>
      <c r="L451" s="133"/>
      <c r="NW451" s="6"/>
      <c r="NX451" s="6"/>
      <c r="NY451" s="6"/>
      <c r="NZ451" s="6"/>
      <c r="OA451" s="6"/>
      <c r="OB451" s="46"/>
      <c r="OC451" s="4"/>
      <c r="OD451" s="6"/>
    </row>
    <row r="452" spans="1:394" x14ac:dyDescent="0.25">
      <c r="A452" s="47"/>
      <c r="B452" s="48"/>
      <c r="C452" s="133"/>
      <c r="D452" s="133"/>
      <c r="E452" s="133"/>
      <c r="F452" s="133"/>
      <c r="G452" s="133"/>
      <c r="H452" s="133"/>
      <c r="I452" s="133"/>
      <c r="J452" s="133"/>
      <c r="K452" s="133"/>
      <c r="L452" s="133"/>
      <c r="NW452" s="6"/>
      <c r="NX452" s="6"/>
      <c r="NY452" s="6"/>
      <c r="NZ452" s="6"/>
      <c r="OA452" s="6"/>
      <c r="OB452" s="46"/>
      <c r="OC452" s="4"/>
      <c r="OD452" s="6"/>
    </row>
    <row r="453" spans="1:394" x14ac:dyDescent="0.25">
      <c r="A453" s="47"/>
      <c r="B453" s="48"/>
      <c r="C453" s="133"/>
      <c r="D453" s="133"/>
      <c r="E453" s="133"/>
      <c r="F453" s="133"/>
      <c r="G453" s="133"/>
      <c r="H453" s="133"/>
      <c r="I453" s="133"/>
      <c r="J453" s="133"/>
      <c r="K453" s="133"/>
      <c r="L453" s="133"/>
      <c r="NW453" s="6"/>
      <c r="NX453" s="6"/>
      <c r="NY453" s="6"/>
      <c r="NZ453" s="6"/>
      <c r="OA453" s="6"/>
      <c r="OB453" s="46"/>
      <c r="OC453" s="4"/>
      <c r="OD453" s="6"/>
    </row>
    <row r="454" spans="1:394" x14ac:dyDescent="0.25">
      <c r="A454" s="47"/>
      <c r="B454" s="48"/>
      <c r="C454" s="133"/>
      <c r="D454" s="133"/>
      <c r="E454" s="133"/>
      <c r="F454" s="133"/>
      <c r="G454" s="133"/>
      <c r="H454" s="133"/>
      <c r="I454" s="133"/>
      <c r="J454" s="133"/>
      <c r="K454" s="133"/>
      <c r="L454" s="133"/>
      <c r="NW454" s="6"/>
      <c r="NX454" s="6"/>
      <c r="NY454" s="6"/>
      <c r="NZ454" s="6"/>
      <c r="OA454" s="6"/>
      <c r="OB454" s="46"/>
      <c r="OC454" s="4"/>
      <c r="OD454" s="6"/>
    </row>
    <row r="455" spans="1:394" x14ac:dyDescent="0.25">
      <c r="A455" s="47"/>
      <c r="B455" s="48"/>
      <c r="C455" s="133"/>
      <c r="D455" s="133"/>
      <c r="E455" s="133"/>
      <c r="F455" s="133"/>
      <c r="G455" s="133"/>
      <c r="H455" s="133"/>
      <c r="I455" s="133"/>
      <c r="J455" s="133"/>
      <c r="K455" s="133"/>
      <c r="L455" s="133"/>
      <c r="NW455" s="6"/>
      <c r="NX455" s="6"/>
      <c r="NY455" s="6"/>
      <c r="NZ455" s="6"/>
      <c r="OA455" s="6"/>
      <c r="OB455" s="46"/>
      <c r="OC455" s="4"/>
      <c r="OD455" s="6"/>
    </row>
    <row r="456" spans="1:394" x14ac:dyDescent="0.25">
      <c r="A456" s="47"/>
      <c r="B456" s="48"/>
      <c r="C456" s="133"/>
      <c r="D456" s="133"/>
      <c r="E456" s="133"/>
      <c r="F456" s="133"/>
      <c r="G456" s="133"/>
      <c r="H456" s="133"/>
      <c r="I456" s="133"/>
      <c r="J456" s="133"/>
      <c r="K456" s="133"/>
      <c r="L456" s="133"/>
      <c r="NW456" s="6"/>
      <c r="NX456" s="6"/>
      <c r="NY456" s="6"/>
      <c r="NZ456" s="6"/>
      <c r="OA456" s="6"/>
      <c r="OB456" s="46"/>
      <c r="OC456" s="4"/>
      <c r="OD456" s="6"/>
    </row>
    <row r="457" spans="1:394" x14ac:dyDescent="0.25">
      <c r="A457" s="47"/>
      <c r="B457" s="48"/>
      <c r="C457" s="133"/>
      <c r="D457" s="133"/>
      <c r="E457" s="133"/>
      <c r="F457" s="133"/>
      <c r="G457" s="133"/>
      <c r="H457" s="133"/>
      <c r="I457" s="133"/>
      <c r="J457" s="133"/>
      <c r="K457" s="133"/>
      <c r="L457" s="133"/>
      <c r="NW457" s="6"/>
      <c r="NX457" s="6"/>
      <c r="NY457" s="6"/>
      <c r="NZ457" s="6"/>
      <c r="OA457" s="6"/>
      <c r="OB457" s="46"/>
      <c r="OC457" s="4"/>
      <c r="OD457" s="6"/>
    </row>
    <row r="458" spans="1:394" x14ac:dyDescent="0.25">
      <c r="A458" s="47"/>
      <c r="B458" s="48"/>
      <c r="C458" s="133"/>
      <c r="D458" s="133"/>
      <c r="E458" s="133"/>
      <c r="F458" s="133"/>
      <c r="G458" s="133"/>
      <c r="H458" s="133"/>
      <c r="I458" s="133"/>
      <c r="J458" s="133"/>
      <c r="K458" s="133"/>
      <c r="L458" s="133"/>
      <c r="NW458" s="6"/>
      <c r="NX458" s="6"/>
      <c r="NY458" s="6"/>
      <c r="NZ458" s="6"/>
      <c r="OA458" s="6"/>
      <c r="OB458" s="46"/>
      <c r="OC458" s="4"/>
      <c r="OD458" s="6"/>
    </row>
    <row r="459" spans="1:394" x14ac:dyDescent="0.25">
      <c r="A459" s="47"/>
      <c r="B459" s="48"/>
      <c r="C459" s="133"/>
      <c r="D459" s="133"/>
      <c r="E459" s="133"/>
      <c r="F459" s="133"/>
      <c r="G459" s="133"/>
      <c r="H459" s="133"/>
      <c r="I459" s="133"/>
      <c r="J459" s="133"/>
      <c r="K459" s="133"/>
      <c r="L459" s="133"/>
      <c r="NW459" s="6"/>
      <c r="NX459" s="6"/>
      <c r="NY459" s="6"/>
      <c r="NZ459" s="6"/>
      <c r="OA459" s="6"/>
      <c r="OB459" s="46"/>
      <c r="OC459" s="4"/>
      <c r="OD459" s="6"/>
    </row>
    <row r="460" spans="1:394" x14ac:dyDescent="0.25">
      <c r="A460" s="47"/>
      <c r="B460" s="48"/>
      <c r="C460" s="133"/>
      <c r="D460" s="133"/>
      <c r="E460" s="133"/>
      <c r="F460" s="133"/>
      <c r="G460" s="133"/>
      <c r="H460" s="133"/>
      <c r="I460" s="133"/>
      <c r="J460" s="133"/>
      <c r="K460" s="133"/>
      <c r="L460" s="133"/>
      <c r="NW460" s="6"/>
      <c r="NX460" s="6"/>
      <c r="NY460" s="6"/>
      <c r="NZ460" s="6"/>
      <c r="OA460" s="6"/>
      <c r="OB460" s="46"/>
      <c r="OC460" s="4"/>
      <c r="OD460" s="6"/>
    </row>
    <row r="461" spans="1:394" x14ac:dyDescent="0.25">
      <c r="A461" s="47"/>
      <c r="B461" s="48"/>
      <c r="C461" s="133"/>
      <c r="D461" s="133"/>
      <c r="E461" s="133"/>
      <c r="F461" s="133"/>
      <c r="G461" s="133"/>
      <c r="H461" s="133"/>
      <c r="I461" s="133"/>
      <c r="J461" s="133"/>
      <c r="K461" s="133"/>
      <c r="L461" s="133"/>
      <c r="NW461" s="6"/>
      <c r="NX461" s="6"/>
      <c r="NY461" s="6"/>
      <c r="NZ461" s="6"/>
      <c r="OA461" s="6"/>
      <c r="OB461" s="46"/>
      <c r="OC461" s="4"/>
      <c r="OD461" s="6"/>
    </row>
    <row r="462" spans="1:394" x14ac:dyDescent="0.25">
      <c r="A462" s="47"/>
      <c r="B462" s="48"/>
      <c r="C462" s="133"/>
      <c r="D462" s="133"/>
      <c r="E462" s="133"/>
      <c r="F462" s="133"/>
      <c r="G462" s="133"/>
      <c r="H462" s="133"/>
      <c r="I462" s="133"/>
      <c r="J462" s="133"/>
      <c r="K462" s="133"/>
      <c r="L462" s="133"/>
      <c r="NW462" s="6"/>
      <c r="NX462" s="6"/>
      <c r="NY462" s="6"/>
      <c r="NZ462" s="6"/>
      <c r="OA462" s="6"/>
      <c r="OB462" s="46"/>
      <c r="OC462" s="4"/>
      <c r="OD462" s="6"/>
    </row>
    <row r="463" spans="1:394" x14ac:dyDescent="0.25">
      <c r="A463" s="47"/>
      <c r="B463" s="48"/>
      <c r="C463" s="133"/>
      <c r="D463" s="133"/>
      <c r="E463" s="133"/>
      <c r="F463" s="133"/>
      <c r="G463" s="133"/>
      <c r="H463" s="133"/>
      <c r="I463" s="133"/>
      <c r="J463" s="133"/>
      <c r="K463" s="133"/>
      <c r="L463" s="133"/>
      <c r="NW463" s="6"/>
      <c r="NX463" s="6"/>
      <c r="NY463" s="6"/>
      <c r="NZ463" s="6"/>
      <c r="OA463" s="6"/>
      <c r="OB463" s="46"/>
      <c r="OC463" s="4"/>
      <c r="OD463" s="6"/>
    </row>
    <row r="464" spans="1:394" x14ac:dyDescent="0.25">
      <c r="A464" s="47"/>
      <c r="B464" s="48"/>
      <c r="C464" s="133"/>
      <c r="D464" s="133"/>
      <c r="E464" s="133"/>
      <c r="F464" s="133"/>
      <c r="G464" s="133"/>
      <c r="H464" s="133"/>
      <c r="I464" s="133"/>
      <c r="J464" s="133"/>
      <c r="K464" s="133"/>
      <c r="L464" s="133"/>
      <c r="NW464" s="6"/>
      <c r="NX464" s="6"/>
      <c r="NY464" s="6"/>
      <c r="NZ464" s="6"/>
      <c r="OA464" s="6"/>
      <c r="OB464" s="46"/>
      <c r="OC464" s="4"/>
      <c r="OD464" s="6"/>
    </row>
    <row r="465" spans="1:394" x14ac:dyDescent="0.25">
      <c r="A465" s="47"/>
      <c r="B465" s="48"/>
      <c r="C465" s="133"/>
      <c r="D465" s="133"/>
      <c r="E465" s="133"/>
      <c r="F465" s="133"/>
      <c r="G465" s="133"/>
      <c r="H465" s="133"/>
      <c r="I465" s="133"/>
      <c r="J465" s="133"/>
      <c r="K465" s="133"/>
      <c r="L465" s="133"/>
      <c r="NW465" s="6"/>
      <c r="NX465" s="6"/>
      <c r="NY465" s="6"/>
      <c r="NZ465" s="6"/>
      <c r="OA465" s="6"/>
      <c r="OB465" s="46"/>
      <c r="OC465" s="4"/>
      <c r="OD465" s="6"/>
    </row>
    <row r="466" spans="1:394" x14ac:dyDescent="0.25">
      <c r="A466" s="47"/>
      <c r="B466" s="48"/>
      <c r="C466" s="133"/>
      <c r="D466" s="133"/>
      <c r="E466" s="133"/>
      <c r="F466" s="133"/>
      <c r="G466" s="133"/>
      <c r="H466" s="133"/>
      <c r="I466" s="133"/>
      <c r="J466" s="133"/>
      <c r="K466" s="133"/>
      <c r="L466" s="133"/>
      <c r="NW466" s="6"/>
      <c r="NX466" s="6"/>
      <c r="NY466" s="6"/>
      <c r="NZ466" s="6"/>
      <c r="OA466" s="6"/>
      <c r="OB466" s="46"/>
      <c r="OC466" s="4"/>
      <c r="OD466" s="6"/>
    </row>
    <row r="467" spans="1:394" x14ac:dyDescent="0.25">
      <c r="A467" s="47"/>
      <c r="B467" s="48"/>
      <c r="C467" s="133"/>
      <c r="D467" s="133"/>
      <c r="E467" s="133"/>
      <c r="F467" s="133"/>
      <c r="G467" s="133"/>
      <c r="H467" s="133"/>
      <c r="I467" s="133"/>
      <c r="J467" s="133"/>
      <c r="K467" s="133"/>
      <c r="L467" s="133"/>
      <c r="NW467" s="6"/>
      <c r="NX467" s="6"/>
      <c r="NY467" s="6"/>
      <c r="NZ467" s="6"/>
      <c r="OA467" s="6"/>
      <c r="OB467" s="46"/>
      <c r="OC467" s="4"/>
      <c r="OD467" s="6"/>
    </row>
    <row r="468" spans="1:394" x14ac:dyDescent="0.25">
      <c r="A468" s="47"/>
      <c r="B468" s="48"/>
      <c r="C468" s="133"/>
      <c r="D468" s="133"/>
      <c r="E468" s="133"/>
      <c r="F468" s="133"/>
      <c r="G468" s="133"/>
      <c r="H468" s="133"/>
      <c r="I468" s="133"/>
      <c r="J468" s="133"/>
      <c r="K468" s="133"/>
      <c r="L468" s="133"/>
      <c r="NW468" s="6"/>
      <c r="NX468" s="6"/>
      <c r="NY468" s="6"/>
      <c r="NZ468" s="6"/>
      <c r="OA468" s="6"/>
      <c r="OB468" s="46"/>
      <c r="OC468" s="4"/>
      <c r="OD468" s="6"/>
    </row>
    <row r="469" spans="1:394" x14ac:dyDescent="0.25">
      <c r="A469" s="47"/>
      <c r="B469" s="48"/>
      <c r="C469" s="133"/>
      <c r="D469" s="133"/>
      <c r="E469" s="133"/>
      <c r="F469" s="133"/>
      <c r="G469" s="133"/>
      <c r="H469" s="133"/>
      <c r="I469" s="133"/>
      <c r="J469" s="133"/>
      <c r="K469" s="133"/>
      <c r="L469" s="133"/>
      <c r="NW469" s="6"/>
      <c r="NX469" s="6"/>
      <c r="NY469" s="6"/>
      <c r="NZ469" s="6"/>
      <c r="OA469" s="6"/>
      <c r="OB469" s="46"/>
      <c r="OC469" s="4"/>
      <c r="OD469" s="6"/>
    </row>
    <row r="470" spans="1:394" x14ac:dyDescent="0.25">
      <c r="A470" s="47"/>
      <c r="B470" s="48"/>
      <c r="C470" s="133"/>
      <c r="D470" s="133"/>
      <c r="E470" s="133"/>
      <c r="F470" s="133"/>
      <c r="G470" s="133"/>
      <c r="H470" s="133"/>
      <c r="I470" s="133"/>
      <c r="J470" s="133"/>
      <c r="K470" s="133"/>
      <c r="L470" s="133"/>
      <c r="NW470" s="6"/>
      <c r="NX470" s="6"/>
      <c r="NY470" s="6"/>
      <c r="NZ470" s="6"/>
      <c r="OA470" s="6"/>
      <c r="OB470" s="46"/>
      <c r="OC470" s="4"/>
      <c r="OD470" s="6"/>
    </row>
    <row r="471" spans="1:394" x14ac:dyDescent="0.25">
      <c r="A471" s="47"/>
      <c r="B471" s="48"/>
      <c r="C471" s="133"/>
      <c r="D471" s="133"/>
      <c r="E471" s="133"/>
      <c r="F471" s="133"/>
      <c r="G471" s="133"/>
      <c r="H471" s="133"/>
      <c r="I471" s="133"/>
      <c r="J471" s="133"/>
      <c r="K471" s="133"/>
      <c r="L471" s="133"/>
      <c r="NW471" s="6"/>
      <c r="NX471" s="6"/>
      <c r="NY471" s="6"/>
      <c r="NZ471" s="6"/>
      <c r="OA471" s="6"/>
      <c r="OB471" s="46"/>
      <c r="OC471" s="4"/>
      <c r="OD471" s="6"/>
    </row>
    <row r="472" spans="1:394" x14ac:dyDescent="0.25">
      <c r="A472" s="47"/>
      <c r="B472" s="48"/>
      <c r="C472" s="133"/>
      <c r="D472" s="133"/>
      <c r="E472" s="133"/>
      <c r="F472" s="133"/>
      <c r="G472" s="133"/>
      <c r="H472" s="133"/>
      <c r="I472" s="133"/>
      <c r="J472" s="133"/>
      <c r="K472" s="133"/>
      <c r="L472" s="133"/>
      <c r="NW472" s="6"/>
      <c r="NX472" s="6"/>
      <c r="NY472" s="6"/>
      <c r="NZ472" s="6"/>
      <c r="OA472" s="6"/>
      <c r="OB472" s="46"/>
      <c r="OC472" s="4"/>
      <c r="OD472" s="6"/>
    </row>
    <row r="473" spans="1:394" x14ac:dyDescent="0.25">
      <c r="A473" s="47"/>
      <c r="B473" s="48"/>
      <c r="C473" s="133"/>
      <c r="D473" s="133"/>
      <c r="E473" s="133"/>
      <c r="F473" s="133"/>
      <c r="G473" s="133"/>
      <c r="H473" s="133"/>
      <c r="I473" s="133"/>
      <c r="J473" s="133"/>
      <c r="K473" s="133"/>
      <c r="L473" s="133"/>
      <c r="NW473" s="6"/>
      <c r="NX473" s="6"/>
      <c r="NY473" s="6"/>
      <c r="NZ473" s="6"/>
      <c r="OA473" s="6"/>
      <c r="OB473" s="46"/>
      <c r="OC473" s="4"/>
      <c r="OD473" s="6"/>
    </row>
    <row r="474" spans="1:394" x14ac:dyDescent="0.25">
      <c r="A474" s="47"/>
      <c r="B474" s="48"/>
      <c r="C474" s="133"/>
      <c r="D474" s="133"/>
      <c r="E474" s="133"/>
      <c r="F474" s="133"/>
      <c r="G474" s="133"/>
      <c r="H474" s="133"/>
      <c r="I474" s="133"/>
      <c r="J474" s="133"/>
      <c r="K474" s="133"/>
      <c r="L474" s="133"/>
      <c r="NW474" s="6"/>
      <c r="NX474" s="6"/>
      <c r="NY474" s="6"/>
      <c r="NZ474" s="6"/>
      <c r="OA474" s="6"/>
      <c r="OB474" s="46"/>
      <c r="OC474" s="4"/>
      <c r="OD474" s="6"/>
    </row>
    <row r="475" spans="1:394" x14ac:dyDescent="0.25">
      <c r="A475" s="47"/>
      <c r="B475" s="48"/>
      <c r="C475" s="133"/>
      <c r="D475" s="133"/>
      <c r="E475" s="133"/>
      <c r="F475" s="133"/>
      <c r="G475" s="133"/>
      <c r="H475" s="133"/>
      <c r="I475" s="133"/>
      <c r="J475" s="133"/>
      <c r="K475" s="133"/>
      <c r="L475" s="133"/>
      <c r="NW475" s="6"/>
      <c r="NX475" s="6"/>
      <c r="NY475" s="6"/>
      <c r="NZ475" s="6"/>
      <c r="OA475" s="6"/>
      <c r="OB475" s="46"/>
      <c r="OC475" s="4"/>
      <c r="OD475" s="6"/>
    </row>
    <row r="476" spans="1:394" x14ac:dyDescent="0.25">
      <c r="A476" s="47"/>
      <c r="B476" s="48"/>
      <c r="C476" s="133"/>
      <c r="D476" s="133"/>
      <c r="E476" s="133"/>
      <c r="F476" s="133"/>
      <c r="G476" s="133"/>
      <c r="H476" s="133"/>
      <c r="I476" s="133"/>
      <c r="J476" s="133"/>
      <c r="K476" s="133"/>
      <c r="L476" s="133"/>
      <c r="NW476" s="6"/>
      <c r="NX476" s="6"/>
      <c r="NY476" s="6"/>
      <c r="NZ476" s="6"/>
      <c r="OA476" s="6"/>
      <c r="OB476" s="46"/>
      <c r="OC476" s="4"/>
      <c r="OD476" s="6"/>
    </row>
    <row r="477" spans="1:394" x14ac:dyDescent="0.25">
      <c r="A477" s="47"/>
      <c r="B477" s="48"/>
      <c r="C477" s="133"/>
      <c r="D477" s="133"/>
      <c r="E477" s="133"/>
      <c r="F477" s="133"/>
      <c r="G477" s="133"/>
      <c r="H477" s="133"/>
      <c r="I477" s="133"/>
      <c r="J477" s="133"/>
      <c r="K477" s="133"/>
      <c r="L477" s="133"/>
      <c r="NW477" s="6"/>
      <c r="NX477" s="6"/>
      <c r="NY477" s="6"/>
      <c r="NZ477" s="6"/>
      <c r="OA477" s="6"/>
      <c r="OB477" s="46"/>
      <c r="OC477" s="4"/>
      <c r="OD477" s="6"/>
    </row>
    <row r="478" spans="1:394" x14ac:dyDescent="0.25">
      <c r="A478" s="47"/>
      <c r="B478" s="48"/>
      <c r="C478" s="133"/>
      <c r="D478" s="133"/>
      <c r="E478" s="133"/>
      <c r="F478" s="133"/>
      <c r="G478" s="133"/>
      <c r="H478" s="133"/>
      <c r="I478" s="133"/>
      <c r="J478" s="133"/>
      <c r="K478" s="133"/>
      <c r="L478" s="133"/>
      <c r="NW478" s="6"/>
      <c r="NX478" s="6"/>
      <c r="NY478" s="6"/>
      <c r="NZ478" s="6"/>
      <c r="OA478" s="6"/>
      <c r="OB478" s="46"/>
      <c r="OC478" s="4"/>
      <c r="OD478" s="6"/>
    </row>
    <row r="479" spans="1:394" x14ac:dyDescent="0.25">
      <c r="A479" s="47"/>
      <c r="B479" s="48"/>
      <c r="C479" s="133"/>
      <c r="D479" s="133"/>
      <c r="E479" s="133"/>
      <c r="F479" s="133"/>
      <c r="G479" s="133"/>
      <c r="H479" s="133"/>
      <c r="I479" s="133"/>
      <c r="J479" s="133"/>
      <c r="K479" s="133"/>
      <c r="L479" s="133"/>
      <c r="NW479" s="6"/>
      <c r="NX479" s="6"/>
      <c r="NY479" s="6"/>
      <c r="NZ479" s="6"/>
      <c r="OA479" s="6"/>
      <c r="OB479" s="46"/>
      <c r="OC479" s="4"/>
      <c r="OD479" s="6"/>
    </row>
    <row r="480" spans="1:394" x14ac:dyDescent="0.25">
      <c r="A480" s="47"/>
      <c r="B480" s="48"/>
      <c r="C480" s="133"/>
      <c r="D480" s="133"/>
      <c r="E480" s="133"/>
      <c r="F480" s="133"/>
      <c r="G480" s="133"/>
      <c r="H480" s="133"/>
      <c r="I480" s="133"/>
      <c r="J480" s="133"/>
      <c r="K480" s="133"/>
      <c r="L480" s="133"/>
      <c r="NW480" s="6"/>
      <c r="NX480" s="6"/>
      <c r="NY480" s="6"/>
      <c r="NZ480" s="6"/>
      <c r="OA480" s="6"/>
      <c r="OB480" s="46"/>
      <c r="OC480" s="4"/>
      <c r="OD480" s="6"/>
    </row>
    <row r="481" spans="1:394" x14ac:dyDescent="0.25">
      <c r="A481" s="47"/>
      <c r="B481" s="48"/>
      <c r="C481" s="133"/>
      <c r="D481" s="133"/>
      <c r="E481" s="133"/>
      <c r="F481" s="133"/>
      <c r="G481" s="133"/>
      <c r="H481" s="133"/>
      <c r="I481" s="133"/>
      <c r="J481" s="133"/>
      <c r="K481" s="133"/>
      <c r="L481" s="133"/>
      <c r="NW481" s="6"/>
      <c r="NX481" s="6"/>
      <c r="NY481" s="6"/>
      <c r="NZ481" s="6"/>
      <c r="OA481" s="6"/>
      <c r="OB481" s="46"/>
      <c r="OC481" s="4"/>
      <c r="OD481" s="6"/>
    </row>
    <row r="482" spans="1:394" x14ac:dyDescent="0.25">
      <c r="A482" s="47"/>
      <c r="B482" s="48"/>
      <c r="C482" s="133"/>
      <c r="D482" s="133"/>
      <c r="E482" s="133"/>
      <c r="F482" s="133"/>
      <c r="G482" s="133"/>
      <c r="H482" s="133"/>
      <c r="I482" s="133"/>
      <c r="J482" s="133"/>
      <c r="K482" s="133"/>
      <c r="L482" s="133"/>
      <c r="NW482" s="6"/>
      <c r="NX482" s="6"/>
      <c r="NY482" s="6"/>
      <c r="NZ482" s="6"/>
      <c r="OA482" s="6"/>
      <c r="OB482" s="46"/>
      <c r="OC482" s="4"/>
      <c r="OD482" s="6"/>
    </row>
    <row r="483" spans="1:394" x14ac:dyDescent="0.25">
      <c r="A483" s="47"/>
      <c r="B483" s="48"/>
      <c r="C483" s="133"/>
      <c r="D483" s="133"/>
      <c r="E483" s="133"/>
      <c r="F483" s="133"/>
      <c r="G483" s="133"/>
      <c r="H483" s="133"/>
      <c r="I483" s="133"/>
      <c r="J483" s="133"/>
      <c r="K483" s="133"/>
      <c r="L483" s="133"/>
      <c r="NW483" s="6"/>
      <c r="NX483" s="6"/>
      <c r="NY483" s="6"/>
      <c r="NZ483" s="6"/>
      <c r="OA483" s="6"/>
      <c r="OB483" s="46"/>
      <c r="OC483" s="4"/>
      <c r="OD483" s="6"/>
    </row>
    <row r="484" spans="1:394" x14ac:dyDescent="0.25">
      <c r="A484" s="47"/>
      <c r="B484" s="48"/>
      <c r="C484" s="133"/>
      <c r="D484" s="133"/>
      <c r="E484" s="133"/>
      <c r="F484" s="133"/>
      <c r="G484" s="133"/>
      <c r="H484" s="133"/>
      <c r="I484" s="133"/>
      <c r="J484" s="133"/>
      <c r="K484" s="133"/>
      <c r="L484" s="133"/>
      <c r="NW484" s="6"/>
      <c r="NX484" s="6"/>
      <c r="NY484" s="6"/>
      <c r="NZ484" s="6"/>
      <c r="OA484" s="6"/>
      <c r="OB484" s="46"/>
      <c r="OC484" s="4"/>
      <c r="OD484" s="6"/>
    </row>
    <row r="485" spans="1:394" x14ac:dyDescent="0.25">
      <c r="A485" s="47"/>
      <c r="B485" s="48"/>
      <c r="C485" s="133"/>
      <c r="D485" s="133"/>
      <c r="E485" s="133"/>
      <c r="F485" s="133"/>
      <c r="G485" s="133"/>
      <c r="H485" s="133"/>
      <c r="I485" s="133"/>
      <c r="J485" s="133"/>
      <c r="K485" s="133"/>
      <c r="L485" s="133"/>
      <c r="NW485" s="6"/>
      <c r="NX485" s="6"/>
      <c r="NY485" s="6"/>
      <c r="NZ485" s="6"/>
      <c r="OA485" s="6"/>
      <c r="OB485" s="46"/>
      <c r="OC485" s="4"/>
      <c r="OD485" s="6"/>
    </row>
    <row r="486" spans="1:394" x14ac:dyDescent="0.25">
      <c r="A486" s="47"/>
      <c r="B486" s="48"/>
      <c r="C486" s="133"/>
      <c r="D486" s="133"/>
      <c r="E486" s="133"/>
      <c r="F486" s="133"/>
      <c r="G486" s="133"/>
      <c r="H486" s="133"/>
      <c r="I486" s="133"/>
      <c r="J486" s="133"/>
      <c r="K486" s="133"/>
      <c r="L486" s="133"/>
      <c r="NW486" s="6"/>
      <c r="NX486" s="6"/>
      <c r="NY486" s="6"/>
      <c r="NZ486" s="6"/>
      <c r="OA486" s="6"/>
      <c r="OB486" s="46"/>
      <c r="OC486" s="4"/>
      <c r="OD486" s="6"/>
    </row>
    <row r="487" spans="1:394" x14ac:dyDescent="0.25">
      <c r="A487" s="47"/>
      <c r="B487" s="48"/>
      <c r="C487" s="133"/>
      <c r="D487" s="133"/>
      <c r="E487" s="133"/>
      <c r="F487" s="133"/>
      <c r="G487" s="133"/>
      <c r="H487" s="133"/>
      <c r="I487" s="133"/>
      <c r="J487" s="133"/>
      <c r="K487" s="133"/>
      <c r="L487" s="133"/>
      <c r="NW487" s="6"/>
      <c r="NX487" s="6"/>
      <c r="NY487" s="6"/>
      <c r="NZ487" s="6"/>
      <c r="OA487" s="6"/>
      <c r="OB487" s="46"/>
      <c r="OC487" s="4"/>
      <c r="OD487" s="6"/>
    </row>
    <row r="488" spans="1:394" x14ac:dyDescent="0.25">
      <c r="A488" s="47"/>
      <c r="B488" s="48"/>
      <c r="C488" s="133"/>
      <c r="D488" s="133"/>
      <c r="E488" s="133"/>
      <c r="F488" s="133"/>
      <c r="G488" s="133"/>
      <c r="H488" s="133"/>
      <c r="I488" s="133"/>
      <c r="J488" s="133"/>
      <c r="K488" s="133"/>
      <c r="L488" s="133"/>
      <c r="NW488" s="6"/>
      <c r="NX488" s="6"/>
      <c r="NY488" s="6"/>
      <c r="NZ488" s="6"/>
      <c r="OA488" s="6"/>
      <c r="OB488" s="46"/>
      <c r="OC488" s="4"/>
      <c r="OD488" s="6"/>
    </row>
    <row r="489" spans="1:394" x14ac:dyDescent="0.25">
      <c r="A489" s="47"/>
      <c r="B489" s="48"/>
      <c r="C489" s="133"/>
      <c r="D489" s="133"/>
      <c r="E489" s="133"/>
      <c r="F489" s="133"/>
      <c r="G489" s="133"/>
      <c r="H489" s="133"/>
      <c r="I489" s="133"/>
      <c r="J489" s="133"/>
      <c r="K489" s="133"/>
      <c r="L489" s="133"/>
      <c r="NW489" s="6"/>
      <c r="NX489" s="6"/>
      <c r="NY489" s="6"/>
      <c r="NZ489" s="6"/>
      <c r="OA489" s="6"/>
      <c r="OB489" s="46"/>
      <c r="OC489" s="4"/>
      <c r="OD489" s="6"/>
    </row>
    <row r="490" spans="1:394" x14ac:dyDescent="0.25">
      <c r="A490" s="47"/>
      <c r="B490" s="48"/>
      <c r="C490" s="133"/>
      <c r="D490" s="133"/>
      <c r="E490" s="133"/>
      <c r="F490" s="133"/>
      <c r="G490" s="133"/>
      <c r="H490" s="133"/>
      <c r="I490" s="133"/>
      <c r="J490" s="133"/>
      <c r="K490" s="133"/>
      <c r="L490" s="133"/>
      <c r="NW490" s="6"/>
      <c r="NX490" s="6"/>
      <c r="NY490" s="6"/>
      <c r="NZ490" s="6"/>
      <c r="OA490" s="6"/>
      <c r="OB490" s="46"/>
      <c r="OC490" s="4"/>
      <c r="OD490" s="6"/>
    </row>
    <row r="491" spans="1:394" x14ac:dyDescent="0.25">
      <c r="A491" s="47"/>
      <c r="B491" s="48"/>
      <c r="C491" s="133"/>
      <c r="D491" s="133"/>
      <c r="E491" s="133"/>
      <c r="F491" s="133"/>
      <c r="G491" s="133"/>
      <c r="H491" s="133"/>
      <c r="I491" s="133"/>
      <c r="J491" s="133"/>
      <c r="K491" s="133"/>
      <c r="L491" s="133"/>
      <c r="NW491" s="6"/>
      <c r="NX491" s="6"/>
      <c r="NY491" s="6"/>
      <c r="NZ491" s="6"/>
      <c r="OA491" s="6"/>
      <c r="OB491" s="46"/>
      <c r="OC491" s="4"/>
      <c r="OD491" s="6"/>
    </row>
    <row r="492" spans="1:394" x14ac:dyDescent="0.25">
      <c r="A492" s="47"/>
      <c r="B492" s="48"/>
      <c r="C492" s="133"/>
      <c r="D492" s="133"/>
      <c r="E492" s="133"/>
      <c r="F492" s="133"/>
      <c r="G492" s="133"/>
      <c r="H492" s="133"/>
      <c r="I492" s="133"/>
      <c r="J492" s="133"/>
      <c r="K492" s="133"/>
      <c r="L492" s="133"/>
      <c r="NW492" s="6"/>
      <c r="NX492" s="6"/>
      <c r="NY492" s="6"/>
      <c r="NZ492" s="6"/>
      <c r="OA492" s="6"/>
      <c r="OB492" s="46"/>
      <c r="OC492" s="4"/>
      <c r="OD492" s="6"/>
    </row>
    <row r="493" spans="1:394" x14ac:dyDescent="0.25">
      <c r="A493" s="47"/>
      <c r="B493" s="48"/>
      <c r="C493" s="133"/>
      <c r="D493" s="133"/>
      <c r="E493" s="133"/>
      <c r="F493" s="133"/>
      <c r="G493" s="133"/>
      <c r="H493" s="133"/>
      <c r="I493" s="133"/>
      <c r="J493" s="133"/>
      <c r="K493" s="133"/>
      <c r="L493" s="133"/>
      <c r="NW493" s="6"/>
      <c r="NX493" s="6"/>
      <c r="NY493" s="6"/>
      <c r="NZ493" s="6"/>
      <c r="OA493" s="6"/>
      <c r="OB493" s="46"/>
      <c r="OC493" s="4"/>
      <c r="OD493" s="6"/>
    </row>
    <row r="494" spans="1:394" x14ac:dyDescent="0.25">
      <c r="A494" s="47"/>
      <c r="B494" s="48"/>
      <c r="C494" s="133"/>
      <c r="D494" s="133"/>
      <c r="E494" s="133"/>
      <c r="F494" s="133"/>
      <c r="G494" s="133"/>
      <c r="H494" s="133"/>
      <c r="I494" s="133"/>
      <c r="J494" s="133"/>
      <c r="K494" s="133"/>
      <c r="L494" s="133"/>
      <c r="NW494" s="6"/>
      <c r="NX494" s="6"/>
      <c r="NY494" s="6"/>
      <c r="NZ494" s="6"/>
      <c r="OA494" s="6"/>
      <c r="OB494" s="46"/>
      <c r="OC494" s="4"/>
      <c r="OD494" s="6"/>
    </row>
    <row r="495" spans="1:394" x14ac:dyDescent="0.25">
      <c r="A495" s="47"/>
      <c r="B495" s="48"/>
      <c r="C495" s="133"/>
      <c r="D495" s="133"/>
      <c r="E495" s="133"/>
      <c r="F495" s="133"/>
      <c r="G495" s="133"/>
      <c r="H495" s="133"/>
      <c r="I495" s="133"/>
      <c r="J495" s="133"/>
      <c r="K495" s="133"/>
      <c r="L495" s="133"/>
      <c r="NW495" s="6"/>
      <c r="NX495" s="6"/>
      <c r="NY495" s="6"/>
      <c r="NZ495" s="6"/>
      <c r="OA495" s="6"/>
      <c r="OB495" s="46"/>
      <c r="OC495" s="4"/>
      <c r="OD495" s="6"/>
    </row>
    <row r="496" spans="1:394" x14ac:dyDescent="0.25">
      <c r="A496" s="47"/>
      <c r="B496" s="48"/>
      <c r="C496" s="133"/>
      <c r="D496" s="133"/>
      <c r="E496" s="133"/>
      <c r="F496" s="133"/>
      <c r="G496" s="133"/>
      <c r="H496" s="133"/>
      <c r="I496" s="133"/>
      <c r="J496" s="133"/>
      <c r="K496" s="133"/>
      <c r="L496" s="133"/>
      <c r="NW496" s="6"/>
      <c r="NX496" s="6"/>
      <c r="NY496" s="6"/>
      <c r="NZ496" s="6"/>
      <c r="OA496" s="6"/>
      <c r="OB496" s="46"/>
      <c r="OC496" s="4"/>
      <c r="OD496" s="6"/>
    </row>
    <row r="497" spans="1:394" x14ac:dyDescent="0.25">
      <c r="A497" s="47"/>
      <c r="B497" s="48"/>
      <c r="C497" s="133"/>
      <c r="D497" s="133"/>
      <c r="E497" s="133"/>
      <c r="F497" s="133"/>
      <c r="G497" s="133"/>
      <c r="H497" s="133"/>
      <c r="I497" s="133"/>
      <c r="J497" s="133"/>
      <c r="K497" s="133"/>
      <c r="L497" s="133"/>
      <c r="NW497" s="6"/>
      <c r="NX497" s="6"/>
      <c r="NY497" s="6"/>
      <c r="NZ497" s="6"/>
      <c r="OA497" s="6"/>
      <c r="OB497" s="46"/>
      <c r="OC497" s="4"/>
      <c r="OD497" s="6"/>
    </row>
    <row r="498" spans="1:394" x14ac:dyDescent="0.25">
      <c r="A498" s="47"/>
      <c r="B498" s="48"/>
      <c r="C498" s="133"/>
      <c r="D498" s="133"/>
      <c r="E498" s="133"/>
      <c r="F498" s="133"/>
      <c r="G498" s="133"/>
      <c r="H498" s="133"/>
      <c r="I498" s="133"/>
      <c r="J498" s="133"/>
      <c r="K498" s="133"/>
      <c r="L498" s="133"/>
      <c r="NW498" s="6"/>
      <c r="NX498" s="6"/>
      <c r="NY498" s="6"/>
      <c r="NZ498" s="6"/>
      <c r="OA498" s="6"/>
      <c r="OB498" s="46"/>
      <c r="OC498" s="4"/>
      <c r="OD498" s="6"/>
    </row>
    <row r="499" spans="1:394" x14ac:dyDescent="0.25">
      <c r="A499" s="47"/>
      <c r="B499" s="48"/>
      <c r="C499" s="133"/>
      <c r="D499" s="133"/>
      <c r="E499" s="133"/>
      <c r="F499" s="133"/>
      <c r="G499" s="133"/>
      <c r="H499" s="133"/>
      <c r="I499" s="133"/>
      <c r="J499" s="133"/>
      <c r="K499" s="133"/>
      <c r="L499" s="133"/>
      <c r="NW499" s="6"/>
      <c r="NX499" s="6"/>
      <c r="NY499" s="6"/>
      <c r="NZ499" s="6"/>
      <c r="OA499" s="6"/>
      <c r="OB499" s="46"/>
      <c r="OC499" s="4"/>
      <c r="OD499" s="6"/>
    </row>
    <row r="500" spans="1:394" x14ac:dyDescent="0.25">
      <c r="A500" s="47"/>
      <c r="B500" s="48"/>
      <c r="C500" s="133"/>
      <c r="D500" s="133"/>
      <c r="E500" s="133"/>
      <c r="F500" s="133"/>
      <c r="G500" s="133"/>
      <c r="H500" s="133"/>
      <c r="I500" s="133"/>
      <c r="J500" s="133"/>
      <c r="K500" s="133"/>
      <c r="L500" s="133"/>
      <c r="NW500" s="6"/>
      <c r="NX500" s="6"/>
      <c r="NY500" s="6"/>
      <c r="NZ500" s="6"/>
      <c r="OA500" s="6"/>
      <c r="OB500" s="46"/>
      <c r="OC500" s="4"/>
      <c r="OD500" s="6"/>
    </row>
    <row r="501" spans="1:394" x14ac:dyDescent="0.25">
      <c r="A501" s="47"/>
      <c r="B501" s="48"/>
      <c r="C501" s="133"/>
      <c r="D501" s="133"/>
      <c r="E501" s="133"/>
      <c r="F501" s="133"/>
      <c r="G501" s="133"/>
      <c r="H501" s="133"/>
      <c r="I501" s="133"/>
      <c r="J501" s="133"/>
      <c r="K501" s="133"/>
      <c r="L501" s="133"/>
      <c r="NW501" s="6"/>
      <c r="NX501" s="6"/>
      <c r="NY501" s="6"/>
      <c r="NZ501" s="6"/>
      <c r="OA501" s="6"/>
      <c r="OB501" s="46"/>
      <c r="OC501" s="4"/>
      <c r="OD501" s="6"/>
    </row>
    <row r="502" spans="1:394" x14ac:dyDescent="0.25">
      <c r="A502" s="47"/>
      <c r="B502" s="48"/>
      <c r="C502" s="133"/>
      <c r="D502" s="133"/>
      <c r="E502" s="133"/>
      <c r="F502" s="133"/>
      <c r="G502" s="133"/>
      <c r="H502" s="133"/>
      <c r="I502" s="133"/>
      <c r="J502" s="133"/>
      <c r="K502" s="133"/>
      <c r="L502" s="133"/>
      <c r="NW502" s="6"/>
      <c r="NX502" s="6"/>
      <c r="NY502" s="6"/>
      <c r="NZ502" s="6"/>
      <c r="OA502" s="6"/>
      <c r="OB502" s="46"/>
      <c r="OC502" s="4"/>
      <c r="OD502" s="6"/>
    </row>
    <row r="503" spans="1:394" x14ac:dyDescent="0.25">
      <c r="A503" s="47"/>
      <c r="B503" s="48"/>
      <c r="C503" s="133"/>
      <c r="D503" s="133"/>
      <c r="E503" s="133"/>
      <c r="F503" s="133"/>
      <c r="G503" s="133"/>
      <c r="H503" s="133"/>
      <c r="I503" s="133"/>
      <c r="J503" s="133"/>
      <c r="K503" s="133"/>
      <c r="L503" s="133"/>
      <c r="NW503" s="6"/>
      <c r="NX503" s="6"/>
      <c r="NY503" s="6"/>
      <c r="NZ503" s="6"/>
      <c r="OA503" s="6"/>
      <c r="OB503" s="46"/>
      <c r="OC503" s="4"/>
      <c r="OD503" s="6"/>
    </row>
    <row r="504" spans="1:394" x14ac:dyDescent="0.25">
      <c r="A504" s="47"/>
      <c r="B504" s="48"/>
      <c r="C504" s="133"/>
      <c r="D504" s="133"/>
      <c r="E504" s="133"/>
      <c r="F504" s="133"/>
      <c r="G504" s="133"/>
      <c r="H504" s="133"/>
      <c r="I504" s="133"/>
      <c r="J504" s="133"/>
      <c r="K504" s="133"/>
      <c r="L504" s="133"/>
      <c r="NW504" s="6"/>
      <c r="NX504" s="6"/>
      <c r="NY504" s="6"/>
      <c r="NZ504" s="6"/>
      <c r="OA504" s="6"/>
      <c r="OB504" s="46"/>
      <c r="OC504" s="4"/>
      <c r="OD504" s="6"/>
    </row>
    <row r="505" spans="1:394" x14ac:dyDescent="0.25">
      <c r="A505" s="47"/>
      <c r="B505" s="48"/>
      <c r="C505" s="133"/>
      <c r="D505" s="133"/>
      <c r="E505" s="133"/>
      <c r="F505" s="133"/>
      <c r="G505" s="133"/>
      <c r="H505" s="133"/>
      <c r="I505" s="133"/>
      <c r="J505" s="133"/>
      <c r="K505" s="133"/>
      <c r="L505" s="133"/>
      <c r="NW505" s="6"/>
      <c r="NX505" s="6"/>
      <c r="NY505" s="6"/>
      <c r="NZ505" s="6"/>
      <c r="OA505" s="6"/>
      <c r="OB505" s="46"/>
      <c r="OC505" s="4"/>
      <c r="OD505" s="6"/>
    </row>
    <row r="506" spans="1:394" x14ac:dyDescent="0.25">
      <c r="A506" s="47"/>
      <c r="B506" s="48"/>
      <c r="C506" s="133"/>
      <c r="D506" s="133"/>
      <c r="E506" s="133"/>
      <c r="F506" s="133"/>
      <c r="G506" s="133"/>
      <c r="H506" s="133"/>
      <c r="I506" s="133"/>
      <c r="J506" s="133"/>
      <c r="K506" s="133"/>
      <c r="L506" s="133"/>
      <c r="NW506" s="6"/>
      <c r="NX506" s="6"/>
      <c r="NY506" s="6"/>
      <c r="NZ506" s="6"/>
      <c r="OA506" s="6"/>
      <c r="OB506" s="46"/>
      <c r="OC506" s="4"/>
      <c r="OD506" s="6"/>
    </row>
    <row r="507" spans="1:394" x14ac:dyDescent="0.25">
      <c r="A507" s="47"/>
      <c r="B507" s="48"/>
      <c r="C507" s="133"/>
      <c r="D507" s="133"/>
      <c r="E507" s="133"/>
      <c r="F507" s="133"/>
      <c r="G507" s="133"/>
      <c r="H507" s="133"/>
      <c r="I507" s="133"/>
      <c r="J507" s="133"/>
      <c r="K507" s="133"/>
      <c r="L507" s="133"/>
      <c r="NW507" s="6"/>
      <c r="NX507" s="6"/>
      <c r="NY507" s="6"/>
      <c r="NZ507" s="6"/>
      <c r="OA507" s="6"/>
      <c r="OB507" s="46"/>
      <c r="OC507" s="4"/>
      <c r="OD507" s="6"/>
    </row>
    <row r="508" spans="1:394" x14ac:dyDescent="0.25">
      <c r="A508" s="47"/>
      <c r="B508" s="48"/>
      <c r="C508" s="133"/>
      <c r="D508" s="133"/>
      <c r="E508" s="133"/>
      <c r="F508" s="133"/>
      <c r="G508" s="133"/>
      <c r="H508" s="133"/>
      <c r="I508" s="133"/>
      <c r="J508" s="133"/>
      <c r="K508" s="133"/>
      <c r="L508" s="133"/>
      <c r="NW508" s="6"/>
      <c r="NX508" s="6"/>
      <c r="NY508" s="6"/>
      <c r="NZ508" s="6"/>
      <c r="OA508" s="6"/>
      <c r="OB508" s="46"/>
      <c r="OC508" s="4"/>
      <c r="OD508" s="6"/>
    </row>
    <row r="509" spans="1:394" x14ac:dyDescent="0.25">
      <c r="A509" s="47"/>
      <c r="B509" s="48"/>
      <c r="C509" s="133"/>
      <c r="D509" s="133"/>
      <c r="E509" s="133"/>
      <c r="F509" s="133"/>
      <c r="G509" s="133"/>
      <c r="H509" s="133"/>
      <c r="I509" s="133"/>
      <c r="J509" s="133"/>
      <c r="K509" s="133"/>
      <c r="L509" s="133"/>
      <c r="NW509" s="6"/>
      <c r="NX509" s="6"/>
      <c r="NY509" s="6"/>
      <c r="NZ509" s="6"/>
      <c r="OA509" s="6"/>
      <c r="OB509" s="46"/>
      <c r="OC509" s="4"/>
      <c r="OD509" s="6"/>
    </row>
    <row r="510" spans="1:394" x14ac:dyDescent="0.25">
      <c r="A510" s="47"/>
      <c r="B510" s="48"/>
      <c r="C510" s="133"/>
      <c r="D510" s="133"/>
      <c r="E510" s="133"/>
      <c r="F510" s="133"/>
      <c r="G510" s="133"/>
      <c r="H510" s="133"/>
      <c r="I510" s="133"/>
      <c r="J510" s="133"/>
      <c r="K510" s="133"/>
      <c r="L510" s="133"/>
      <c r="NW510" s="6"/>
      <c r="NX510" s="6"/>
      <c r="NY510" s="6"/>
      <c r="NZ510" s="6"/>
      <c r="OA510" s="6"/>
      <c r="OB510" s="46"/>
      <c r="OC510" s="4"/>
      <c r="OD510" s="6"/>
    </row>
    <row r="511" spans="1:394" x14ac:dyDescent="0.25">
      <c r="A511" s="47"/>
      <c r="B511" s="48"/>
      <c r="C511" s="133"/>
      <c r="D511" s="133"/>
      <c r="E511" s="133"/>
      <c r="F511" s="133"/>
      <c r="G511" s="133"/>
      <c r="H511" s="133"/>
      <c r="I511" s="133"/>
      <c r="J511" s="133"/>
      <c r="K511" s="133"/>
      <c r="L511" s="133"/>
      <c r="NW511" s="6"/>
      <c r="NX511" s="6"/>
      <c r="NY511" s="6"/>
      <c r="NZ511" s="6"/>
      <c r="OA511" s="6"/>
      <c r="OB511" s="46"/>
      <c r="OC511" s="4"/>
      <c r="OD511" s="6"/>
    </row>
    <row r="512" spans="1:394" x14ac:dyDescent="0.25">
      <c r="A512" s="47"/>
      <c r="B512" s="48"/>
      <c r="C512" s="133"/>
      <c r="D512" s="133"/>
      <c r="E512" s="133"/>
      <c r="F512" s="133"/>
      <c r="G512" s="133"/>
      <c r="H512" s="133"/>
      <c r="I512" s="133"/>
      <c r="J512" s="133"/>
      <c r="K512" s="133"/>
      <c r="L512" s="133"/>
      <c r="NW512" s="6"/>
      <c r="NX512" s="6"/>
      <c r="NY512" s="6"/>
      <c r="NZ512" s="6"/>
      <c r="OA512" s="6"/>
      <c r="OB512" s="46"/>
      <c r="OC512" s="4"/>
      <c r="OD512" s="6"/>
    </row>
    <row r="513" spans="1:394" x14ac:dyDescent="0.25">
      <c r="A513" s="47"/>
      <c r="B513" s="48"/>
      <c r="C513" s="133"/>
      <c r="D513" s="133"/>
      <c r="E513" s="133"/>
      <c r="F513" s="133"/>
      <c r="G513" s="133"/>
      <c r="H513" s="133"/>
      <c r="I513" s="133"/>
      <c r="J513" s="133"/>
      <c r="K513" s="133"/>
      <c r="L513" s="133"/>
      <c r="NW513" s="6"/>
      <c r="NX513" s="6"/>
      <c r="NY513" s="6"/>
      <c r="NZ513" s="6"/>
      <c r="OA513" s="6"/>
      <c r="OB513" s="46"/>
      <c r="OC513" s="4"/>
      <c r="OD513" s="6"/>
    </row>
    <row r="514" spans="1:394" x14ac:dyDescent="0.25">
      <c r="A514" s="47"/>
      <c r="B514" s="48"/>
      <c r="C514" s="133"/>
      <c r="D514" s="133"/>
      <c r="E514" s="133"/>
      <c r="F514" s="133"/>
      <c r="G514" s="133"/>
      <c r="H514" s="133"/>
      <c r="I514" s="133"/>
      <c r="J514" s="133"/>
      <c r="K514" s="133"/>
      <c r="L514" s="133"/>
      <c r="NW514" s="6"/>
      <c r="NX514" s="6"/>
      <c r="NY514" s="6"/>
      <c r="NZ514" s="6"/>
      <c r="OA514" s="6"/>
      <c r="OB514" s="46"/>
      <c r="OC514" s="4"/>
      <c r="OD514" s="6"/>
    </row>
    <row r="515" spans="1:394" x14ac:dyDescent="0.25">
      <c r="A515" s="47"/>
      <c r="B515" s="48"/>
      <c r="C515" s="133"/>
      <c r="D515" s="133"/>
      <c r="E515" s="133"/>
      <c r="F515" s="133"/>
      <c r="G515" s="133"/>
      <c r="H515" s="133"/>
      <c r="I515" s="133"/>
      <c r="J515" s="133"/>
      <c r="K515" s="133"/>
      <c r="L515" s="133"/>
      <c r="NW515" s="6"/>
      <c r="NX515" s="6"/>
      <c r="NY515" s="6"/>
      <c r="NZ515" s="6"/>
      <c r="OA515" s="6"/>
      <c r="OB515" s="46"/>
      <c r="OC515" s="4"/>
      <c r="OD515" s="6"/>
    </row>
    <row r="516" spans="1:394" x14ac:dyDescent="0.25">
      <c r="A516" s="47"/>
      <c r="B516" s="48"/>
      <c r="C516" s="133"/>
      <c r="D516" s="133"/>
      <c r="E516" s="133"/>
      <c r="F516" s="133"/>
      <c r="G516" s="133"/>
      <c r="H516" s="133"/>
      <c r="I516" s="133"/>
      <c r="J516" s="133"/>
      <c r="K516" s="133"/>
      <c r="L516" s="133"/>
      <c r="NW516" s="6"/>
      <c r="NX516" s="6"/>
      <c r="NY516" s="6"/>
      <c r="NZ516" s="6"/>
      <c r="OA516" s="6"/>
      <c r="OB516" s="46"/>
      <c r="OC516" s="4"/>
      <c r="OD516" s="6"/>
    </row>
    <row r="517" spans="1:394" x14ac:dyDescent="0.25">
      <c r="A517" s="47"/>
      <c r="B517" s="48"/>
      <c r="C517" s="133"/>
      <c r="D517" s="133"/>
      <c r="E517" s="133"/>
      <c r="F517" s="133"/>
      <c r="G517" s="133"/>
      <c r="H517" s="133"/>
      <c r="I517" s="133"/>
      <c r="J517" s="133"/>
      <c r="K517" s="133"/>
      <c r="L517" s="133"/>
      <c r="NW517" s="6"/>
      <c r="NX517" s="6"/>
      <c r="NY517" s="6"/>
      <c r="NZ517" s="6"/>
      <c r="OA517" s="6"/>
      <c r="OB517" s="46"/>
      <c r="OC517" s="4"/>
      <c r="OD517" s="6"/>
    </row>
    <row r="518" spans="1:394" x14ac:dyDescent="0.25">
      <c r="A518" s="47"/>
      <c r="B518" s="48"/>
      <c r="C518" s="133"/>
      <c r="D518" s="133"/>
      <c r="E518" s="133"/>
      <c r="F518" s="133"/>
      <c r="G518" s="133"/>
      <c r="H518" s="133"/>
      <c r="I518" s="133"/>
      <c r="J518" s="133"/>
      <c r="K518" s="133"/>
      <c r="L518" s="133"/>
      <c r="NW518" s="6"/>
      <c r="NX518" s="6"/>
      <c r="NY518" s="6"/>
      <c r="NZ518" s="6"/>
      <c r="OA518" s="6"/>
      <c r="OB518" s="46"/>
      <c r="OC518" s="4"/>
      <c r="OD518" s="6"/>
    </row>
    <row r="519" spans="1:394" x14ac:dyDescent="0.25">
      <c r="A519" s="47"/>
      <c r="B519" s="48"/>
      <c r="C519" s="133"/>
      <c r="D519" s="133"/>
      <c r="E519" s="133"/>
      <c r="F519" s="133"/>
      <c r="G519" s="133"/>
      <c r="H519" s="133"/>
      <c r="I519" s="133"/>
      <c r="J519" s="133"/>
      <c r="K519" s="133"/>
      <c r="L519" s="133"/>
      <c r="NW519" s="6"/>
      <c r="NX519" s="6"/>
      <c r="NY519" s="6"/>
      <c r="NZ519" s="6"/>
      <c r="OA519" s="6"/>
      <c r="OB519" s="46"/>
      <c r="OC519" s="4"/>
      <c r="OD519" s="6"/>
    </row>
    <row r="520" spans="1:394" x14ac:dyDescent="0.25">
      <c r="A520" s="47"/>
      <c r="B520" s="48"/>
      <c r="C520" s="133"/>
      <c r="D520" s="133"/>
      <c r="E520" s="133"/>
      <c r="F520" s="133"/>
      <c r="G520" s="133"/>
      <c r="H520" s="133"/>
      <c r="I520" s="133"/>
      <c r="J520" s="133"/>
      <c r="K520" s="133"/>
      <c r="L520" s="133"/>
      <c r="NW520" s="6"/>
      <c r="NX520" s="6"/>
      <c r="NY520" s="6"/>
      <c r="NZ520" s="6"/>
      <c r="OA520" s="6"/>
      <c r="OB520" s="46"/>
      <c r="OC520" s="4"/>
      <c r="OD520" s="6"/>
    </row>
    <row r="521" spans="1:394" x14ac:dyDescent="0.25">
      <c r="A521" s="47"/>
      <c r="B521" s="48"/>
      <c r="C521" s="133"/>
      <c r="D521" s="133"/>
      <c r="E521" s="133"/>
      <c r="F521" s="133"/>
      <c r="G521" s="133"/>
      <c r="H521" s="133"/>
      <c r="I521" s="133"/>
      <c r="J521" s="133"/>
      <c r="K521" s="133"/>
      <c r="L521" s="133"/>
      <c r="NW521" s="6"/>
      <c r="NX521" s="6"/>
      <c r="NY521" s="6"/>
      <c r="NZ521" s="6"/>
      <c r="OA521" s="6"/>
      <c r="OB521" s="46"/>
      <c r="OC521" s="4"/>
      <c r="OD521" s="6"/>
    </row>
    <row r="522" spans="1:394" x14ac:dyDescent="0.25">
      <c r="A522" s="47"/>
      <c r="B522" s="48"/>
      <c r="C522" s="133"/>
      <c r="D522" s="133"/>
      <c r="E522" s="133"/>
      <c r="F522" s="133"/>
      <c r="G522" s="133"/>
      <c r="H522" s="133"/>
      <c r="I522" s="133"/>
      <c r="J522" s="133"/>
      <c r="K522" s="133"/>
      <c r="L522" s="133"/>
      <c r="NW522" s="6"/>
      <c r="NX522" s="6"/>
      <c r="NY522" s="6"/>
      <c r="NZ522" s="6"/>
      <c r="OA522" s="6"/>
      <c r="OB522" s="46"/>
      <c r="OC522" s="4"/>
      <c r="OD522" s="6"/>
    </row>
    <row r="523" spans="1:394" x14ac:dyDescent="0.25">
      <c r="A523" s="47"/>
      <c r="B523" s="48"/>
      <c r="C523" s="133"/>
      <c r="D523" s="133"/>
      <c r="E523" s="133"/>
      <c r="F523" s="133"/>
      <c r="G523" s="133"/>
      <c r="H523" s="133"/>
      <c r="I523" s="133"/>
      <c r="J523" s="133"/>
      <c r="K523" s="133"/>
      <c r="L523" s="133"/>
      <c r="NW523" s="6"/>
      <c r="NX523" s="6"/>
      <c r="NY523" s="6"/>
      <c r="NZ523" s="6"/>
      <c r="OA523" s="6"/>
      <c r="OB523" s="46"/>
      <c r="OC523" s="4"/>
      <c r="OD523" s="6"/>
    </row>
    <row r="524" spans="1:394" x14ac:dyDescent="0.25">
      <c r="A524" s="47"/>
      <c r="B524" s="48"/>
      <c r="C524" s="133"/>
      <c r="D524" s="133"/>
      <c r="E524" s="133"/>
      <c r="F524" s="133"/>
      <c r="G524" s="133"/>
      <c r="H524" s="133"/>
      <c r="I524" s="133"/>
      <c r="J524" s="133"/>
      <c r="K524" s="133"/>
      <c r="L524" s="133"/>
      <c r="NW524" s="6"/>
      <c r="NX524" s="6"/>
      <c r="NY524" s="6"/>
      <c r="NZ524" s="6"/>
      <c r="OA524" s="6"/>
      <c r="OB524" s="46"/>
      <c r="OC524" s="4"/>
      <c r="OD524" s="6"/>
    </row>
    <row r="525" spans="1:394" x14ac:dyDescent="0.25">
      <c r="A525" s="47"/>
      <c r="B525" s="48"/>
      <c r="C525" s="133"/>
      <c r="D525" s="133"/>
      <c r="E525" s="133"/>
      <c r="F525" s="133"/>
      <c r="G525" s="133"/>
      <c r="H525" s="133"/>
      <c r="I525" s="133"/>
      <c r="J525" s="133"/>
      <c r="K525" s="133"/>
      <c r="L525" s="133"/>
      <c r="NW525" s="6"/>
      <c r="NX525" s="6"/>
      <c r="NY525" s="6"/>
      <c r="NZ525" s="6"/>
      <c r="OA525" s="6"/>
      <c r="OB525" s="46"/>
      <c r="OC525" s="4"/>
      <c r="OD525" s="6"/>
    </row>
    <row r="526" spans="1:394" x14ac:dyDescent="0.25">
      <c r="A526" s="47"/>
      <c r="B526" s="48"/>
      <c r="C526" s="133"/>
      <c r="D526" s="133"/>
      <c r="E526" s="133"/>
      <c r="F526" s="133"/>
      <c r="G526" s="133"/>
      <c r="H526" s="133"/>
      <c r="I526" s="133"/>
      <c r="J526" s="133"/>
      <c r="K526" s="133"/>
      <c r="L526" s="133"/>
      <c r="NW526" s="6"/>
      <c r="NX526" s="6"/>
      <c r="NY526" s="6"/>
      <c r="NZ526" s="6"/>
      <c r="OA526" s="6"/>
      <c r="OB526" s="46"/>
      <c r="OC526" s="4"/>
      <c r="OD526" s="6"/>
    </row>
    <row r="527" spans="1:394" x14ac:dyDescent="0.25">
      <c r="A527" s="47"/>
      <c r="B527" s="48"/>
      <c r="C527" s="133"/>
      <c r="D527" s="133"/>
      <c r="E527" s="133"/>
      <c r="F527" s="133"/>
      <c r="G527" s="133"/>
      <c r="H527" s="133"/>
      <c r="I527" s="133"/>
      <c r="J527" s="133"/>
      <c r="K527" s="133"/>
      <c r="L527" s="133"/>
      <c r="NW527" s="6"/>
      <c r="NX527" s="6"/>
      <c r="NY527" s="6"/>
      <c r="NZ527" s="6"/>
      <c r="OA527" s="6"/>
      <c r="OB527" s="46"/>
      <c r="OC527" s="4"/>
      <c r="OD527" s="6"/>
    </row>
    <row r="528" spans="1:394" x14ac:dyDescent="0.25">
      <c r="A528" s="47"/>
      <c r="B528" s="48"/>
      <c r="C528" s="133"/>
      <c r="D528" s="133"/>
      <c r="E528" s="133"/>
      <c r="F528" s="133"/>
      <c r="G528" s="133"/>
      <c r="H528" s="133"/>
      <c r="I528" s="133"/>
      <c r="J528" s="133"/>
      <c r="K528" s="133"/>
      <c r="L528" s="133"/>
      <c r="NW528" s="6"/>
      <c r="NX528" s="6"/>
      <c r="NY528" s="6"/>
      <c r="NZ528" s="6"/>
      <c r="OA528" s="6"/>
      <c r="OB528" s="46"/>
      <c r="OC528" s="4"/>
      <c r="OD528" s="6"/>
    </row>
    <row r="529" spans="1:394" x14ac:dyDescent="0.25">
      <c r="A529" s="47"/>
      <c r="B529" s="48"/>
      <c r="C529" s="133"/>
      <c r="D529" s="133"/>
      <c r="E529" s="133"/>
      <c r="F529" s="133"/>
      <c r="G529" s="133"/>
      <c r="H529" s="133"/>
      <c r="I529" s="133"/>
      <c r="J529" s="133"/>
      <c r="K529" s="133"/>
      <c r="L529" s="133"/>
      <c r="NW529" s="6"/>
      <c r="NX529" s="6"/>
      <c r="NY529" s="6"/>
      <c r="NZ529" s="6"/>
      <c r="OA529" s="6"/>
      <c r="OB529" s="46"/>
      <c r="OC529" s="4"/>
      <c r="OD529" s="6"/>
    </row>
    <row r="530" spans="1:394" x14ac:dyDescent="0.25">
      <c r="A530" s="47"/>
      <c r="B530" s="48"/>
      <c r="C530" s="133"/>
      <c r="D530" s="133"/>
      <c r="E530" s="133"/>
      <c r="F530" s="133"/>
      <c r="G530" s="133"/>
      <c r="H530" s="133"/>
      <c r="I530" s="133"/>
      <c r="J530" s="133"/>
      <c r="K530" s="133"/>
      <c r="L530" s="133"/>
      <c r="NW530" s="6"/>
      <c r="NX530" s="6"/>
      <c r="NY530" s="6"/>
      <c r="NZ530" s="6"/>
      <c r="OA530" s="6"/>
      <c r="OB530" s="46"/>
      <c r="OC530" s="4"/>
      <c r="OD530" s="6"/>
    </row>
    <row r="531" spans="1:394" x14ac:dyDescent="0.25">
      <c r="A531" s="47"/>
      <c r="B531" s="48"/>
      <c r="C531" s="133"/>
      <c r="D531" s="133"/>
      <c r="E531" s="133"/>
      <c r="F531" s="133"/>
      <c r="G531" s="133"/>
      <c r="H531" s="133"/>
      <c r="I531" s="133"/>
      <c r="J531" s="133"/>
      <c r="K531" s="133"/>
      <c r="L531" s="133"/>
      <c r="NW531" s="6"/>
      <c r="NX531" s="6"/>
      <c r="NY531" s="6"/>
      <c r="NZ531" s="6"/>
      <c r="OA531" s="6"/>
      <c r="OB531" s="46"/>
      <c r="OC531" s="4"/>
      <c r="OD531" s="6"/>
    </row>
    <row r="532" spans="1:394" x14ac:dyDescent="0.25">
      <c r="A532" s="47"/>
      <c r="B532" s="48"/>
      <c r="C532" s="133"/>
      <c r="D532" s="133"/>
      <c r="E532" s="133"/>
      <c r="F532" s="133"/>
      <c r="G532" s="133"/>
      <c r="H532" s="133"/>
      <c r="I532" s="133"/>
      <c r="J532" s="133"/>
      <c r="K532" s="133"/>
      <c r="L532" s="133"/>
      <c r="NW532" s="6"/>
      <c r="NX532" s="6"/>
      <c r="NY532" s="6"/>
      <c r="NZ532" s="6"/>
      <c r="OA532" s="6"/>
      <c r="OB532" s="46"/>
      <c r="OC532" s="4"/>
      <c r="OD532" s="6"/>
    </row>
    <row r="533" spans="1:394" x14ac:dyDescent="0.25">
      <c r="A533" s="47"/>
      <c r="B533" s="48"/>
      <c r="C533" s="133"/>
      <c r="D533" s="133"/>
      <c r="E533" s="133"/>
      <c r="F533" s="133"/>
      <c r="G533" s="133"/>
      <c r="H533" s="133"/>
      <c r="I533" s="133"/>
      <c r="J533" s="133"/>
      <c r="K533" s="133"/>
      <c r="L533" s="133"/>
      <c r="NW533" s="6"/>
      <c r="NX533" s="6"/>
      <c r="NY533" s="6"/>
      <c r="NZ533" s="6"/>
      <c r="OA533" s="6"/>
      <c r="OB533" s="46"/>
      <c r="OC533" s="4"/>
      <c r="OD533" s="6"/>
    </row>
    <row r="534" spans="1:394" x14ac:dyDescent="0.25">
      <c r="A534" s="47"/>
      <c r="B534" s="48"/>
      <c r="C534" s="133"/>
      <c r="D534" s="133"/>
      <c r="E534" s="133"/>
      <c r="F534" s="133"/>
      <c r="G534" s="133"/>
      <c r="H534" s="133"/>
      <c r="I534" s="133"/>
      <c r="J534" s="133"/>
      <c r="K534" s="133"/>
      <c r="L534" s="133"/>
      <c r="NW534" s="6"/>
      <c r="NX534" s="6"/>
      <c r="NY534" s="6"/>
      <c r="NZ534" s="6"/>
      <c r="OA534" s="6"/>
      <c r="OB534" s="46"/>
      <c r="OC534" s="4"/>
      <c r="OD534" s="6"/>
    </row>
    <row r="535" spans="1:394" x14ac:dyDescent="0.25">
      <c r="A535" s="47"/>
      <c r="B535" s="48"/>
      <c r="C535" s="133"/>
      <c r="D535" s="133"/>
      <c r="E535" s="133"/>
      <c r="F535" s="133"/>
      <c r="G535" s="133"/>
      <c r="H535" s="133"/>
      <c r="I535" s="133"/>
      <c r="J535" s="133"/>
      <c r="K535" s="133"/>
      <c r="L535" s="133"/>
      <c r="NW535" s="6"/>
      <c r="NX535" s="6"/>
      <c r="NY535" s="6"/>
      <c r="NZ535" s="6"/>
      <c r="OA535" s="6"/>
      <c r="OB535" s="46"/>
      <c r="OC535" s="4"/>
      <c r="OD535" s="6"/>
    </row>
    <row r="536" spans="1:394" x14ac:dyDescent="0.25">
      <c r="A536" s="47"/>
      <c r="B536" s="48"/>
      <c r="C536" s="133"/>
      <c r="D536" s="133"/>
      <c r="E536" s="133"/>
      <c r="F536" s="133"/>
      <c r="G536" s="133"/>
      <c r="H536" s="133"/>
      <c r="I536" s="133"/>
      <c r="J536" s="133"/>
      <c r="K536" s="133"/>
      <c r="L536" s="133"/>
      <c r="NW536" s="6"/>
      <c r="NX536" s="6"/>
      <c r="NY536" s="6"/>
      <c r="NZ536" s="6"/>
      <c r="OA536" s="6"/>
      <c r="OB536" s="46"/>
      <c r="OC536" s="4"/>
      <c r="OD536" s="6"/>
    </row>
    <row r="537" spans="1:394" x14ac:dyDescent="0.25">
      <c r="A537" s="47"/>
      <c r="B537" s="48"/>
      <c r="C537" s="133"/>
      <c r="D537" s="133"/>
      <c r="E537" s="133"/>
      <c r="F537" s="133"/>
      <c r="G537" s="133"/>
      <c r="H537" s="133"/>
      <c r="I537" s="133"/>
      <c r="J537" s="133"/>
      <c r="K537" s="133"/>
      <c r="L537" s="133"/>
      <c r="NW537" s="6"/>
      <c r="NX537" s="6"/>
      <c r="NY537" s="6"/>
      <c r="NZ537" s="6"/>
      <c r="OA537" s="6"/>
      <c r="OB537" s="46"/>
      <c r="OC537" s="4"/>
      <c r="OD537" s="6"/>
    </row>
    <row r="538" spans="1:394" x14ac:dyDescent="0.25">
      <c r="A538" s="47"/>
      <c r="B538" s="48"/>
      <c r="C538" s="133"/>
      <c r="D538" s="133"/>
      <c r="E538" s="133"/>
      <c r="F538" s="133"/>
      <c r="G538" s="133"/>
      <c r="H538" s="133"/>
      <c r="I538" s="133"/>
      <c r="J538" s="133"/>
      <c r="K538" s="133"/>
      <c r="L538" s="133"/>
      <c r="NW538" s="6"/>
      <c r="NX538" s="6"/>
      <c r="NY538" s="6"/>
      <c r="NZ538" s="6"/>
      <c r="OA538" s="6"/>
      <c r="OB538" s="46"/>
      <c r="OC538" s="4"/>
      <c r="OD538" s="6"/>
    </row>
    <row r="539" spans="1:394" x14ac:dyDescent="0.25">
      <c r="A539" s="47"/>
      <c r="B539" s="48"/>
      <c r="C539" s="133"/>
      <c r="D539" s="133"/>
      <c r="E539" s="133"/>
      <c r="F539" s="133"/>
      <c r="G539" s="133"/>
      <c r="H539" s="133"/>
      <c r="I539" s="133"/>
      <c r="J539" s="133"/>
      <c r="K539" s="133"/>
      <c r="L539" s="133"/>
      <c r="NW539" s="6"/>
      <c r="NX539" s="6"/>
      <c r="NY539" s="6"/>
      <c r="NZ539" s="6"/>
      <c r="OA539" s="6"/>
      <c r="OB539" s="46"/>
      <c r="OC539" s="4"/>
      <c r="OD539" s="6"/>
    </row>
    <row r="540" spans="1:394" x14ac:dyDescent="0.25">
      <c r="A540" s="47"/>
      <c r="B540" s="48"/>
      <c r="C540" s="133"/>
      <c r="D540" s="133"/>
      <c r="E540" s="133"/>
      <c r="F540" s="133"/>
      <c r="G540" s="133"/>
      <c r="H540" s="133"/>
      <c r="I540" s="133"/>
      <c r="J540" s="133"/>
      <c r="K540" s="133"/>
      <c r="L540" s="133"/>
      <c r="NW540" s="6"/>
      <c r="NX540" s="6"/>
      <c r="NY540" s="6"/>
      <c r="NZ540" s="6"/>
      <c r="OA540" s="6"/>
      <c r="OB540" s="46"/>
      <c r="OC540" s="4"/>
      <c r="OD540" s="6"/>
    </row>
    <row r="541" spans="1:394" x14ac:dyDescent="0.25">
      <c r="A541" s="47"/>
      <c r="B541" s="48"/>
      <c r="C541" s="133"/>
      <c r="D541" s="133"/>
      <c r="E541" s="133"/>
      <c r="F541" s="133"/>
      <c r="G541" s="133"/>
      <c r="H541" s="133"/>
      <c r="I541" s="133"/>
      <c r="J541" s="133"/>
      <c r="K541" s="133"/>
      <c r="L541" s="133"/>
      <c r="NW541" s="6"/>
      <c r="NX541" s="6"/>
      <c r="NY541" s="6"/>
      <c r="NZ541" s="6"/>
      <c r="OA541" s="6"/>
      <c r="OB541" s="46"/>
      <c r="OC541" s="4"/>
      <c r="OD541" s="6"/>
    </row>
    <row r="542" spans="1:394" x14ac:dyDescent="0.25">
      <c r="A542" s="47"/>
      <c r="B542" s="48"/>
      <c r="C542" s="133"/>
      <c r="D542" s="133"/>
      <c r="E542" s="133"/>
      <c r="F542" s="133"/>
      <c r="G542" s="133"/>
      <c r="H542" s="133"/>
      <c r="I542" s="133"/>
      <c r="J542" s="133"/>
      <c r="K542" s="133"/>
      <c r="L542" s="133"/>
      <c r="NW542" s="6"/>
      <c r="NX542" s="6"/>
      <c r="NY542" s="6"/>
      <c r="NZ542" s="6"/>
      <c r="OA542" s="6"/>
      <c r="OB542" s="46"/>
      <c r="OC542" s="4"/>
      <c r="OD542" s="6"/>
    </row>
    <row r="543" spans="1:394" x14ac:dyDescent="0.25">
      <c r="A543" s="47"/>
      <c r="B543" s="48"/>
      <c r="C543" s="133"/>
      <c r="D543" s="133"/>
      <c r="E543" s="133"/>
      <c r="F543" s="133"/>
      <c r="G543" s="133"/>
      <c r="H543" s="133"/>
      <c r="I543" s="133"/>
      <c r="J543" s="133"/>
      <c r="K543" s="133"/>
      <c r="L543" s="133"/>
      <c r="NW543" s="6"/>
      <c r="NX543" s="6"/>
      <c r="NY543" s="6"/>
      <c r="NZ543" s="6"/>
      <c r="OA543" s="6"/>
      <c r="OB543" s="46"/>
      <c r="OC543" s="4"/>
      <c r="OD543" s="6"/>
    </row>
    <row r="544" spans="1:394" x14ac:dyDescent="0.25">
      <c r="A544" s="47"/>
      <c r="B544" s="48"/>
      <c r="C544" s="133"/>
      <c r="D544" s="133"/>
      <c r="E544" s="133"/>
      <c r="F544" s="133"/>
      <c r="G544" s="133"/>
      <c r="H544" s="133"/>
      <c r="I544" s="133"/>
      <c r="J544" s="133"/>
      <c r="K544" s="133"/>
      <c r="L544" s="133"/>
      <c r="NW544" s="6"/>
      <c r="NX544" s="6"/>
      <c r="NY544" s="6"/>
      <c r="NZ544" s="6"/>
      <c r="OA544" s="6"/>
      <c r="OB544" s="46"/>
      <c r="OC544" s="4"/>
      <c r="OD544" s="6"/>
    </row>
    <row r="545" spans="1:394" x14ac:dyDescent="0.25">
      <c r="A545" s="47"/>
      <c r="B545" s="48"/>
      <c r="C545" s="133"/>
      <c r="D545" s="133"/>
      <c r="E545" s="133"/>
      <c r="F545" s="133"/>
      <c r="G545" s="133"/>
      <c r="H545" s="133"/>
      <c r="I545" s="133"/>
      <c r="J545" s="133"/>
      <c r="K545" s="133"/>
      <c r="L545" s="133"/>
      <c r="NW545" s="6"/>
      <c r="NX545" s="6"/>
      <c r="NY545" s="6"/>
      <c r="NZ545" s="6"/>
      <c r="OA545" s="6"/>
      <c r="OB545" s="46"/>
      <c r="OC545" s="4"/>
      <c r="OD545" s="6"/>
    </row>
    <row r="546" spans="1:394" x14ac:dyDescent="0.25">
      <c r="A546" s="47"/>
      <c r="B546" s="48"/>
      <c r="C546" s="133"/>
      <c r="D546" s="133"/>
      <c r="E546" s="133"/>
      <c r="F546" s="133"/>
      <c r="G546" s="133"/>
      <c r="H546" s="133"/>
      <c r="I546" s="133"/>
      <c r="J546" s="133"/>
      <c r="K546" s="133"/>
      <c r="L546" s="133"/>
      <c r="NW546" s="6"/>
      <c r="NX546" s="6"/>
      <c r="NY546" s="6"/>
      <c r="NZ546" s="6"/>
      <c r="OA546" s="6"/>
      <c r="OB546" s="46"/>
      <c r="OC546" s="4"/>
      <c r="OD546" s="6"/>
    </row>
    <row r="547" spans="1:394" x14ac:dyDescent="0.25">
      <c r="A547" s="47"/>
      <c r="B547" s="48"/>
      <c r="C547" s="133"/>
      <c r="D547" s="133"/>
      <c r="E547" s="133"/>
      <c r="F547" s="133"/>
      <c r="G547" s="133"/>
      <c r="H547" s="133"/>
      <c r="I547" s="133"/>
      <c r="J547" s="133"/>
      <c r="K547" s="133"/>
      <c r="L547" s="133"/>
      <c r="NW547" s="6"/>
      <c r="NX547" s="6"/>
      <c r="NY547" s="6"/>
      <c r="NZ547" s="6"/>
      <c r="OA547" s="6"/>
      <c r="OB547" s="46"/>
      <c r="OC547" s="4"/>
      <c r="OD547" s="6"/>
    </row>
    <row r="548" spans="1:394" x14ac:dyDescent="0.25">
      <c r="A548" s="47"/>
      <c r="B548" s="48"/>
      <c r="C548" s="133"/>
      <c r="D548" s="133"/>
      <c r="E548" s="133"/>
      <c r="F548" s="133"/>
      <c r="G548" s="133"/>
      <c r="H548" s="133"/>
      <c r="I548" s="133"/>
      <c r="J548" s="133"/>
      <c r="K548" s="133"/>
      <c r="L548" s="133"/>
      <c r="NW548" s="6"/>
      <c r="NX548" s="6"/>
      <c r="NY548" s="6"/>
      <c r="NZ548" s="6"/>
      <c r="OA548" s="6"/>
      <c r="OB548" s="46"/>
      <c r="OC548" s="4"/>
      <c r="OD548" s="6"/>
    </row>
    <row r="549" spans="1:394" x14ac:dyDescent="0.25">
      <c r="A549" s="47"/>
      <c r="B549" s="48"/>
      <c r="C549" s="133"/>
      <c r="D549" s="133"/>
      <c r="E549" s="133"/>
      <c r="F549" s="133"/>
      <c r="G549" s="133"/>
      <c r="H549" s="133"/>
      <c r="I549" s="133"/>
      <c r="J549" s="133"/>
      <c r="K549" s="133"/>
      <c r="L549" s="133"/>
      <c r="NW549" s="6"/>
      <c r="NX549" s="6"/>
      <c r="NY549" s="6"/>
      <c r="NZ549" s="6"/>
      <c r="OA549" s="6"/>
      <c r="OB549" s="46"/>
      <c r="OC549" s="4"/>
      <c r="OD549" s="6"/>
    </row>
    <row r="550" spans="1:394" x14ac:dyDescent="0.25">
      <c r="A550" s="47"/>
      <c r="B550" s="48"/>
      <c r="C550" s="133"/>
      <c r="D550" s="133"/>
      <c r="E550" s="133"/>
      <c r="F550" s="133"/>
      <c r="G550" s="133"/>
      <c r="H550" s="133"/>
      <c r="I550" s="133"/>
      <c r="J550" s="133"/>
      <c r="K550" s="133"/>
      <c r="L550" s="133"/>
      <c r="NW550" s="6"/>
      <c r="NX550" s="6"/>
      <c r="NY550" s="6"/>
      <c r="NZ550" s="6"/>
      <c r="OA550" s="6"/>
      <c r="OB550" s="46"/>
      <c r="OC550" s="4"/>
      <c r="OD550" s="6"/>
    </row>
    <row r="551" spans="1:394" x14ac:dyDescent="0.25">
      <c r="A551" s="47"/>
      <c r="B551" s="48"/>
      <c r="C551" s="133"/>
      <c r="D551" s="133"/>
      <c r="E551" s="133"/>
      <c r="F551" s="133"/>
      <c r="G551" s="133"/>
      <c r="H551" s="133"/>
      <c r="I551" s="133"/>
      <c r="J551" s="133"/>
      <c r="K551" s="133"/>
      <c r="L551" s="133"/>
      <c r="NW551" s="6"/>
      <c r="NX551" s="6"/>
      <c r="NY551" s="6"/>
      <c r="NZ551" s="6"/>
      <c r="OA551" s="6"/>
      <c r="OB551" s="46"/>
      <c r="OC551" s="4"/>
      <c r="OD551" s="6"/>
    </row>
    <row r="552" spans="1:394" x14ac:dyDescent="0.25">
      <c r="A552" s="47"/>
      <c r="B552" s="48"/>
      <c r="C552" s="133"/>
      <c r="D552" s="133"/>
      <c r="E552" s="133"/>
      <c r="F552" s="133"/>
      <c r="G552" s="133"/>
      <c r="H552" s="133"/>
      <c r="I552" s="133"/>
      <c r="J552" s="133"/>
      <c r="K552" s="133"/>
      <c r="L552" s="133"/>
      <c r="NW552" s="6"/>
      <c r="NX552" s="6"/>
      <c r="NY552" s="6"/>
      <c r="NZ552" s="6"/>
      <c r="OA552" s="6"/>
      <c r="OB552" s="46"/>
      <c r="OC552" s="4"/>
      <c r="OD552" s="6"/>
    </row>
    <row r="553" spans="1:394" x14ac:dyDescent="0.25">
      <c r="A553" s="47"/>
      <c r="B553" s="48"/>
      <c r="C553" s="133"/>
      <c r="D553" s="133"/>
      <c r="E553" s="133"/>
      <c r="F553" s="133"/>
      <c r="G553" s="133"/>
      <c r="H553" s="133"/>
      <c r="I553" s="133"/>
      <c r="J553" s="133"/>
      <c r="K553" s="133"/>
      <c r="L553" s="133"/>
      <c r="NW553" s="6"/>
      <c r="NX553" s="6"/>
      <c r="NY553" s="6"/>
      <c r="NZ553" s="6"/>
      <c r="OA553" s="6"/>
      <c r="OB553" s="46"/>
      <c r="OC553" s="4"/>
      <c r="OD553" s="6"/>
    </row>
    <row r="554" spans="1:394" x14ac:dyDescent="0.25">
      <c r="A554" s="47"/>
      <c r="B554" s="48"/>
      <c r="C554" s="133"/>
      <c r="D554" s="133"/>
      <c r="E554" s="133"/>
      <c r="F554" s="133"/>
      <c r="G554" s="133"/>
      <c r="H554" s="133"/>
      <c r="I554" s="133"/>
      <c r="J554" s="133"/>
      <c r="K554" s="133"/>
      <c r="L554" s="133"/>
      <c r="NW554" s="6"/>
      <c r="NX554" s="6"/>
      <c r="NY554" s="6"/>
      <c r="NZ554" s="6"/>
      <c r="OA554" s="6"/>
      <c r="OB554" s="46"/>
      <c r="OC554" s="4"/>
      <c r="OD554" s="6"/>
    </row>
    <row r="555" spans="1:394" x14ac:dyDescent="0.25">
      <c r="A555" s="47"/>
      <c r="B555" s="48"/>
      <c r="C555" s="133"/>
      <c r="D555" s="133"/>
      <c r="E555" s="133"/>
      <c r="F555" s="133"/>
      <c r="G555" s="133"/>
      <c r="H555" s="133"/>
      <c r="I555" s="133"/>
      <c r="J555" s="133"/>
      <c r="K555" s="133"/>
      <c r="L555" s="133"/>
      <c r="NW555" s="6"/>
      <c r="NX555" s="6"/>
      <c r="NY555" s="6"/>
      <c r="NZ555" s="6"/>
      <c r="OA555" s="6"/>
      <c r="OB555" s="46"/>
      <c r="OC555" s="4"/>
      <c r="OD555" s="6"/>
    </row>
    <row r="556" spans="1:394" x14ac:dyDescent="0.25">
      <c r="A556" s="47"/>
      <c r="B556" s="48"/>
      <c r="C556" s="133"/>
      <c r="D556" s="133"/>
      <c r="E556" s="133"/>
      <c r="F556" s="133"/>
      <c r="G556" s="133"/>
      <c r="H556" s="133"/>
      <c r="I556" s="133"/>
      <c r="J556" s="133"/>
      <c r="K556" s="133"/>
      <c r="L556" s="133"/>
      <c r="NW556" s="6"/>
      <c r="NX556" s="6"/>
      <c r="NY556" s="6"/>
      <c r="NZ556" s="6"/>
      <c r="OA556" s="6"/>
      <c r="OB556" s="46"/>
      <c r="OC556" s="4"/>
      <c r="OD556" s="6"/>
    </row>
    <row r="557" spans="1:394" x14ac:dyDescent="0.25">
      <c r="A557" s="47"/>
      <c r="B557" s="48"/>
      <c r="C557" s="133"/>
      <c r="D557" s="133"/>
      <c r="E557" s="133"/>
      <c r="F557" s="133"/>
      <c r="G557" s="133"/>
      <c r="H557" s="133"/>
      <c r="I557" s="133"/>
      <c r="J557" s="133"/>
      <c r="K557" s="133"/>
      <c r="L557" s="133"/>
      <c r="NW557" s="6"/>
      <c r="NX557" s="6"/>
      <c r="NY557" s="6"/>
      <c r="NZ557" s="6"/>
      <c r="OA557" s="6"/>
      <c r="OB557" s="46"/>
      <c r="OC557" s="4"/>
      <c r="OD557" s="6"/>
    </row>
    <row r="558" spans="1:394" x14ac:dyDescent="0.25">
      <c r="A558" s="47"/>
      <c r="B558" s="48"/>
      <c r="C558" s="133"/>
      <c r="D558" s="133"/>
      <c r="E558" s="133"/>
      <c r="F558" s="133"/>
      <c r="G558" s="133"/>
      <c r="H558" s="133"/>
      <c r="I558" s="133"/>
      <c r="J558" s="133"/>
      <c r="K558" s="133"/>
      <c r="L558" s="133"/>
      <c r="NW558" s="6"/>
      <c r="NX558" s="6"/>
      <c r="NY558" s="6"/>
      <c r="NZ558" s="6"/>
      <c r="OA558" s="6"/>
      <c r="OB558" s="46"/>
      <c r="OC558" s="4"/>
      <c r="OD558" s="6"/>
    </row>
    <row r="559" spans="1:394" x14ac:dyDescent="0.25">
      <c r="A559" s="47"/>
      <c r="B559" s="48"/>
      <c r="C559" s="133"/>
      <c r="D559" s="133"/>
      <c r="E559" s="133"/>
      <c r="F559" s="133"/>
      <c r="G559" s="133"/>
      <c r="H559" s="133"/>
      <c r="I559" s="133"/>
      <c r="J559" s="133"/>
      <c r="K559" s="133"/>
      <c r="L559" s="133"/>
      <c r="NW559" s="6"/>
      <c r="NX559" s="6"/>
      <c r="NY559" s="6"/>
      <c r="NZ559" s="6"/>
      <c r="OA559" s="6"/>
      <c r="OB559" s="46"/>
      <c r="OC559" s="4"/>
      <c r="OD559" s="6"/>
    </row>
    <row r="560" spans="1:394" x14ac:dyDescent="0.25">
      <c r="A560" s="47"/>
      <c r="B560" s="48"/>
      <c r="C560" s="133"/>
      <c r="D560" s="133"/>
      <c r="E560" s="133"/>
      <c r="F560" s="133"/>
      <c r="G560" s="133"/>
      <c r="H560" s="133"/>
      <c r="I560" s="133"/>
      <c r="J560" s="133"/>
      <c r="K560" s="133"/>
      <c r="L560" s="133"/>
      <c r="NW560" s="6"/>
      <c r="NX560" s="6"/>
      <c r="NY560" s="6"/>
      <c r="NZ560" s="6"/>
      <c r="OA560" s="6"/>
      <c r="OB560" s="46"/>
      <c r="OC560" s="4"/>
      <c r="OD560" s="6"/>
    </row>
    <row r="561" spans="1:394" x14ac:dyDescent="0.25">
      <c r="A561" s="47"/>
      <c r="B561" s="48"/>
      <c r="C561" s="133"/>
      <c r="D561" s="133"/>
      <c r="E561" s="133"/>
      <c r="F561" s="133"/>
      <c r="G561" s="133"/>
      <c r="H561" s="133"/>
      <c r="I561" s="133"/>
      <c r="J561" s="133"/>
      <c r="K561" s="133"/>
      <c r="L561" s="133"/>
      <c r="NW561" s="6"/>
      <c r="NX561" s="6"/>
      <c r="NY561" s="6"/>
      <c r="NZ561" s="6"/>
      <c r="OA561" s="6"/>
      <c r="OB561" s="46"/>
      <c r="OC561" s="4"/>
      <c r="OD561" s="6"/>
    </row>
    <row r="562" spans="1:394" x14ac:dyDescent="0.25">
      <c r="A562" s="47"/>
      <c r="B562" s="48"/>
      <c r="C562" s="133"/>
      <c r="D562" s="133"/>
      <c r="E562" s="133"/>
      <c r="F562" s="133"/>
      <c r="G562" s="133"/>
      <c r="H562" s="133"/>
      <c r="I562" s="133"/>
      <c r="J562" s="133"/>
      <c r="K562" s="133"/>
      <c r="L562" s="133"/>
      <c r="NW562" s="6"/>
      <c r="NX562" s="6"/>
      <c r="NY562" s="6"/>
      <c r="NZ562" s="6"/>
      <c r="OA562" s="6"/>
      <c r="OB562" s="46"/>
      <c r="OC562" s="4"/>
      <c r="OD562" s="6"/>
    </row>
    <row r="563" spans="1:394" x14ac:dyDescent="0.25">
      <c r="A563" s="47"/>
      <c r="B563" s="48"/>
      <c r="C563" s="133"/>
      <c r="D563" s="133"/>
      <c r="E563" s="133"/>
      <c r="F563" s="133"/>
      <c r="G563" s="133"/>
      <c r="H563" s="133"/>
      <c r="I563" s="133"/>
      <c r="J563" s="133"/>
      <c r="K563" s="133"/>
      <c r="L563" s="133"/>
      <c r="NW563" s="6"/>
      <c r="NX563" s="6"/>
      <c r="NY563" s="6"/>
      <c r="NZ563" s="6"/>
      <c r="OA563" s="6"/>
      <c r="OB563" s="46"/>
      <c r="OC563" s="4"/>
      <c r="OD563" s="6"/>
    </row>
    <row r="564" spans="1:394" x14ac:dyDescent="0.25">
      <c r="A564" s="47"/>
      <c r="B564" s="48"/>
      <c r="C564" s="133"/>
      <c r="D564" s="133"/>
      <c r="E564" s="133"/>
      <c r="F564" s="133"/>
      <c r="G564" s="133"/>
      <c r="H564" s="133"/>
      <c r="I564" s="133"/>
      <c r="J564" s="133"/>
      <c r="K564" s="133"/>
      <c r="L564" s="133"/>
      <c r="NW564" s="6"/>
      <c r="NX564" s="6"/>
      <c r="NY564" s="6"/>
      <c r="NZ564" s="6"/>
      <c r="OA564" s="6"/>
      <c r="OB564" s="46"/>
      <c r="OC564" s="4"/>
      <c r="OD564" s="6"/>
    </row>
    <row r="565" spans="1:394" x14ac:dyDescent="0.25">
      <c r="A565" s="47"/>
      <c r="B565" s="48"/>
      <c r="C565" s="133"/>
      <c r="D565" s="133"/>
      <c r="E565" s="133"/>
      <c r="F565" s="133"/>
      <c r="G565" s="133"/>
      <c r="H565" s="133"/>
      <c r="I565" s="133"/>
      <c r="J565" s="133"/>
      <c r="K565" s="133"/>
      <c r="L565" s="133"/>
      <c r="NW565" s="6"/>
      <c r="NX565" s="6"/>
      <c r="NY565" s="6"/>
      <c r="NZ565" s="6"/>
      <c r="OA565" s="6"/>
      <c r="OB565" s="46"/>
      <c r="OC565" s="4"/>
      <c r="OD565" s="6"/>
    </row>
    <row r="566" spans="1:394" x14ac:dyDescent="0.25">
      <c r="A566" s="47"/>
      <c r="B566" s="48"/>
      <c r="C566" s="133"/>
      <c r="D566" s="133"/>
      <c r="E566" s="133"/>
      <c r="F566" s="133"/>
      <c r="G566" s="133"/>
      <c r="H566" s="133"/>
      <c r="I566" s="133"/>
      <c r="J566" s="133"/>
      <c r="K566" s="133"/>
      <c r="L566" s="133"/>
      <c r="NW566" s="6"/>
      <c r="NX566" s="6"/>
      <c r="NY566" s="6"/>
      <c r="NZ566" s="6"/>
      <c r="OA566" s="6"/>
      <c r="OB566" s="46"/>
      <c r="OC566" s="4"/>
      <c r="OD566" s="6"/>
    </row>
    <row r="567" spans="1:394" x14ac:dyDescent="0.25">
      <c r="A567" s="47"/>
      <c r="B567" s="48"/>
      <c r="C567" s="133"/>
      <c r="D567" s="133"/>
      <c r="E567" s="133"/>
      <c r="F567" s="133"/>
      <c r="G567" s="133"/>
      <c r="H567" s="133"/>
      <c r="I567" s="133"/>
      <c r="J567" s="133"/>
      <c r="K567" s="133"/>
      <c r="L567" s="133"/>
      <c r="NW567" s="6"/>
      <c r="NX567" s="6"/>
      <c r="NY567" s="6"/>
      <c r="NZ567" s="6"/>
      <c r="OA567" s="6"/>
      <c r="OB567" s="46"/>
      <c r="OC567" s="4"/>
      <c r="OD567" s="6"/>
    </row>
    <row r="568" spans="1:394" x14ac:dyDescent="0.25">
      <c r="A568" s="47"/>
      <c r="B568" s="48"/>
      <c r="C568" s="133"/>
      <c r="D568" s="133"/>
      <c r="E568" s="133"/>
      <c r="F568" s="133"/>
      <c r="G568" s="133"/>
      <c r="H568" s="133"/>
      <c r="I568" s="133"/>
      <c r="J568" s="133"/>
      <c r="K568" s="133"/>
      <c r="L568" s="133"/>
      <c r="NW568" s="6"/>
      <c r="NX568" s="6"/>
      <c r="NY568" s="6"/>
      <c r="NZ568" s="6"/>
      <c r="OA568" s="6"/>
      <c r="OB568" s="46"/>
      <c r="OC568" s="4"/>
      <c r="OD568" s="6"/>
    </row>
    <row r="569" spans="1:394" x14ac:dyDescent="0.25">
      <c r="A569" s="47"/>
      <c r="B569" s="48"/>
      <c r="C569" s="133"/>
      <c r="D569" s="133"/>
      <c r="E569" s="133"/>
      <c r="F569" s="133"/>
      <c r="G569" s="133"/>
      <c r="H569" s="133"/>
      <c r="I569" s="133"/>
      <c r="J569" s="133"/>
      <c r="K569" s="133"/>
      <c r="L569" s="133"/>
      <c r="NW569" s="6"/>
      <c r="NX569" s="6"/>
      <c r="NY569" s="6"/>
      <c r="NZ569" s="6"/>
      <c r="OA569" s="6"/>
      <c r="OB569" s="46"/>
      <c r="OC569" s="4"/>
      <c r="OD569" s="6"/>
    </row>
    <row r="570" spans="1:394" x14ac:dyDescent="0.25">
      <c r="A570" s="47"/>
      <c r="B570" s="48"/>
      <c r="C570" s="133"/>
      <c r="D570" s="133"/>
      <c r="E570" s="133"/>
      <c r="F570" s="133"/>
      <c r="G570" s="133"/>
      <c r="H570" s="133"/>
      <c r="I570" s="133"/>
      <c r="J570" s="133"/>
      <c r="K570" s="133"/>
      <c r="L570" s="133"/>
      <c r="NW570" s="6"/>
      <c r="NX570" s="6"/>
      <c r="NY570" s="6"/>
      <c r="NZ570" s="6"/>
      <c r="OA570" s="6"/>
      <c r="OB570" s="46"/>
      <c r="OC570" s="4"/>
      <c r="OD570" s="6"/>
    </row>
    <row r="571" spans="1:394" x14ac:dyDescent="0.25">
      <c r="A571" s="47"/>
      <c r="B571" s="48"/>
      <c r="C571" s="133"/>
      <c r="D571" s="133"/>
      <c r="E571" s="133"/>
      <c r="F571" s="133"/>
      <c r="G571" s="133"/>
      <c r="H571" s="133"/>
      <c r="I571" s="133"/>
      <c r="J571" s="133"/>
      <c r="K571" s="133"/>
      <c r="L571" s="133"/>
      <c r="NW571" s="6"/>
      <c r="NX571" s="6"/>
      <c r="NY571" s="6"/>
      <c r="NZ571" s="6"/>
      <c r="OA571" s="6"/>
      <c r="OB571" s="46"/>
      <c r="OC571" s="4"/>
      <c r="OD571" s="6"/>
    </row>
    <row r="572" spans="1:394" x14ac:dyDescent="0.25">
      <c r="A572" s="47"/>
      <c r="B572" s="48"/>
      <c r="C572" s="133"/>
      <c r="D572" s="133"/>
      <c r="E572" s="133"/>
      <c r="F572" s="133"/>
      <c r="G572" s="133"/>
      <c r="H572" s="133"/>
      <c r="I572" s="133"/>
      <c r="J572" s="133"/>
      <c r="K572" s="133"/>
      <c r="L572" s="133"/>
      <c r="NW572" s="6"/>
      <c r="NX572" s="6"/>
      <c r="NY572" s="6"/>
      <c r="NZ572" s="6"/>
      <c r="OA572" s="6"/>
      <c r="OB572" s="46"/>
      <c r="OC572" s="4"/>
      <c r="OD572" s="6"/>
    </row>
    <row r="573" spans="1:394" x14ac:dyDescent="0.25">
      <c r="A573" s="47"/>
      <c r="B573" s="48"/>
      <c r="C573" s="133"/>
      <c r="D573" s="133"/>
      <c r="E573" s="133"/>
      <c r="F573" s="133"/>
      <c r="G573" s="133"/>
      <c r="H573" s="133"/>
      <c r="I573" s="133"/>
      <c r="J573" s="133"/>
      <c r="K573" s="133"/>
      <c r="L573" s="133"/>
      <c r="NW573" s="6"/>
      <c r="NX573" s="6"/>
      <c r="NY573" s="6"/>
      <c r="NZ573" s="6"/>
      <c r="OA573" s="6"/>
      <c r="OB573" s="46"/>
      <c r="OC573" s="4"/>
      <c r="OD573" s="6"/>
    </row>
    <row r="574" spans="1:394" x14ac:dyDescent="0.25">
      <c r="A574" s="47"/>
      <c r="B574" s="48"/>
      <c r="C574" s="133"/>
      <c r="D574" s="133"/>
      <c r="E574" s="133"/>
      <c r="F574" s="133"/>
      <c r="G574" s="133"/>
      <c r="H574" s="133"/>
      <c r="I574" s="133"/>
      <c r="J574" s="133"/>
      <c r="K574" s="133"/>
      <c r="L574" s="133"/>
      <c r="NW574" s="6"/>
      <c r="NX574" s="6"/>
      <c r="NY574" s="6"/>
      <c r="NZ574" s="6"/>
      <c r="OA574" s="6"/>
      <c r="OB574" s="46"/>
      <c r="OC574" s="4"/>
      <c r="OD574" s="6"/>
    </row>
    <row r="575" spans="1:394" x14ac:dyDescent="0.25">
      <c r="A575" s="47"/>
      <c r="B575" s="48"/>
      <c r="C575" s="133"/>
      <c r="D575" s="133"/>
      <c r="E575" s="133"/>
      <c r="F575" s="133"/>
      <c r="G575" s="133"/>
      <c r="H575" s="133"/>
      <c r="I575" s="133"/>
      <c r="J575" s="133"/>
      <c r="K575" s="133"/>
      <c r="L575" s="133"/>
      <c r="NW575" s="6"/>
      <c r="NX575" s="6"/>
      <c r="NY575" s="6"/>
      <c r="NZ575" s="6"/>
      <c r="OA575" s="6"/>
      <c r="OB575" s="46"/>
      <c r="OC575" s="4"/>
      <c r="OD575" s="6"/>
    </row>
    <row r="576" spans="1:394" x14ac:dyDescent="0.25">
      <c r="A576" s="47"/>
      <c r="B576" s="48"/>
      <c r="C576" s="133"/>
      <c r="D576" s="133"/>
      <c r="E576" s="133"/>
      <c r="F576" s="133"/>
      <c r="G576" s="133"/>
      <c r="H576" s="133"/>
      <c r="I576" s="133"/>
      <c r="J576" s="133"/>
      <c r="K576" s="133"/>
      <c r="L576" s="133"/>
      <c r="NW576" s="6"/>
      <c r="NX576" s="6"/>
      <c r="NY576" s="6"/>
      <c r="NZ576" s="6"/>
      <c r="OA576" s="6"/>
      <c r="OB576" s="46"/>
      <c r="OC576" s="4"/>
      <c r="OD576" s="6"/>
    </row>
    <row r="577" spans="1:394" x14ac:dyDescent="0.25">
      <c r="A577" s="47"/>
      <c r="B577" s="48"/>
      <c r="C577" s="133"/>
      <c r="D577" s="133"/>
      <c r="E577" s="133"/>
      <c r="F577" s="133"/>
      <c r="G577" s="133"/>
      <c r="H577" s="133"/>
      <c r="I577" s="133"/>
      <c r="J577" s="133"/>
      <c r="K577" s="133"/>
      <c r="L577" s="133"/>
      <c r="NW577" s="6"/>
      <c r="NX577" s="6"/>
      <c r="NY577" s="6"/>
      <c r="NZ577" s="6"/>
      <c r="OA577" s="6"/>
      <c r="OB577" s="46"/>
      <c r="OC577" s="4"/>
      <c r="OD577" s="6"/>
    </row>
    <row r="578" spans="1:394" x14ac:dyDescent="0.25">
      <c r="A578" s="47"/>
      <c r="B578" s="48"/>
      <c r="C578" s="133"/>
      <c r="D578" s="133"/>
      <c r="E578" s="133"/>
      <c r="F578" s="133"/>
      <c r="G578" s="133"/>
      <c r="H578" s="133"/>
      <c r="I578" s="133"/>
      <c r="J578" s="133"/>
      <c r="K578" s="133"/>
      <c r="L578" s="133"/>
      <c r="NW578" s="6"/>
      <c r="NX578" s="6"/>
      <c r="NY578" s="6"/>
      <c r="NZ578" s="6"/>
      <c r="OA578" s="6"/>
      <c r="OB578" s="46"/>
      <c r="OC578" s="4"/>
      <c r="OD578" s="6"/>
    </row>
    <row r="579" spans="1:394" x14ac:dyDescent="0.25">
      <c r="A579" s="47"/>
      <c r="B579" s="48"/>
      <c r="C579" s="133"/>
      <c r="D579" s="133"/>
      <c r="E579" s="133"/>
      <c r="F579" s="133"/>
      <c r="G579" s="133"/>
      <c r="H579" s="133"/>
      <c r="I579" s="133"/>
      <c r="J579" s="133"/>
      <c r="K579" s="133"/>
      <c r="L579" s="133"/>
      <c r="NW579" s="6"/>
      <c r="NX579" s="6"/>
      <c r="NY579" s="6"/>
      <c r="NZ579" s="6"/>
      <c r="OA579" s="6"/>
      <c r="OB579" s="46"/>
      <c r="OC579" s="4"/>
      <c r="OD579" s="6"/>
    </row>
    <row r="580" spans="1:394" x14ac:dyDescent="0.25">
      <c r="A580" s="47"/>
      <c r="B580" s="48"/>
      <c r="C580" s="133"/>
      <c r="D580" s="133"/>
      <c r="E580" s="133"/>
      <c r="F580" s="133"/>
      <c r="G580" s="133"/>
      <c r="H580" s="133"/>
      <c r="I580" s="133"/>
      <c r="J580" s="133"/>
      <c r="K580" s="133"/>
      <c r="L580" s="133"/>
      <c r="NW580" s="6"/>
      <c r="NX580" s="6"/>
      <c r="NY580" s="6"/>
      <c r="NZ580" s="6"/>
      <c r="OA580" s="6"/>
      <c r="OB580" s="46"/>
      <c r="OC580" s="4"/>
      <c r="OD580" s="6"/>
    </row>
    <row r="581" spans="1:394" x14ac:dyDescent="0.25">
      <c r="A581" s="47"/>
      <c r="B581" s="48"/>
      <c r="C581" s="133"/>
      <c r="D581" s="133"/>
      <c r="E581" s="133"/>
      <c r="F581" s="133"/>
      <c r="G581" s="133"/>
      <c r="H581" s="133"/>
      <c r="I581" s="133"/>
      <c r="J581" s="133"/>
      <c r="K581" s="133"/>
      <c r="L581" s="133"/>
      <c r="NW581" s="6"/>
      <c r="NX581" s="6"/>
      <c r="NY581" s="6"/>
      <c r="NZ581" s="6"/>
      <c r="OA581" s="6"/>
      <c r="OB581" s="46"/>
      <c r="OC581" s="4"/>
      <c r="OD581" s="6"/>
    </row>
    <row r="582" spans="1:394" x14ac:dyDescent="0.25">
      <c r="A582" s="47"/>
      <c r="B582" s="48"/>
      <c r="C582" s="133"/>
      <c r="D582" s="133"/>
      <c r="E582" s="133"/>
      <c r="F582" s="133"/>
      <c r="G582" s="133"/>
      <c r="H582" s="133"/>
      <c r="I582" s="133"/>
      <c r="J582" s="133"/>
      <c r="K582" s="133"/>
      <c r="L582" s="133"/>
      <c r="NW582" s="6"/>
      <c r="NX582" s="6"/>
      <c r="NY582" s="6"/>
      <c r="NZ582" s="6"/>
      <c r="OA582" s="6"/>
      <c r="OB582" s="46"/>
      <c r="OC582" s="4"/>
      <c r="OD582" s="6"/>
    </row>
    <row r="583" spans="1:394" x14ac:dyDescent="0.25">
      <c r="A583" s="47"/>
      <c r="B583" s="48"/>
      <c r="C583" s="133"/>
      <c r="D583" s="133"/>
      <c r="E583" s="133"/>
      <c r="F583" s="133"/>
      <c r="G583" s="133"/>
      <c r="H583" s="133"/>
      <c r="I583" s="133"/>
      <c r="J583" s="133"/>
      <c r="K583" s="133"/>
      <c r="L583" s="133"/>
      <c r="NW583" s="6"/>
      <c r="NX583" s="6"/>
      <c r="NY583" s="6"/>
      <c r="NZ583" s="6"/>
      <c r="OA583" s="6"/>
      <c r="OB583" s="46"/>
      <c r="OC583" s="4"/>
      <c r="OD583" s="6"/>
    </row>
    <row r="584" spans="1:394" x14ac:dyDescent="0.25">
      <c r="A584" s="47"/>
      <c r="B584" s="48"/>
      <c r="C584" s="133"/>
      <c r="D584" s="133"/>
      <c r="E584" s="133"/>
      <c r="F584" s="133"/>
      <c r="G584" s="133"/>
      <c r="H584" s="133"/>
      <c r="I584" s="133"/>
      <c r="J584" s="133"/>
      <c r="K584" s="133"/>
      <c r="L584" s="133"/>
      <c r="NW584" s="6"/>
      <c r="NX584" s="6"/>
      <c r="NY584" s="6"/>
      <c r="NZ584" s="6"/>
      <c r="OA584" s="6"/>
      <c r="OB584" s="46"/>
      <c r="OC584" s="4"/>
      <c r="OD584" s="6"/>
    </row>
    <row r="585" spans="1:394" x14ac:dyDescent="0.25">
      <c r="A585" s="47"/>
      <c r="B585" s="48"/>
      <c r="C585" s="133"/>
      <c r="D585" s="133"/>
      <c r="E585" s="133"/>
      <c r="F585" s="133"/>
      <c r="G585" s="133"/>
      <c r="H585" s="133"/>
      <c r="I585" s="133"/>
      <c r="J585" s="133"/>
      <c r="K585" s="133"/>
      <c r="L585" s="133"/>
      <c r="NW585" s="6"/>
      <c r="NX585" s="6"/>
      <c r="NY585" s="6"/>
      <c r="NZ585" s="6"/>
      <c r="OA585" s="6"/>
      <c r="OB585" s="46"/>
      <c r="OC585" s="4"/>
      <c r="OD585" s="6"/>
    </row>
    <row r="586" spans="1:394" x14ac:dyDescent="0.25">
      <c r="A586" s="47"/>
      <c r="B586" s="48"/>
      <c r="C586" s="133"/>
      <c r="D586" s="133"/>
      <c r="E586" s="133"/>
      <c r="F586" s="133"/>
      <c r="G586" s="133"/>
      <c r="H586" s="133"/>
      <c r="I586" s="133"/>
      <c r="J586" s="133"/>
      <c r="K586" s="133"/>
      <c r="L586" s="133"/>
      <c r="NW586" s="6"/>
      <c r="NX586" s="6"/>
      <c r="NY586" s="6"/>
      <c r="NZ586" s="6"/>
      <c r="OA586" s="6"/>
      <c r="OB586" s="46"/>
      <c r="OC586" s="4"/>
      <c r="OD586" s="6"/>
    </row>
    <row r="587" spans="1:394" x14ac:dyDescent="0.25">
      <c r="A587" s="47"/>
      <c r="B587" s="48"/>
      <c r="C587" s="133"/>
      <c r="D587" s="133"/>
      <c r="E587" s="133"/>
      <c r="F587" s="133"/>
      <c r="G587" s="133"/>
      <c r="H587" s="133"/>
      <c r="I587" s="133"/>
      <c r="J587" s="133"/>
      <c r="K587" s="133"/>
      <c r="L587" s="133"/>
      <c r="NW587" s="6"/>
      <c r="NX587" s="6"/>
      <c r="NY587" s="6"/>
      <c r="NZ587" s="6"/>
      <c r="OA587" s="6"/>
      <c r="OB587" s="46"/>
      <c r="OC587" s="4"/>
      <c r="OD587" s="6"/>
    </row>
    <row r="588" spans="1:394" x14ac:dyDescent="0.25">
      <c r="A588" s="47"/>
      <c r="B588" s="48"/>
      <c r="C588" s="133"/>
      <c r="D588" s="133"/>
      <c r="E588" s="133"/>
      <c r="F588" s="133"/>
      <c r="G588" s="133"/>
      <c r="H588" s="133"/>
      <c r="I588" s="133"/>
      <c r="J588" s="133"/>
      <c r="K588" s="133"/>
      <c r="L588" s="133"/>
      <c r="NW588" s="6"/>
      <c r="NX588" s="6"/>
      <c r="NY588" s="6"/>
      <c r="NZ588" s="6"/>
      <c r="OA588" s="6"/>
      <c r="OB588" s="46"/>
      <c r="OC588" s="4"/>
      <c r="OD588" s="6"/>
    </row>
    <row r="589" spans="1:394" x14ac:dyDescent="0.25">
      <c r="A589" s="47"/>
      <c r="B589" s="48"/>
      <c r="C589" s="133"/>
      <c r="D589" s="133"/>
      <c r="E589" s="133"/>
      <c r="F589" s="133"/>
      <c r="G589" s="133"/>
      <c r="H589" s="133"/>
      <c r="I589" s="133"/>
      <c r="J589" s="133"/>
      <c r="K589" s="133"/>
      <c r="L589" s="133"/>
      <c r="NW589" s="6"/>
      <c r="NX589" s="6"/>
      <c r="NY589" s="6"/>
      <c r="NZ589" s="6"/>
      <c r="OA589" s="6"/>
      <c r="OB589" s="46"/>
      <c r="OC589" s="4"/>
      <c r="OD589" s="6"/>
    </row>
    <row r="590" spans="1:394" x14ac:dyDescent="0.25">
      <c r="A590" s="47"/>
      <c r="B590" s="48"/>
      <c r="C590" s="133"/>
      <c r="D590" s="133"/>
      <c r="E590" s="133"/>
      <c r="F590" s="133"/>
      <c r="G590" s="133"/>
      <c r="H590" s="133"/>
      <c r="I590" s="133"/>
      <c r="J590" s="133"/>
      <c r="K590" s="133"/>
      <c r="L590" s="133"/>
      <c r="NW590" s="6"/>
      <c r="NX590" s="6"/>
      <c r="NY590" s="6"/>
      <c r="NZ590" s="6"/>
      <c r="OA590" s="6"/>
      <c r="OB590" s="46"/>
      <c r="OC590" s="4"/>
      <c r="OD590" s="6"/>
    </row>
    <row r="591" spans="1:394" x14ac:dyDescent="0.25">
      <c r="A591" s="47"/>
      <c r="B591" s="48"/>
      <c r="C591" s="133"/>
      <c r="D591" s="133"/>
      <c r="E591" s="133"/>
      <c r="F591" s="133"/>
      <c r="G591" s="133"/>
      <c r="H591" s="133"/>
      <c r="I591" s="133"/>
      <c r="J591" s="133"/>
      <c r="K591" s="133"/>
      <c r="L591" s="133"/>
      <c r="NW591" s="6"/>
      <c r="NX591" s="6"/>
      <c r="NY591" s="6"/>
      <c r="NZ591" s="6"/>
      <c r="OA591" s="6"/>
      <c r="OB591" s="46"/>
      <c r="OC591" s="4"/>
      <c r="OD591" s="6"/>
    </row>
    <row r="592" spans="1:394" x14ac:dyDescent="0.25">
      <c r="A592" s="47"/>
      <c r="B592" s="48"/>
      <c r="C592" s="133"/>
      <c r="D592" s="133"/>
      <c r="E592" s="133"/>
      <c r="F592" s="133"/>
      <c r="G592" s="133"/>
      <c r="H592" s="133"/>
      <c r="I592" s="133"/>
      <c r="J592" s="133"/>
      <c r="K592" s="133"/>
      <c r="L592" s="133"/>
      <c r="NW592" s="6"/>
      <c r="NX592" s="6"/>
      <c r="NY592" s="6"/>
      <c r="NZ592" s="6"/>
      <c r="OA592" s="6"/>
      <c r="OB592" s="46"/>
      <c r="OC592" s="4"/>
      <c r="OD592" s="6"/>
    </row>
    <row r="593" spans="1:394" x14ac:dyDescent="0.25">
      <c r="A593" s="47"/>
      <c r="B593" s="48"/>
      <c r="C593" s="133"/>
      <c r="D593" s="133"/>
      <c r="E593" s="133"/>
      <c r="F593" s="133"/>
      <c r="G593" s="133"/>
      <c r="H593" s="133"/>
      <c r="I593" s="133"/>
      <c r="J593" s="133"/>
      <c r="K593" s="133"/>
      <c r="L593" s="133"/>
      <c r="NW593" s="6"/>
      <c r="NX593" s="6"/>
      <c r="NY593" s="6"/>
      <c r="NZ593" s="6"/>
      <c r="OA593" s="6"/>
      <c r="OB593" s="46"/>
      <c r="OC593" s="4"/>
      <c r="OD593" s="6"/>
    </row>
    <row r="594" spans="1:394" x14ac:dyDescent="0.25">
      <c r="A594" s="47"/>
      <c r="B594" s="48"/>
      <c r="C594" s="133"/>
      <c r="D594" s="133"/>
      <c r="E594" s="133"/>
      <c r="F594" s="133"/>
      <c r="G594" s="133"/>
      <c r="H594" s="133"/>
      <c r="I594" s="133"/>
      <c r="J594" s="133"/>
      <c r="K594" s="133"/>
      <c r="L594" s="133"/>
      <c r="NW594" s="6"/>
      <c r="NX594" s="6"/>
      <c r="NY594" s="6"/>
      <c r="NZ594" s="6"/>
      <c r="OA594" s="6"/>
      <c r="OB594" s="46"/>
      <c r="OC594" s="4"/>
      <c r="OD594" s="6"/>
    </row>
    <row r="595" spans="1:394" x14ac:dyDescent="0.25">
      <c r="A595" s="47"/>
      <c r="B595" s="48"/>
      <c r="C595" s="133"/>
      <c r="D595" s="133"/>
      <c r="E595" s="133"/>
      <c r="F595" s="133"/>
      <c r="G595" s="133"/>
      <c r="H595" s="133"/>
      <c r="I595" s="133"/>
      <c r="J595" s="133"/>
      <c r="K595" s="133"/>
      <c r="L595" s="133"/>
      <c r="NW595" s="6"/>
      <c r="NX595" s="6"/>
      <c r="NY595" s="6"/>
      <c r="NZ595" s="6"/>
      <c r="OA595" s="6"/>
      <c r="OB595" s="46"/>
      <c r="OC595" s="4"/>
      <c r="OD595" s="6"/>
    </row>
    <row r="596" spans="1:394" x14ac:dyDescent="0.25">
      <c r="A596" s="47"/>
      <c r="B596" s="48"/>
      <c r="C596" s="133"/>
      <c r="D596" s="133"/>
      <c r="E596" s="133"/>
      <c r="F596" s="133"/>
      <c r="G596" s="133"/>
      <c r="H596" s="133"/>
      <c r="I596" s="133"/>
      <c r="J596" s="133"/>
      <c r="K596" s="133"/>
      <c r="L596" s="133"/>
      <c r="NW596" s="6"/>
      <c r="NX596" s="6"/>
      <c r="NY596" s="6"/>
      <c r="NZ596" s="6"/>
      <c r="OA596" s="6"/>
      <c r="OB596" s="46"/>
      <c r="OC596" s="4"/>
      <c r="OD596" s="6"/>
    </row>
    <row r="597" spans="1:394" x14ac:dyDescent="0.25">
      <c r="A597" s="47"/>
      <c r="B597" s="48"/>
      <c r="C597" s="133"/>
      <c r="D597" s="133"/>
      <c r="E597" s="133"/>
      <c r="F597" s="133"/>
      <c r="G597" s="133"/>
      <c r="H597" s="133"/>
      <c r="I597" s="133"/>
      <c r="J597" s="133"/>
      <c r="K597" s="133"/>
      <c r="L597" s="133"/>
      <c r="NW597" s="6"/>
      <c r="NX597" s="6"/>
      <c r="NY597" s="6"/>
      <c r="NZ597" s="6"/>
      <c r="OA597" s="6"/>
      <c r="OB597" s="46"/>
      <c r="OC597" s="4"/>
      <c r="OD597" s="6"/>
    </row>
    <row r="598" spans="1:394" x14ac:dyDescent="0.25">
      <c r="A598" s="47"/>
      <c r="B598" s="48"/>
      <c r="C598" s="133"/>
      <c r="D598" s="133"/>
      <c r="E598" s="133"/>
      <c r="F598" s="133"/>
      <c r="G598" s="133"/>
      <c r="H598" s="133"/>
      <c r="I598" s="133"/>
      <c r="J598" s="133"/>
      <c r="K598" s="133"/>
      <c r="L598" s="133"/>
      <c r="NW598" s="6"/>
      <c r="NX598" s="6"/>
      <c r="NY598" s="6"/>
      <c r="NZ598" s="6"/>
      <c r="OA598" s="6"/>
      <c r="OB598" s="46"/>
      <c r="OC598" s="4"/>
      <c r="OD598" s="6"/>
    </row>
    <row r="599" spans="1:394" x14ac:dyDescent="0.25">
      <c r="A599" s="47"/>
      <c r="B599" s="48"/>
      <c r="C599" s="133"/>
      <c r="D599" s="133"/>
      <c r="E599" s="133"/>
      <c r="F599" s="133"/>
      <c r="G599" s="133"/>
      <c r="H599" s="133"/>
      <c r="I599" s="133"/>
      <c r="J599" s="133"/>
      <c r="K599" s="133"/>
      <c r="L599" s="133"/>
      <c r="NW599" s="6"/>
      <c r="NX599" s="6"/>
      <c r="NY599" s="6"/>
      <c r="NZ599" s="6"/>
      <c r="OA599" s="6"/>
      <c r="OB599" s="46"/>
      <c r="OC599" s="4"/>
      <c r="OD599" s="6"/>
    </row>
    <row r="600" spans="1:394" x14ac:dyDescent="0.25">
      <c r="A600" s="47"/>
      <c r="B600" s="48"/>
      <c r="C600" s="133"/>
      <c r="D600" s="133"/>
      <c r="E600" s="133"/>
      <c r="F600" s="133"/>
      <c r="G600" s="133"/>
      <c r="H600" s="133"/>
      <c r="I600" s="133"/>
      <c r="J600" s="133"/>
      <c r="K600" s="133"/>
      <c r="L600" s="133"/>
      <c r="NW600" s="6"/>
      <c r="NX600" s="6"/>
      <c r="NY600" s="6"/>
      <c r="NZ600" s="6"/>
      <c r="OA600" s="6"/>
      <c r="OB600" s="46"/>
      <c r="OC600" s="4"/>
      <c r="OD600" s="6"/>
    </row>
    <row r="601" spans="1:394" x14ac:dyDescent="0.25">
      <c r="A601" s="47"/>
      <c r="B601" s="48"/>
      <c r="C601" s="133"/>
      <c r="D601" s="133"/>
      <c r="E601" s="133"/>
      <c r="F601" s="133"/>
      <c r="G601" s="133"/>
      <c r="H601" s="133"/>
      <c r="I601" s="133"/>
      <c r="J601" s="133"/>
      <c r="K601" s="133"/>
      <c r="L601" s="133"/>
      <c r="NW601" s="6"/>
      <c r="NX601" s="6"/>
      <c r="NY601" s="6"/>
      <c r="NZ601" s="6"/>
      <c r="OA601" s="6"/>
      <c r="OB601" s="46"/>
      <c r="OC601" s="4"/>
      <c r="OD601" s="6"/>
    </row>
    <row r="602" spans="1:394" x14ac:dyDescent="0.25">
      <c r="A602" s="47"/>
      <c r="B602" s="48"/>
      <c r="C602" s="133"/>
      <c r="D602" s="133"/>
      <c r="E602" s="133"/>
      <c r="F602" s="133"/>
      <c r="G602" s="133"/>
      <c r="H602" s="133"/>
      <c r="I602" s="133"/>
      <c r="J602" s="133"/>
      <c r="K602" s="133"/>
      <c r="L602" s="133"/>
      <c r="NW602" s="6"/>
      <c r="NX602" s="6"/>
      <c r="NY602" s="6"/>
      <c r="NZ602" s="6"/>
      <c r="OA602" s="6"/>
      <c r="OB602" s="46"/>
      <c r="OC602" s="4"/>
      <c r="OD602" s="6"/>
    </row>
    <row r="603" spans="1:394" x14ac:dyDescent="0.25">
      <c r="A603" s="47"/>
      <c r="B603" s="48"/>
      <c r="C603" s="133"/>
      <c r="D603" s="133"/>
      <c r="E603" s="133"/>
      <c r="F603" s="133"/>
      <c r="G603" s="133"/>
      <c r="H603" s="133"/>
      <c r="I603" s="133"/>
      <c r="J603" s="133"/>
      <c r="K603" s="133"/>
      <c r="L603" s="133"/>
      <c r="NW603" s="6"/>
      <c r="NX603" s="6"/>
      <c r="NY603" s="6"/>
      <c r="NZ603" s="6"/>
      <c r="OA603" s="6"/>
      <c r="OB603" s="46"/>
      <c r="OC603" s="4"/>
      <c r="OD603" s="6"/>
    </row>
    <row r="604" spans="1:394" x14ac:dyDescent="0.25">
      <c r="A604" s="47"/>
      <c r="B604" s="48"/>
      <c r="C604" s="133"/>
      <c r="D604" s="133"/>
      <c r="E604" s="133"/>
      <c r="F604" s="133"/>
      <c r="G604" s="133"/>
      <c r="H604" s="133"/>
      <c r="I604" s="133"/>
      <c r="J604" s="133"/>
      <c r="K604" s="133"/>
      <c r="L604" s="133"/>
      <c r="NW604" s="6"/>
      <c r="NX604" s="6"/>
      <c r="NY604" s="6"/>
      <c r="NZ604" s="6"/>
      <c r="OA604" s="6"/>
      <c r="OB604" s="46"/>
      <c r="OC604" s="4"/>
      <c r="OD604" s="6"/>
    </row>
    <row r="605" spans="1:394" x14ac:dyDescent="0.25">
      <c r="A605" s="47"/>
      <c r="B605" s="48"/>
      <c r="C605" s="133"/>
      <c r="D605" s="133"/>
      <c r="E605" s="133"/>
      <c r="F605" s="133"/>
      <c r="G605" s="133"/>
      <c r="H605" s="133"/>
      <c r="I605" s="133"/>
      <c r="J605" s="133"/>
      <c r="K605" s="133"/>
      <c r="L605" s="133"/>
      <c r="NW605" s="6"/>
      <c r="NX605" s="6"/>
      <c r="NY605" s="6"/>
      <c r="NZ605" s="6"/>
      <c r="OA605" s="6"/>
      <c r="OB605" s="46"/>
      <c r="OC605" s="4"/>
      <c r="OD605" s="6"/>
    </row>
    <row r="606" spans="1:394" x14ac:dyDescent="0.25">
      <c r="A606" s="47"/>
      <c r="B606" s="48"/>
      <c r="C606" s="133"/>
      <c r="D606" s="133"/>
      <c r="E606" s="133"/>
      <c r="F606" s="133"/>
      <c r="G606" s="133"/>
      <c r="H606" s="133"/>
      <c r="I606" s="133"/>
      <c r="J606" s="133"/>
      <c r="K606" s="133"/>
      <c r="L606" s="133"/>
      <c r="NW606" s="6"/>
      <c r="NX606" s="6"/>
      <c r="NY606" s="6"/>
      <c r="NZ606" s="6"/>
      <c r="OA606" s="6"/>
      <c r="OB606" s="46"/>
      <c r="OC606" s="4"/>
      <c r="OD606" s="6"/>
    </row>
    <row r="607" spans="1:394" x14ac:dyDescent="0.25">
      <c r="A607" s="47"/>
      <c r="B607" s="48"/>
      <c r="C607" s="133"/>
      <c r="D607" s="133"/>
      <c r="E607" s="133"/>
      <c r="F607" s="133"/>
      <c r="G607" s="133"/>
      <c r="H607" s="133"/>
      <c r="I607" s="133"/>
      <c r="J607" s="133"/>
      <c r="K607" s="133"/>
      <c r="L607" s="133"/>
      <c r="NW607" s="6"/>
      <c r="NX607" s="6"/>
      <c r="NY607" s="6"/>
      <c r="NZ607" s="6"/>
      <c r="OA607" s="6"/>
      <c r="OB607" s="46"/>
      <c r="OC607" s="4"/>
      <c r="OD607" s="6"/>
    </row>
    <row r="608" spans="1:394" x14ac:dyDescent="0.25">
      <c r="A608" s="47"/>
      <c r="B608" s="48"/>
      <c r="C608" s="133"/>
      <c r="D608" s="133"/>
      <c r="E608" s="133"/>
      <c r="F608" s="133"/>
      <c r="G608" s="133"/>
      <c r="H608" s="133"/>
      <c r="I608" s="133"/>
      <c r="J608" s="133"/>
      <c r="K608" s="133"/>
      <c r="L608" s="133"/>
      <c r="NW608" s="6"/>
      <c r="NX608" s="6"/>
      <c r="NY608" s="6"/>
      <c r="NZ608" s="6"/>
      <c r="OA608" s="6"/>
      <c r="OB608" s="46"/>
      <c r="OC608" s="4"/>
      <c r="OD608" s="6"/>
    </row>
    <row r="609" spans="1:394" x14ac:dyDescent="0.25">
      <c r="A609" s="47"/>
      <c r="B609" s="48"/>
      <c r="C609" s="133"/>
      <c r="D609" s="133"/>
      <c r="E609" s="133"/>
      <c r="F609" s="133"/>
      <c r="G609" s="133"/>
      <c r="H609" s="133"/>
      <c r="I609" s="133"/>
      <c r="J609" s="133"/>
      <c r="K609" s="133"/>
      <c r="L609" s="133"/>
      <c r="NW609" s="6"/>
      <c r="NX609" s="6"/>
      <c r="NY609" s="6"/>
      <c r="NZ609" s="6"/>
      <c r="OA609" s="6"/>
      <c r="OB609" s="46"/>
      <c r="OC609" s="4"/>
      <c r="OD609" s="6"/>
    </row>
    <row r="610" spans="1:394" x14ac:dyDescent="0.25">
      <c r="A610" s="47"/>
      <c r="B610" s="48"/>
      <c r="C610" s="133"/>
      <c r="D610" s="133"/>
      <c r="E610" s="133"/>
      <c r="F610" s="133"/>
      <c r="G610" s="133"/>
      <c r="H610" s="133"/>
      <c r="I610" s="133"/>
      <c r="J610" s="133"/>
      <c r="K610" s="133"/>
      <c r="L610" s="133"/>
      <c r="NW610" s="6"/>
      <c r="NX610" s="6"/>
      <c r="NY610" s="6"/>
      <c r="NZ610" s="6"/>
      <c r="OA610" s="6"/>
      <c r="OB610" s="46"/>
      <c r="OC610" s="4"/>
      <c r="OD610" s="6"/>
    </row>
    <row r="611" spans="1:394" x14ac:dyDescent="0.25">
      <c r="A611" s="47"/>
      <c r="B611" s="48"/>
      <c r="C611" s="133"/>
      <c r="D611" s="133"/>
      <c r="E611" s="133"/>
      <c r="F611" s="133"/>
      <c r="G611" s="133"/>
      <c r="H611" s="133"/>
      <c r="I611" s="133"/>
      <c r="J611" s="133"/>
      <c r="K611" s="133"/>
      <c r="L611" s="133"/>
      <c r="NW611" s="6"/>
      <c r="NX611" s="6"/>
      <c r="NY611" s="6"/>
      <c r="NZ611" s="6"/>
      <c r="OA611" s="6"/>
      <c r="OB611" s="46"/>
      <c r="OC611" s="4"/>
      <c r="OD611" s="6"/>
    </row>
    <row r="612" spans="1:394" x14ac:dyDescent="0.25">
      <c r="A612" s="47"/>
      <c r="B612" s="48"/>
      <c r="C612" s="133"/>
      <c r="D612" s="133"/>
      <c r="E612" s="133"/>
      <c r="F612" s="133"/>
      <c r="G612" s="133"/>
      <c r="H612" s="133"/>
      <c r="I612" s="133"/>
      <c r="J612" s="133"/>
      <c r="K612" s="133"/>
      <c r="L612" s="133"/>
      <c r="NW612" s="6"/>
      <c r="NX612" s="6"/>
      <c r="NY612" s="6"/>
      <c r="NZ612" s="6"/>
      <c r="OA612" s="6"/>
      <c r="OB612" s="46"/>
      <c r="OC612" s="4"/>
      <c r="OD612" s="6"/>
    </row>
    <row r="613" spans="1:394" x14ac:dyDescent="0.25">
      <c r="A613" s="47"/>
      <c r="B613" s="48"/>
      <c r="C613" s="133"/>
      <c r="D613" s="133"/>
      <c r="E613" s="133"/>
      <c r="F613" s="133"/>
      <c r="G613" s="133"/>
      <c r="H613" s="133"/>
      <c r="I613" s="133"/>
      <c r="J613" s="133"/>
      <c r="K613" s="133"/>
      <c r="L613" s="133"/>
      <c r="NW613" s="6"/>
      <c r="NX613" s="6"/>
      <c r="NY613" s="6"/>
      <c r="NZ613" s="6"/>
      <c r="OA613" s="6"/>
      <c r="OB613" s="46"/>
      <c r="OC613" s="4"/>
      <c r="OD613" s="6"/>
    </row>
    <row r="614" spans="1:394" x14ac:dyDescent="0.25">
      <c r="A614" s="47"/>
      <c r="B614" s="48"/>
      <c r="C614" s="133"/>
      <c r="D614" s="133"/>
      <c r="E614" s="133"/>
      <c r="F614" s="133"/>
      <c r="G614" s="133"/>
      <c r="H614" s="133"/>
      <c r="I614" s="133"/>
      <c r="J614" s="133"/>
      <c r="K614" s="133"/>
      <c r="L614" s="133"/>
      <c r="NW614" s="6"/>
      <c r="NX614" s="6"/>
      <c r="NY614" s="6"/>
      <c r="NZ614" s="6"/>
      <c r="OA614" s="6"/>
      <c r="OB614" s="46"/>
      <c r="OC614" s="4"/>
      <c r="OD614" s="6"/>
    </row>
    <row r="615" spans="1:394" x14ac:dyDescent="0.25">
      <c r="A615" s="47"/>
      <c r="B615" s="48"/>
      <c r="C615" s="133"/>
      <c r="D615" s="133"/>
      <c r="E615" s="133"/>
      <c r="F615" s="133"/>
      <c r="G615" s="133"/>
      <c r="H615" s="133"/>
      <c r="I615" s="133"/>
      <c r="J615" s="133"/>
      <c r="K615" s="133"/>
      <c r="L615" s="133"/>
      <c r="NW615" s="6"/>
      <c r="NX615" s="6"/>
      <c r="NY615" s="6"/>
      <c r="NZ615" s="6"/>
      <c r="OA615" s="6"/>
      <c r="OB615" s="46"/>
      <c r="OC615" s="4"/>
      <c r="OD615" s="6"/>
    </row>
    <row r="616" spans="1:394" x14ac:dyDescent="0.25">
      <c r="A616" s="47"/>
      <c r="B616" s="48"/>
      <c r="C616" s="133"/>
      <c r="D616" s="133"/>
      <c r="E616" s="133"/>
      <c r="F616" s="133"/>
      <c r="G616" s="133"/>
      <c r="H616" s="133"/>
      <c r="I616" s="133"/>
      <c r="J616" s="133"/>
      <c r="K616" s="133"/>
      <c r="L616" s="133"/>
      <c r="NW616" s="6"/>
      <c r="NX616" s="6"/>
      <c r="NY616" s="6"/>
      <c r="NZ616" s="6"/>
      <c r="OA616" s="6"/>
      <c r="OB616" s="46"/>
      <c r="OC616" s="4"/>
      <c r="OD616" s="6"/>
    </row>
    <row r="617" spans="1:394" x14ac:dyDescent="0.25">
      <c r="A617" s="47"/>
      <c r="B617" s="48"/>
      <c r="C617" s="133"/>
      <c r="D617" s="133"/>
      <c r="E617" s="133"/>
      <c r="F617" s="133"/>
      <c r="G617" s="133"/>
      <c r="H617" s="133"/>
      <c r="I617" s="133"/>
      <c r="J617" s="133"/>
      <c r="K617" s="133"/>
      <c r="L617" s="133"/>
      <c r="NW617" s="6"/>
      <c r="NX617" s="6"/>
      <c r="NY617" s="6"/>
      <c r="NZ617" s="6"/>
      <c r="OA617" s="6"/>
      <c r="OB617" s="46"/>
      <c r="OC617" s="4"/>
      <c r="OD617" s="6"/>
    </row>
    <row r="618" spans="1:394" x14ac:dyDescent="0.25">
      <c r="A618" s="47"/>
      <c r="B618" s="48"/>
      <c r="C618" s="133"/>
      <c r="D618" s="133"/>
      <c r="E618" s="133"/>
      <c r="F618" s="133"/>
      <c r="G618" s="133"/>
      <c r="H618" s="133"/>
      <c r="I618" s="133"/>
      <c r="J618" s="133"/>
      <c r="K618" s="133"/>
      <c r="L618" s="133"/>
      <c r="NW618" s="6"/>
      <c r="NX618" s="6"/>
      <c r="NY618" s="6"/>
      <c r="NZ618" s="6"/>
      <c r="OA618" s="6"/>
      <c r="OB618" s="46"/>
      <c r="OC618" s="4"/>
      <c r="OD618" s="6"/>
    </row>
    <row r="619" spans="1:394" x14ac:dyDescent="0.25">
      <c r="A619" s="47"/>
      <c r="B619" s="48"/>
      <c r="C619" s="133"/>
      <c r="D619" s="133"/>
      <c r="E619" s="133"/>
      <c r="F619" s="133"/>
      <c r="G619" s="133"/>
      <c r="H619" s="133"/>
      <c r="I619" s="133"/>
      <c r="J619" s="133"/>
      <c r="K619" s="133"/>
      <c r="L619" s="133"/>
      <c r="NW619" s="6"/>
      <c r="NX619" s="6"/>
      <c r="NY619" s="6"/>
      <c r="NZ619" s="6"/>
      <c r="OA619" s="6"/>
      <c r="OB619" s="46"/>
      <c r="OC619" s="4"/>
      <c r="OD619" s="6"/>
    </row>
    <row r="620" spans="1:394" x14ac:dyDescent="0.25">
      <c r="A620" s="47"/>
      <c r="B620" s="48"/>
      <c r="C620" s="133"/>
      <c r="D620" s="133"/>
      <c r="E620" s="133"/>
      <c r="F620" s="133"/>
      <c r="G620" s="133"/>
      <c r="H620" s="133"/>
      <c r="I620" s="133"/>
      <c r="J620" s="133"/>
      <c r="K620" s="133"/>
      <c r="L620" s="133"/>
      <c r="NW620" s="6"/>
      <c r="NX620" s="6"/>
      <c r="NY620" s="6"/>
      <c r="NZ620" s="6"/>
      <c r="OA620" s="6"/>
      <c r="OB620" s="46"/>
      <c r="OC620" s="4"/>
      <c r="OD620" s="6"/>
    </row>
    <row r="621" spans="1:394" x14ac:dyDescent="0.25">
      <c r="A621" s="47"/>
      <c r="B621" s="48"/>
      <c r="C621" s="133"/>
      <c r="D621" s="133"/>
      <c r="E621" s="133"/>
      <c r="F621" s="133"/>
      <c r="G621" s="133"/>
      <c r="H621" s="133"/>
      <c r="I621" s="133"/>
      <c r="J621" s="133"/>
      <c r="K621" s="133"/>
      <c r="L621" s="133"/>
      <c r="NW621" s="6"/>
      <c r="NX621" s="6"/>
      <c r="NY621" s="6"/>
      <c r="NZ621" s="6"/>
      <c r="OA621" s="6"/>
      <c r="OB621" s="46"/>
      <c r="OC621" s="4"/>
      <c r="OD621" s="6"/>
    </row>
    <row r="622" spans="1:394" x14ac:dyDescent="0.25">
      <c r="A622" s="47"/>
      <c r="B622" s="48"/>
      <c r="C622" s="133"/>
      <c r="D622" s="133"/>
      <c r="E622" s="133"/>
      <c r="F622" s="133"/>
      <c r="G622" s="133"/>
      <c r="H622" s="133"/>
      <c r="I622" s="133"/>
      <c r="J622" s="133"/>
      <c r="K622" s="133"/>
      <c r="L622" s="133"/>
      <c r="NW622" s="6"/>
      <c r="NX622" s="6"/>
      <c r="NY622" s="6"/>
      <c r="NZ622" s="6"/>
      <c r="OA622" s="6"/>
      <c r="OB622" s="46"/>
      <c r="OC622" s="4"/>
      <c r="OD622" s="6"/>
    </row>
    <row r="623" spans="1:394" x14ac:dyDescent="0.25">
      <c r="A623" s="47"/>
      <c r="B623" s="48"/>
      <c r="C623" s="133"/>
      <c r="D623" s="133"/>
      <c r="E623" s="133"/>
      <c r="F623" s="133"/>
      <c r="G623" s="133"/>
      <c r="H623" s="133"/>
      <c r="I623" s="133"/>
      <c r="J623" s="133"/>
      <c r="K623" s="133"/>
      <c r="L623" s="133"/>
      <c r="NW623" s="6"/>
      <c r="NX623" s="6"/>
      <c r="NY623" s="6"/>
      <c r="NZ623" s="6"/>
      <c r="OA623" s="6"/>
      <c r="OB623" s="46"/>
      <c r="OC623" s="4"/>
      <c r="OD623" s="6"/>
    </row>
    <row r="624" spans="1:394" x14ac:dyDescent="0.25">
      <c r="A624" s="47"/>
      <c r="B624" s="48"/>
      <c r="C624" s="133"/>
      <c r="D624" s="133"/>
      <c r="E624" s="133"/>
      <c r="F624" s="133"/>
      <c r="G624" s="133"/>
      <c r="H624" s="133"/>
      <c r="I624" s="133"/>
      <c r="J624" s="133"/>
      <c r="K624" s="133"/>
      <c r="L624" s="133"/>
      <c r="NW624" s="6"/>
      <c r="NX624" s="6"/>
      <c r="NY624" s="6"/>
      <c r="NZ624" s="6"/>
      <c r="OA624" s="6"/>
      <c r="OB624" s="46"/>
      <c r="OC624" s="4"/>
      <c r="OD624" s="6"/>
    </row>
    <row r="625" spans="1:394" x14ac:dyDescent="0.25">
      <c r="A625" s="47"/>
      <c r="B625" s="48"/>
      <c r="C625" s="133"/>
      <c r="D625" s="133"/>
      <c r="E625" s="133"/>
      <c r="F625" s="133"/>
      <c r="G625" s="133"/>
      <c r="H625" s="133"/>
      <c r="I625" s="133"/>
      <c r="J625" s="133"/>
      <c r="K625" s="133"/>
      <c r="L625" s="133"/>
      <c r="NW625" s="6"/>
      <c r="NX625" s="6"/>
      <c r="NY625" s="6"/>
      <c r="NZ625" s="6"/>
      <c r="OA625" s="6"/>
      <c r="OB625" s="46"/>
      <c r="OC625" s="4"/>
      <c r="OD625" s="6"/>
    </row>
    <row r="626" spans="1:394" x14ac:dyDescent="0.25">
      <c r="A626" s="47"/>
      <c r="B626" s="48"/>
      <c r="C626" s="133"/>
      <c r="D626" s="133"/>
      <c r="E626" s="133"/>
      <c r="F626" s="133"/>
      <c r="G626" s="133"/>
      <c r="H626" s="133"/>
      <c r="I626" s="133"/>
      <c r="J626" s="133"/>
      <c r="K626" s="133"/>
      <c r="L626" s="133"/>
      <c r="NW626" s="6"/>
      <c r="NX626" s="6"/>
      <c r="NY626" s="6"/>
      <c r="NZ626" s="6"/>
      <c r="OA626" s="6"/>
      <c r="OB626" s="46"/>
      <c r="OC626" s="4"/>
      <c r="OD626" s="6"/>
    </row>
    <row r="627" spans="1:394" x14ac:dyDescent="0.25">
      <c r="A627" s="47"/>
      <c r="B627" s="48"/>
      <c r="C627" s="133"/>
      <c r="D627" s="133"/>
      <c r="E627" s="133"/>
      <c r="F627" s="133"/>
      <c r="G627" s="133"/>
      <c r="H627" s="133"/>
      <c r="I627" s="133"/>
      <c r="J627" s="133"/>
      <c r="K627" s="133"/>
      <c r="L627" s="133"/>
      <c r="NW627" s="6"/>
      <c r="NX627" s="6"/>
      <c r="NY627" s="6"/>
      <c r="NZ627" s="6"/>
      <c r="OA627" s="6"/>
      <c r="OB627" s="46"/>
      <c r="OC627" s="4"/>
      <c r="OD627" s="6"/>
    </row>
    <row r="628" spans="1:394" x14ac:dyDescent="0.25">
      <c r="A628" s="47"/>
      <c r="B628" s="48"/>
      <c r="C628" s="133"/>
      <c r="D628" s="133"/>
      <c r="E628" s="133"/>
      <c r="F628" s="133"/>
      <c r="G628" s="133"/>
      <c r="H628" s="133"/>
      <c r="I628" s="133"/>
      <c r="J628" s="133"/>
      <c r="K628" s="133"/>
      <c r="L628" s="133"/>
      <c r="NW628" s="6"/>
      <c r="NX628" s="6"/>
      <c r="NY628" s="6"/>
      <c r="NZ628" s="6"/>
      <c r="OA628" s="6"/>
      <c r="OB628" s="46"/>
      <c r="OC628" s="4"/>
      <c r="OD628" s="6"/>
    </row>
    <row r="629" spans="1:394" x14ac:dyDescent="0.25">
      <c r="A629" s="47"/>
      <c r="B629" s="48"/>
      <c r="C629" s="133"/>
      <c r="D629" s="133"/>
      <c r="E629" s="133"/>
      <c r="F629" s="133"/>
      <c r="G629" s="133"/>
      <c r="H629" s="133"/>
      <c r="I629" s="133"/>
      <c r="J629" s="133"/>
      <c r="K629" s="133"/>
      <c r="L629" s="133"/>
      <c r="NW629" s="6"/>
      <c r="NX629" s="6"/>
      <c r="NY629" s="6"/>
      <c r="NZ629" s="6"/>
      <c r="OA629" s="6"/>
      <c r="OB629" s="46"/>
      <c r="OC629" s="4"/>
      <c r="OD629" s="6"/>
    </row>
    <row r="630" spans="1:394" x14ac:dyDescent="0.25">
      <c r="A630" s="47"/>
      <c r="B630" s="48"/>
      <c r="C630" s="133"/>
      <c r="D630" s="133"/>
      <c r="E630" s="133"/>
      <c r="F630" s="133"/>
      <c r="G630" s="133"/>
      <c r="H630" s="133"/>
      <c r="I630" s="133"/>
      <c r="J630" s="133"/>
      <c r="K630" s="133"/>
      <c r="L630" s="133"/>
      <c r="NW630" s="6"/>
      <c r="NX630" s="6"/>
      <c r="NY630" s="6"/>
      <c r="NZ630" s="6"/>
      <c r="OA630" s="6"/>
      <c r="OB630" s="46"/>
      <c r="OC630" s="4"/>
      <c r="OD630" s="6"/>
    </row>
    <row r="631" spans="1:394" x14ac:dyDescent="0.25">
      <c r="A631" s="47"/>
      <c r="B631" s="48"/>
      <c r="C631" s="133"/>
      <c r="D631" s="133"/>
      <c r="E631" s="133"/>
      <c r="F631" s="133"/>
      <c r="G631" s="133"/>
      <c r="H631" s="133"/>
      <c r="I631" s="133"/>
      <c r="J631" s="133"/>
      <c r="K631" s="133"/>
      <c r="L631" s="133"/>
      <c r="NW631" s="6"/>
      <c r="NX631" s="6"/>
      <c r="NY631" s="6"/>
      <c r="NZ631" s="6"/>
      <c r="OA631" s="6"/>
      <c r="OB631" s="46"/>
      <c r="OC631" s="4"/>
      <c r="OD631" s="6"/>
    </row>
    <row r="632" spans="1:394" x14ac:dyDescent="0.25">
      <c r="A632" s="47"/>
      <c r="B632" s="48"/>
      <c r="C632" s="133"/>
      <c r="D632" s="133"/>
      <c r="E632" s="133"/>
      <c r="F632" s="133"/>
      <c r="G632" s="133"/>
      <c r="H632" s="133"/>
      <c r="I632" s="133"/>
      <c r="J632" s="133"/>
      <c r="K632" s="133"/>
      <c r="L632" s="133"/>
      <c r="NW632" s="6"/>
      <c r="NX632" s="6"/>
      <c r="NY632" s="6"/>
      <c r="NZ632" s="6"/>
      <c r="OA632" s="6"/>
      <c r="OB632" s="46"/>
      <c r="OC632" s="4"/>
      <c r="OD632" s="6"/>
    </row>
    <row r="633" spans="1:394" x14ac:dyDescent="0.25">
      <c r="A633" s="47"/>
      <c r="B633" s="48"/>
      <c r="C633" s="133"/>
      <c r="D633" s="133"/>
      <c r="E633" s="133"/>
      <c r="F633" s="133"/>
      <c r="G633" s="133"/>
      <c r="H633" s="133"/>
      <c r="I633" s="133"/>
      <c r="J633" s="133"/>
      <c r="K633" s="133"/>
      <c r="L633" s="133"/>
      <c r="NW633" s="6"/>
      <c r="NX633" s="6"/>
      <c r="NY633" s="6"/>
      <c r="NZ633" s="6"/>
      <c r="OA633" s="6"/>
      <c r="OB633" s="46"/>
      <c r="OC633" s="4"/>
      <c r="OD633" s="6"/>
    </row>
    <row r="634" spans="1:394" x14ac:dyDescent="0.25">
      <c r="A634" s="47"/>
      <c r="B634" s="48"/>
      <c r="C634" s="133"/>
      <c r="D634" s="133"/>
      <c r="E634" s="133"/>
      <c r="F634" s="133"/>
      <c r="G634" s="133"/>
      <c r="H634" s="133"/>
      <c r="I634" s="133"/>
      <c r="J634" s="133"/>
      <c r="K634" s="133"/>
      <c r="L634" s="133"/>
      <c r="NW634" s="6"/>
      <c r="NX634" s="6"/>
      <c r="NY634" s="6"/>
      <c r="NZ634" s="6"/>
      <c r="OA634" s="6"/>
      <c r="OB634" s="46"/>
      <c r="OC634" s="4"/>
      <c r="OD634" s="6"/>
    </row>
    <row r="635" spans="1:394" x14ac:dyDescent="0.25">
      <c r="A635" s="47"/>
      <c r="B635" s="48"/>
      <c r="C635" s="133"/>
      <c r="D635" s="133"/>
      <c r="E635" s="133"/>
      <c r="F635" s="133"/>
      <c r="G635" s="133"/>
      <c r="H635" s="133"/>
      <c r="I635" s="133"/>
      <c r="J635" s="133"/>
      <c r="K635" s="133"/>
      <c r="L635" s="133"/>
      <c r="NW635" s="6"/>
      <c r="NX635" s="6"/>
      <c r="NY635" s="6"/>
      <c r="NZ635" s="6"/>
      <c r="OA635" s="6"/>
      <c r="OB635" s="46"/>
      <c r="OC635" s="4"/>
      <c r="OD635" s="6"/>
    </row>
    <row r="636" spans="1:394" x14ac:dyDescent="0.25">
      <c r="A636" s="47"/>
      <c r="B636" s="48"/>
      <c r="C636" s="133"/>
      <c r="D636" s="133"/>
      <c r="E636" s="133"/>
      <c r="F636" s="133"/>
      <c r="G636" s="133"/>
      <c r="H636" s="133"/>
      <c r="I636" s="133"/>
      <c r="J636" s="133"/>
      <c r="K636" s="133"/>
      <c r="L636" s="133"/>
      <c r="NW636" s="6"/>
      <c r="NX636" s="6"/>
      <c r="NY636" s="6"/>
      <c r="NZ636" s="6"/>
      <c r="OA636" s="6"/>
      <c r="OB636" s="46"/>
      <c r="OC636" s="4"/>
      <c r="OD636" s="6"/>
    </row>
    <row r="637" spans="1:394" x14ac:dyDescent="0.25">
      <c r="A637" s="47"/>
      <c r="B637" s="48"/>
      <c r="C637" s="133"/>
      <c r="D637" s="133"/>
      <c r="E637" s="133"/>
      <c r="F637" s="133"/>
      <c r="G637" s="133"/>
      <c r="H637" s="133"/>
      <c r="I637" s="133"/>
      <c r="J637" s="133"/>
      <c r="K637" s="133"/>
      <c r="L637" s="133"/>
      <c r="NW637" s="6"/>
      <c r="NX637" s="6"/>
      <c r="NY637" s="6"/>
      <c r="NZ637" s="6"/>
      <c r="OA637" s="6"/>
      <c r="OB637" s="46"/>
      <c r="OC637" s="4"/>
      <c r="OD637" s="6"/>
    </row>
    <row r="638" spans="1:394" x14ac:dyDescent="0.25">
      <c r="A638" s="47"/>
      <c r="B638" s="48"/>
      <c r="C638" s="133"/>
      <c r="D638" s="133"/>
      <c r="E638" s="133"/>
      <c r="F638" s="133"/>
      <c r="G638" s="133"/>
      <c r="H638" s="133"/>
      <c r="I638" s="133"/>
      <c r="J638" s="133"/>
      <c r="K638" s="133"/>
      <c r="L638" s="133"/>
      <c r="NW638" s="6"/>
      <c r="NX638" s="6"/>
      <c r="NY638" s="6"/>
      <c r="NZ638" s="6"/>
      <c r="OA638" s="6"/>
      <c r="OB638" s="46"/>
      <c r="OC638" s="4"/>
      <c r="OD638" s="6"/>
    </row>
    <row r="639" spans="1:394" x14ac:dyDescent="0.25">
      <c r="A639" s="47"/>
      <c r="B639" s="48"/>
      <c r="C639" s="133"/>
      <c r="D639" s="133"/>
      <c r="E639" s="133"/>
      <c r="F639" s="133"/>
      <c r="G639" s="133"/>
      <c r="H639" s="133"/>
      <c r="I639" s="133"/>
      <c r="J639" s="133"/>
      <c r="K639" s="133"/>
      <c r="L639" s="133"/>
      <c r="NW639" s="6"/>
      <c r="NX639" s="6"/>
      <c r="NY639" s="6"/>
      <c r="NZ639" s="6"/>
      <c r="OA639" s="6"/>
      <c r="OB639" s="46"/>
      <c r="OC639" s="4"/>
      <c r="OD639" s="6"/>
    </row>
    <row r="640" spans="1:394" x14ac:dyDescent="0.25">
      <c r="A640" s="47"/>
      <c r="B640" s="48"/>
      <c r="C640" s="133"/>
      <c r="D640" s="133"/>
      <c r="E640" s="133"/>
      <c r="F640" s="133"/>
      <c r="G640" s="133"/>
      <c r="H640" s="133"/>
      <c r="I640" s="133"/>
      <c r="J640" s="133"/>
      <c r="K640" s="133"/>
      <c r="L640" s="133"/>
      <c r="NW640" s="6"/>
      <c r="NX640" s="6"/>
      <c r="NY640" s="6"/>
      <c r="NZ640" s="6"/>
      <c r="OA640" s="6"/>
      <c r="OB640" s="46"/>
      <c r="OC640" s="4"/>
      <c r="OD640" s="6"/>
    </row>
    <row r="641" spans="1:394" x14ac:dyDescent="0.25">
      <c r="A641" s="47"/>
      <c r="B641" s="48"/>
      <c r="C641" s="133"/>
      <c r="D641" s="133"/>
      <c r="E641" s="133"/>
      <c r="F641" s="133"/>
      <c r="G641" s="133"/>
      <c r="H641" s="133"/>
      <c r="I641" s="133"/>
      <c r="J641" s="133"/>
      <c r="K641" s="133"/>
      <c r="L641" s="133"/>
      <c r="NW641" s="6"/>
      <c r="NX641" s="6"/>
      <c r="NY641" s="6"/>
      <c r="NZ641" s="6"/>
      <c r="OA641" s="6"/>
      <c r="OB641" s="46"/>
      <c r="OC641" s="4"/>
      <c r="OD641" s="6"/>
    </row>
    <row r="642" spans="1:394" x14ac:dyDescent="0.25">
      <c r="A642" s="47"/>
      <c r="B642" s="48"/>
      <c r="C642" s="133"/>
      <c r="D642" s="133"/>
      <c r="E642" s="133"/>
      <c r="F642" s="133"/>
      <c r="G642" s="133"/>
      <c r="H642" s="133"/>
      <c r="I642" s="133"/>
      <c r="J642" s="133"/>
      <c r="K642" s="133"/>
      <c r="L642" s="133"/>
      <c r="NW642" s="6"/>
      <c r="NX642" s="6"/>
      <c r="NY642" s="6"/>
      <c r="NZ642" s="6"/>
      <c r="OA642" s="6"/>
      <c r="OB642" s="46"/>
      <c r="OC642" s="4"/>
      <c r="OD642" s="6"/>
    </row>
    <row r="643" spans="1:394" x14ac:dyDescent="0.25">
      <c r="A643" s="47"/>
      <c r="B643" s="48"/>
      <c r="C643" s="133"/>
      <c r="D643" s="133"/>
      <c r="E643" s="133"/>
      <c r="F643" s="133"/>
      <c r="G643" s="133"/>
      <c r="H643" s="133"/>
      <c r="I643" s="133"/>
      <c r="J643" s="133"/>
      <c r="K643" s="133"/>
      <c r="L643" s="133"/>
      <c r="NW643" s="6"/>
      <c r="NX643" s="6"/>
      <c r="NY643" s="6"/>
      <c r="NZ643" s="6"/>
      <c r="OA643" s="6"/>
      <c r="OB643" s="46"/>
      <c r="OC643" s="4"/>
      <c r="OD643" s="6"/>
    </row>
    <row r="644" spans="1:394" x14ac:dyDescent="0.25">
      <c r="A644" s="47"/>
      <c r="B644" s="48"/>
      <c r="C644" s="133"/>
      <c r="D644" s="133"/>
      <c r="E644" s="133"/>
      <c r="F644" s="133"/>
      <c r="G644" s="133"/>
      <c r="H644" s="133"/>
      <c r="I644" s="133"/>
      <c r="J644" s="133"/>
      <c r="K644" s="133"/>
      <c r="L644" s="133"/>
      <c r="NW644" s="6"/>
      <c r="NX644" s="6"/>
      <c r="NY644" s="6"/>
      <c r="NZ644" s="6"/>
      <c r="OA644" s="6"/>
      <c r="OB644" s="46"/>
      <c r="OC644" s="4"/>
      <c r="OD644" s="6"/>
    </row>
    <row r="645" spans="1:394" x14ac:dyDescent="0.25">
      <c r="A645" s="47"/>
      <c r="B645" s="48"/>
      <c r="C645" s="133"/>
      <c r="D645" s="133"/>
      <c r="E645" s="133"/>
      <c r="F645" s="133"/>
      <c r="G645" s="133"/>
      <c r="H645" s="133"/>
      <c r="I645" s="133"/>
      <c r="J645" s="133"/>
      <c r="K645" s="133"/>
      <c r="L645" s="133"/>
      <c r="NW645" s="6"/>
      <c r="NX645" s="6"/>
      <c r="NY645" s="6"/>
      <c r="NZ645" s="6"/>
      <c r="OA645" s="6"/>
      <c r="OB645" s="46"/>
      <c r="OC645" s="4"/>
      <c r="OD645" s="6"/>
    </row>
    <row r="646" spans="1:394" x14ac:dyDescent="0.25">
      <c r="A646" s="47"/>
      <c r="B646" s="48"/>
      <c r="C646" s="133"/>
      <c r="D646" s="133"/>
      <c r="E646" s="133"/>
      <c r="F646" s="133"/>
      <c r="G646" s="133"/>
      <c r="H646" s="133"/>
      <c r="I646" s="133"/>
      <c r="J646" s="133"/>
      <c r="K646" s="133"/>
      <c r="L646" s="133"/>
      <c r="NW646" s="6"/>
      <c r="NX646" s="6"/>
      <c r="NY646" s="6"/>
      <c r="NZ646" s="6"/>
      <c r="OA646" s="6"/>
      <c r="OB646" s="46"/>
      <c r="OC646" s="4"/>
      <c r="OD646" s="6"/>
    </row>
    <row r="647" spans="1:394" x14ac:dyDescent="0.25">
      <c r="A647" s="47"/>
      <c r="B647" s="48"/>
      <c r="C647" s="133"/>
      <c r="D647" s="133"/>
      <c r="E647" s="133"/>
      <c r="F647" s="133"/>
      <c r="G647" s="133"/>
      <c r="H647" s="133"/>
      <c r="I647" s="133"/>
      <c r="J647" s="133"/>
      <c r="K647" s="133"/>
      <c r="L647" s="133"/>
      <c r="NW647" s="6"/>
      <c r="NX647" s="6"/>
      <c r="NY647" s="6"/>
      <c r="NZ647" s="6"/>
      <c r="OA647" s="6"/>
      <c r="OB647" s="46"/>
      <c r="OC647" s="4"/>
      <c r="OD647" s="6"/>
    </row>
    <row r="648" spans="1:394" x14ac:dyDescent="0.25">
      <c r="A648" s="47"/>
      <c r="B648" s="48"/>
      <c r="C648" s="133"/>
      <c r="D648" s="133"/>
      <c r="E648" s="133"/>
      <c r="F648" s="133"/>
      <c r="G648" s="133"/>
      <c r="H648" s="133"/>
      <c r="I648" s="133"/>
      <c r="J648" s="133"/>
      <c r="K648" s="133"/>
      <c r="L648" s="133"/>
      <c r="NW648" s="6"/>
      <c r="NX648" s="6"/>
      <c r="NY648" s="6"/>
      <c r="NZ648" s="6"/>
      <c r="OA648" s="6"/>
      <c r="OB648" s="46"/>
      <c r="OC648" s="4"/>
      <c r="OD648" s="6"/>
    </row>
    <row r="649" spans="1:394" x14ac:dyDescent="0.25">
      <c r="A649" s="47"/>
      <c r="B649" s="48"/>
      <c r="C649" s="133"/>
      <c r="D649" s="133"/>
      <c r="E649" s="133"/>
      <c r="F649" s="133"/>
      <c r="G649" s="133"/>
      <c r="H649" s="133"/>
      <c r="I649" s="133"/>
      <c r="J649" s="133"/>
      <c r="K649" s="133"/>
      <c r="L649" s="133"/>
      <c r="NW649" s="6"/>
      <c r="NX649" s="6"/>
      <c r="NY649" s="6"/>
      <c r="NZ649" s="6"/>
      <c r="OA649" s="6"/>
      <c r="OB649" s="46"/>
      <c r="OC649" s="4"/>
      <c r="OD649" s="6"/>
    </row>
    <row r="650" spans="1:394" x14ac:dyDescent="0.25">
      <c r="A650" s="47"/>
      <c r="B650" s="48"/>
      <c r="C650" s="133"/>
      <c r="D650" s="133"/>
      <c r="E650" s="133"/>
      <c r="F650" s="133"/>
      <c r="G650" s="133"/>
      <c r="H650" s="133"/>
      <c r="I650" s="133"/>
      <c r="J650" s="133"/>
      <c r="K650" s="133"/>
      <c r="L650" s="133"/>
      <c r="NW650" s="6"/>
      <c r="NX650" s="6"/>
      <c r="NY650" s="6"/>
      <c r="NZ650" s="6"/>
      <c r="OA650" s="6"/>
      <c r="OB650" s="46"/>
      <c r="OC650" s="4"/>
      <c r="OD650" s="6"/>
    </row>
    <row r="651" spans="1:394" x14ac:dyDescent="0.25">
      <c r="A651" s="47"/>
      <c r="B651" s="48"/>
      <c r="C651" s="133"/>
      <c r="D651" s="133"/>
      <c r="E651" s="133"/>
      <c r="F651" s="133"/>
      <c r="G651" s="133"/>
      <c r="H651" s="133"/>
      <c r="I651" s="133"/>
      <c r="J651" s="133"/>
      <c r="K651" s="133"/>
      <c r="L651" s="133"/>
      <c r="NW651" s="6"/>
      <c r="NX651" s="6"/>
      <c r="NY651" s="6"/>
      <c r="NZ651" s="6"/>
      <c r="OA651" s="6"/>
      <c r="OB651" s="46"/>
      <c r="OC651" s="4"/>
      <c r="OD651" s="6"/>
    </row>
    <row r="652" spans="1:394" x14ac:dyDescent="0.25">
      <c r="A652" s="47"/>
      <c r="B652" s="48"/>
      <c r="C652" s="133"/>
      <c r="D652" s="133"/>
      <c r="E652" s="133"/>
      <c r="F652" s="133"/>
      <c r="G652" s="133"/>
      <c r="H652" s="133"/>
      <c r="I652" s="133"/>
      <c r="J652" s="133"/>
      <c r="K652" s="133"/>
      <c r="L652" s="133"/>
      <c r="NW652" s="6"/>
      <c r="NX652" s="6"/>
      <c r="NY652" s="6"/>
      <c r="NZ652" s="6"/>
      <c r="OA652" s="6"/>
      <c r="OB652" s="46"/>
      <c r="OC652" s="4"/>
      <c r="OD652" s="6"/>
    </row>
    <row r="653" spans="1:394" x14ac:dyDescent="0.25">
      <c r="A653" s="47"/>
      <c r="B653" s="48"/>
      <c r="C653" s="133"/>
      <c r="D653" s="133"/>
      <c r="E653" s="133"/>
      <c r="F653" s="133"/>
      <c r="G653" s="133"/>
      <c r="H653" s="133"/>
      <c r="I653" s="133"/>
      <c r="J653" s="133"/>
      <c r="K653" s="133"/>
      <c r="L653" s="133"/>
      <c r="NW653" s="6"/>
      <c r="NX653" s="6"/>
      <c r="NY653" s="6"/>
      <c r="NZ653" s="6"/>
      <c r="OA653" s="6"/>
      <c r="OB653" s="46"/>
      <c r="OC653" s="4"/>
      <c r="OD653" s="6"/>
    </row>
    <row r="654" spans="1:394" x14ac:dyDescent="0.25">
      <c r="A654" s="47"/>
      <c r="B654" s="48"/>
      <c r="C654" s="133"/>
      <c r="D654" s="133"/>
      <c r="E654" s="133"/>
      <c r="F654" s="133"/>
      <c r="G654" s="133"/>
      <c r="H654" s="133"/>
      <c r="I654" s="133"/>
      <c r="J654" s="133"/>
      <c r="K654" s="133"/>
      <c r="L654" s="133"/>
      <c r="NW654" s="6"/>
      <c r="NX654" s="6"/>
      <c r="NY654" s="6"/>
      <c r="NZ654" s="6"/>
      <c r="OA654" s="6"/>
      <c r="OB654" s="46"/>
      <c r="OC654" s="4"/>
      <c r="OD654" s="6"/>
    </row>
    <row r="655" spans="1:394" x14ac:dyDescent="0.25">
      <c r="A655" s="47"/>
      <c r="B655" s="48"/>
      <c r="C655" s="133"/>
      <c r="D655" s="133"/>
      <c r="E655" s="133"/>
      <c r="F655" s="133"/>
      <c r="G655" s="133"/>
      <c r="H655" s="133"/>
      <c r="I655" s="133"/>
      <c r="J655" s="133"/>
      <c r="K655" s="133"/>
      <c r="L655" s="133"/>
      <c r="NW655" s="6"/>
      <c r="NX655" s="6"/>
      <c r="NY655" s="6"/>
      <c r="NZ655" s="6"/>
      <c r="OA655" s="6"/>
      <c r="OB655" s="46"/>
      <c r="OC655" s="4"/>
      <c r="OD655" s="6"/>
    </row>
    <row r="656" spans="1:394" x14ac:dyDescent="0.25">
      <c r="A656" s="47"/>
      <c r="B656" s="48"/>
      <c r="C656" s="133"/>
      <c r="D656" s="133"/>
      <c r="E656" s="133"/>
      <c r="F656" s="133"/>
      <c r="G656" s="133"/>
      <c r="H656" s="133"/>
      <c r="I656" s="133"/>
      <c r="J656" s="133"/>
      <c r="K656" s="133"/>
      <c r="L656" s="133"/>
      <c r="NW656" s="6"/>
      <c r="NX656" s="6"/>
      <c r="NY656" s="6"/>
      <c r="NZ656" s="6"/>
      <c r="OA656" s="6"/>
      <c r="OB656" s="46"/>
      <c r="OC656" s="4"/>
      <c r="OD656" s="6"/>
    </row>
    <row r="657" spans="1:394" x14ac:dyDescent="0.25">
      <c r="A657" s="47"/>
      <c r="B657" s="48"/>
      <c r="C657" s="133"/>
      <c r="D657" s="133"/>
      <c r="E657" s="133"/>
      <c r="F657" s="133"/>
      <c r="G657" s="133"/>
      <c r="H657" s="133"/>
      <c r="I657" s="133"/>
      <c r="J657" s="133"/>
      <c r="K657" s="133"/>
      <c r="L657" s="133"/>
      <c r="NW657" s="6"/>
      <c r="NX657" s="6"/>
      <c r="NY657" s="6"/>
      <c r="NZ657" s="6"/>
      <c r="OA657" s="6"/>
      <c r="OB657" s="46"/>
      <c r="OC657" s="4"/>
      <c r="OD657" s="6"/>
    </row>
    <row r="658" spans="1:394" x14ac:dyDescent="0.25">
      <c r="A658" s="47"/>
      <c r="B658" s="48"/>
      <c r="C658" s="133"/>
      <c r="D658" s="133"/>
      <c r="E658" s="133"/>
      <c r="F658" s="133"/>
      <c r="G658" s="133"/>
      <c r="H658" s="133"/>
      <c r="I658" s="133"/>
      <c r="J658" s="133"/>
      <c r="K658" s="133"/>
      <c r="L658" s="133"/>
      <c r="NW658" s="6"/>
      <c r="NX658" s="6"/>
      <c r="NY658" s="6"/>
      <c r="NZ658" s="6"/>
      <c r="OA658" s="6"/>
      <c r="OB658" s="46"/>
      <c r="OC658" s="4"/>
      <c r="OD658" s="6"/>
    </row>
    <row r="659" spans="1:394" x14ac:dyDescent="0.25">
      <c r="A659" s="47"/>
      <c r="B659" s="48"/>
      <c r="C659" s="133"/>
      <c r="D659" s="133"/>
      <c r="E659" s="133"/>
      <c r="F659" s="133"/>
      <c r="G659" s="133"/>
      <c r="H659" s="133"/>
      <c r="I659" s="133"/>
      <c r="J659" s="133"/>
      <c r="K659" s="133"/>
      <c r="L659" s="133"/>
      <c r="NW659" s="6"/>
      <c r="NX659" s="6"/>
      <c r="NY659" s="6"/>
      <c r="NZ659" s="6"/>
      <c r="OA659" s="6"/>
      <c r="OB659" s="46"/>
      <c r="OC659" s="4"/>
      <c r="OD659" s="6"/>
    </row>
    <row r="660" spans="1:394" x14ac:dyDescent="0.25">
      <c r="A660" s="47"/>
      <c r="B660" s="48"/>
      <c r="C660" s="133"/>
      <c r="D660" s="133"/>
      <c r="E660" s="133"/>
      <c r="F660" s="133"/>
      <c r="G660" s="133"/>
      <c r="H660" s="133"/>
      <c r="I660" s="133"/>
      <c r="J660" s="133"/>
      <c r="K660" s="133"/>
      <c r="L660" s="133"/>
      <c r="NW660" s="6"/>
      <c r="NX660" s="6"/>
      <c r="NY660" s="6"/>
      <c r="NZ660" s="6"/>
      <c r="OA660" s="6"/>
      <c r="OB660" s="46"/>
      <c r="OC660" s="4"/>
      <c r="OD660" s="6"/>
    </row>
    <row r="661" spans="1:394" x14ac:dyDescent="0.25">
      <c r="A661" s="47"/>
      <c r="B661" s="48"/>
      <c r="C661" s="133"/>
      <c r="D661" s="133"/>
      <c r="E661" s="133"/>
      <c r="F661" s="133"/>
      <c r="G661" s="133"/>
      <c r="H661" s="133"/>
      <c r="I661" s="133"/>
      <c r="J661" s="133"/>
      <c r="K661" s="133"/>
      <c r="L661" s="133"/>
      <c r="NW661" s="6"/>
      <c r="NX661" s="6"/>
      <c r="NY661" s="6"/>
      <c r="NZ661" s="6"/>
      <c r="OA661" s="6"/>
      <c r="OB661" s="46"/>
      <c r="OC661" s="4"/>
      <c r="OD661" s="6"/>
    </row>
    <row r="662" spans="1:394" x14ac:dyDescent="0.25">
      <c r="A662" s="47"/>
      <c r="B662" s="48"/>
      <c r="C662" s="133"/>
      <c r="D662" s="133"/>
      <c r="E662" s="133"/>
      <c r="F662" s="133"/>
      <c r="G662" s="133"/>
      <c r="H662" s="133"/>
      <c r="I662" s="133"/>
      <c r="J662" s="133"/>
      <c r="K662" s="133"/>
      <c r="L662" s="133"/>
      <c r="NW662" s="6"/>
      <c r="NX662" s="6"/>
      <c r="NY662" s="6"/>
      <c r="NZ662" s="6"/>
      <c r="OA662" s="6"/>
      <c r="OB662" s="46"/>
      <c r="OC662" s="4"/>
      <c r="OD662" s="6"/>
    </row>
    <row r="663" spans="1:394" x14ac:dyDescent="0.25">
      <c r="A663" s="47"/>
      <c r="B663" s="48"/>
      <c r="C663" s="133"/>
      <c r="D663" s="133"/>
      <c r="E663" s="133"/>
      <c r="F663" s="133"/>
      <c r="G663" s="133"/>
      <c r="H663" s="133"/>
      <c r="I663" s="133"/>
      <c r="J663" s="133"/>
      <c r="K663" s="133"/>
      <c r="L663" s="133"/>
      <c r="NW663" s="6"/>
      <c r="NX663" s="6"/>
      <c r="NY663" s="6"/>
      <c r="NZ663" s="6"/>
      <c r="OA663" s="6"/>
      <c r="OB663" s="46"/>
      <c r="OC663" s="4"/>
      <c r="OD663" s="6"/>
    </row>
    <row r="664" spans="1:394" x14ac:dyDescent="0.25">
      <c r="A664" s="47"/>
      <c r="B664" s="48"/>
      <c r="C664" s="133"/>
      <c r="D664" s="133"/>
      <c r="E664" s="133"/>
      <c r="F664" s="133"/>
      <c r="G664" s="133"/>
      <c r="H664" s="133"/>
      <c r="I664" s="133"/>
      <c r="J664" s="133"/>
      <c r="K664" s="133"/>
      <c r="L664" s="133"/>
      <c r="NW664" s="6"/>
      <c r="NX664" s="6"/>
      <c r="NY664" s="6"/>
      <c r="NZ664" s="6"/>
      <c r="OA664" s="6"/>
      <c r="OB664" s="46"/>
      <c r="OC664" s="4"/>
      <c r="OD664" s="6"/>
    </row>
    <row r="665" spans="1:394" x14ac:dyDescent="0.25">
      <c r="A665" s="47"/>
      <c r="B665" s="48"/>
      <c r="C665" s="133"/>
      <c r="D665" s="133"/>
      <c r="E665" s="133"/>
      <c r="F665" s="133"/>
      <c r="G665" s="133"/>
      <c r="H665" s="133"/>
      <c r="I665" s="133"/>
      <c r="J665" s="133"/>
      <c r="K665" s="133"/>
      <c r="L665" s="133"/>
      <c r="NW665" s="6"/>
      <c r="NX665" s="6"/>
      <c r="NY665" s="6"/>
      <c r="NZ665" s="6"/>
      <c r="OA665" s="6"/>
      <c r="OB665" s="46"/>
      <c r="OC665" s="4"/>
      <c r="OD665" s="6"/>
    </row>
    <row r="666" spans="1:394" x14ac:dyDescent="0.25">
      <c r="A666" s="47"/>
      <c r="B666" s="48"/>
      <c r="C666" s="133"/>
      <c r="D666" s="133"/>
      <c r="E666" s="133"/>
      <c r="F666" s="133"/>
      <c r="G666" s="133"/>
      <c r="H666" s="133"/>
      <c r="I666" s="133"/>
      <c r="J666" s="133"/>
      <c r="K666" s="133"/>
      <c r="L666" s="133"/>
      <c r="NW666" s="6"/>
      <c r="NX666" s="6"/>
      <c r="NY666" s="6"/>
      <c r="NZ666" s="6"/>
      <c r="OA666" s="6"/>
      <c r="OB666" s="46"/>
      <c r="OC666" s="4"/>
      <c r="OD666" s="6"/>
    </row>
    <row r="667" spans="1:394" x14ac:dyDescent="0.25">
      <c r="A667" s="47"/>
      <c r="B667" s="48"/>
      <c r="C667" s="133"/>
      <c r="D667" s="133"/>
      <c r="E667" s="133"/>
      <c r="F667" s="133"/>
      <c r="G667" s="133"/>
      <c r="H667" s="133"/>
      <c r="I667" s="133"/>
      <c r="J667" s="133"/>
      <c r="K667" s="133"/>
      <c r="L667" s="133"/>
      <c r="NW667" s="6"/>
      <c r="NX667" s="6"/>
      <c r="NY667" s="6"/>
      <c r="NZ667" s="6"/>
      <c r="OA667" s="6"/>
      <c r="OB667" s="46"/>
      <c r="OC667" s="4"/>
      <c r="OD667" s="6"/>
    </row>
    <row r="668" spans="1:394" x14ac:dyDescent="0.25">
      <c r="A668" s="47"/>
      <c r="B668" s="48"/>
      <c r="C668" s="133"/>
      <c r="D668" s="133"/>
      <c r="E668" s="133"/>
      <c r="F668" s="133"/>
      <c r="G668" s="133"/>
      <c r="H668" s="133"/>
      <c r="I668" s="133"/>
      <c r="J668" s="133"/>
      <c r="K668" s="133"/>
      <c r="L668" s="133"/>
      <c r="NW668" s="6"/>
      <c r="NX668" s="6"/>
      <c r="NY668" s="6"/>
      <c r="NZ668" s="6"/>
      <c r="OA668" s="6"/>
      <c r="OB668" s="46"/>
      <c r="OC668" s="4"/>
      <c r="OD668" s="6"/>
    </row>
    <row r="669" spans="1:394" x14ac:dyDescent="0.25">
      <c r="A669" s="47"/>
      <c r="B669" s="48"/>
      <c r="C669" s="133"/>
      <c r="D669" s="133"/>
      <c r="E669" s="133"/>
      <c r="F669" s="133"/>
      <c r="G669" s="133"/>
      <c r="H669" s="133"/>
      <c r="I669" s="133"/>
      <c r="J669" s="133"/>
      <c r="K669" s="133"/>
      <c r="L669" s="133"/>
      <c r="NW669" s="6"/>
      <c r="NX669" s="6"/>
      <c r="NY669" s="6"/>
      <c r="NZ669" s="6"/>
      <c r="OA669" s="6"/>
      <c r="OB669" s="46"/>
      <c r="OC669" s="4"/>
      <c r="OD669" s="6"/>
    </row>
    <row r="670" spans="1:394" x14ac:dyDescent="0.25">
      <c r="A670" s="47"/>
      <c r="B670" s="48"/>
      <c r="C670" s="133"/>
      <c r="D670" s="133"/>
      <c r="E670" s="133"/>
      <c r="F670" s="133"/>
      <c r="G670" s="133"/>
      <c r="H670" s="133"/>
      <c r="I670" s="133"/>
      <c r="J670" s="133"/>
      <c r="K670" s="133"/>
      <c r="L670" s="133"/>
      <c r="NW670" s="6"/>
      <c r="NX670" s="6"/>
      <c r="NY670" s="6"/>
      <c r="NZ670" s="6"/>
      <c r="OA670" s="6"/>
      <c r="OB670" s="46"/>
      <c r="OC670" s="4"/>
      <c r="OD670" s="6"/>
    </row>
    <row r="671" spans="1:394" x14ac:dyDescent="0.25">
      <c r="A671" s="47"/>
      <c r="B671" s="48"/>
      <c r="C671" s="133"/>
      <c r="D671" s="133"/>
      <c r="E671" s="133"/>
      <c r="F671" s="133"/>
      <c r="G671" s="133"/>
      <c r="H671" s="133"/>
      <c r="I671" s="133"/>
      <c r="J671" s="133"/>
      <c r="K671" s="133"/>
      <c r="L671" s="133"/>
      <c r="NW671" s="6"/>
      <c r="NX671" s="6"/>
      <c r="NY671" s="6"/>
      <c r="NZ671" s="6"/>
      <c r="OA671" s="6"/>
      <c r="OB671" s="46"/>
      <c r="OC671" s="4"/>
      <c r="OD671" s="6"/>
    </row>
    <row r="672" spans="1:394" x14ac:dyDescent="0.25">
      <c r="A672" s="47"/>
      <c r="B672" s="48"/>
      <c r="C672" s="133"/>
      <c r="D672" s="133"/>
      <c r="E672" s="133"/>
      <c r="F672" s="133"/>
      <c r="G672" s="133"/>
      <c r="H672" s="133"/>
      <c r="I672" s="133"/>
      <c r="J672" s="133"/>
      <c r="K672" s="133"/>
      <c r="L672" s="133"/>
      <c r="NW672" s="6"/>
      <c r="NX672" s="6"/>
      <c r="NY672" s="6"/>
      <c r="NZ672" s="6"/>
      <c r="OA672" s="6"/>
      <c r="OB672" s="46"/>
      <c r="OC672" s="4"/>
      <c r="OD672" s="6"/>
    </row>
    <row r="673" spans="1:394" x14ac:dyDescent="0.25">
      <c r="A673" s="47"/>
      <c r="B673" s="48"/>
      <c r="C673" s="133"/>
      <c r="D673" s="133"/>
      <c r="E673" s="133"/>
      <c r="F673" s="133"/>
      <c r="G673" s="133"/>
      <c r="H673" s="133"/>
      <c r="I673" s="133"/>
      <c r="J673" s="133"/>
      <c r="K673" s="133"/>
      <c r="L673" s="133"/>
      <c r="NW673" s="6"/>
      <c r="NX673" s="6"/>
      <c r="NY673" s="6"/>
      <c r="NZ673" s="6"/>
      <c r="OA673" s="6"/>
      <c r="OB673" s="46"/>
      <c r="OC673" s="4"/>
      <c r="OD673" s="6"/>
    </row>
    <row r="674" spans="1:394" x14ac:dyDescent="0.25">
      <c r="A674" s="47"/>
      <c r="B674" s="48"/>
      <c r="C674" s="133"/>
      <c r="D674" s="133"/>
      <c r="E674" s="133"/>
      <c r="F674" s="133"/>
      <c r="G674" s="133"/>
      <c r="H674" s="133"/>
      <c r="I674" s="133"/>
      <c r="J674" s="133"/>
      <c r="K674" s="133"/>
      <c r="L674" s="133"/>
      <c r="NW674" s="6"/>
      <c r="NX674" s="6"/>
      <c r="NY674" s="6"/>
      <c r="NZ674" s="6"/>
      <c r="OA674" s="6"/>
      <c r="OB674" s="46"/>
      <c r="OC674" s="4"/>
      <c r="OD674" s="6"/>
    </row>
    <row r="675" spans="1:394" x14ac:dyDescent="0.25">
      <c r="A675" s="47"/>
      <c r="B675" s="48"/>
      <c r="C675" s="133"/>
      <c r="D675" s="133"/>
      <c r="E675" s="133"/>
      <c r="F675" s="133"/>
      <c r="G675" s="133"/>
      <c r="H675" s="133"/>
      <c r="I675" s="133"/>
      <c r="J675" s="133"/>
      <c r="K675" s="133"/>
      <c r="L675" s="133"/>
      <c r="NW675" s="6"/>
      <c r="NX675" s="6"/>
      <c r="NY675" s="6"/>
      <c r="NZ675" s="6"/>
      <c r="OA675" s="6"/>
      <c r="OB675" s="46"/>
      <c r="OC675" s="4"/>
      <c r="OD675" s="6"/>
    </row>
    <row r="676" spans="1:394" x14ac:dyDescent="0.25">
      <c r="A676" s="47"/>
      <c r="B676" s="48"/>
      <c r="C676" s="133"/>
      <c r="D676" s="133"/>
      <c r="E676" s="133"/>
      <c r="F676" s="133"/>
      <c r="G676" s="133"/>
      <c r="H676" s="133"/>
      <c r="I676" s="133"/>
      <c r="J676" s="133"/>
      <c r="K676" s="133"/>
      <c r="L676" s="133"/>
      <c r="NW676" s="6"/>
      <c r="NX676" s="6"/>
      <c r="NY676" s="6"/>
      <c r="NZ676" s="6"/>
      <c r="OA676" s="6"/>
      <c r="OB676" s="46"/>
      <c r="OC676" s="4"/>
      <c r="OD676" s="6"/>
    </row>
    <row r="677" spans="1:394" x14ac:dyDescent="0.25">
      <c r="A677" s="47"/>
      <c r="B677" s="48"/>
      <c r="C677" s="133"/>
      <c r="D677" s="133"/>
      <c r="E677" s="133"/>
      <c r="F677" s="133"/>
      <c r="G677" s="133"/>
      <c r="H677" s="133"/>
      <c r="I677" s="133"/>
      <c r="J677" s="133"/>
      <c r="K677" s="133"/>
      <c r="L677" s="133"/>
      <c r="NW677" s="6"/>
      <c r="NX677" s="6"/>
      <c r="NY677" s="6"/>
      <c r="NZ677" s="6"/>
      <c r="OA677" s="6"/>
      <c r="OB677" s="46"/>
      <c r="OC677" s="4"/>
      <c r="OD677" s="6"/>
    </row>
    <row r="678" spans="1:394" x14ac:dyDescent="0.25">
      <c r="A678" s="47"/>
      <c r="B678" s="48"/>
      <c r="C678" s="133"/>
      <c r="D678" s="133"/>
      <c r="E678" s="133"/>
      <c r="F678" s="133"/>
      <c r="G678" s="133"/>
      <c r="H678" s="133"/>
      <c r="I678" s="133"/>
      <c r="J678" s="133"/>
      <c r="K678" s="133"/>
      <c r="L678" s="133"/>
      <c r="NW678" s="6"/>
      <c r="NX678" s="6"/>
      <c r="NY678" s="6"/>
      <c r="NZ678" s="6"/>
      <c r="OA678" s="6"/>
      <c r="OB678" s="46"/>
      <c r="OC678" s="4"/>
      <c r="OD678" s="6"/>
    </row>
    <row r="679" spans="1:394" x14ac:dyDescent="0.25">
      <c r="A679" s="47"/>
      <c r="B679" s="48"/>
      <c r="C679" s="133"/>
      <c r="D679" s="133"/>
      <c r="E679" s="133"/>
      <c r="F679" s="133"/>
      <c r="G679" s="133"/>
      <c r="H679" s="133"/>
      <c r="I679" s="133"/>
      <c r="J679" s="133"/>
      <c r="K679" s="133"/>
      <c r="L679" s="133"/>
      <c r="NW679" s="6"/>
      <c r="NX679" s="6"/>
      <c r="NY679" s="6"/>
      <c r="NZ679" s="6"/>
      <c r="OA679" s="6"/>
      <c r="OB679" s="46"/>
      <c r="OC679" s="4"/>
      <c r="OD679" s="6"/>
    </row>
    <row r="680" spans="1:394" x14ac:dyDescent="0.25">
      <c r="A680" s="47"/>
      <c r="B680" s="48"/>
      <c r="C680" s="133"/>
      <c r="D680" s="133"/>
      <c r="E680" s="133"/>
      <c r="F680" s="133"/>
      <c r="G680" s="133"/>
      <c r="H680" s="133"/>
      <c r="I680" s="133"/>
      <c r="J680" s="133"/>
      <c r="K680" s="133"/>
      <c r="L680" s="133"/>
      <c r="NW680" s="6"/>
      <c r="NX680" s="6"/>
      <c r="NY680" s="6"/>
      <c r="NZ680" s="6"/>
      <c r="OA680" s="6"/>
      <c r="OB680" s="46"/>
      <c r="OC680" s="4"/>
      <c r="OD680" s="6"/>
    </row>
    <row r="681" spans="1:394" x14ac:dyDescent="0.25">
      <c r="A681" s="47"/>
      <c r="B681" s="48"/>
      <c r="C681" s="133"/>
      <c r="D681" s="133"/>
      <c r="E681" s="133"/>
      <c r="F681" s="133"/>
      <c r="G681" s="133"/>
      <c r="H681" s="133"/>
      <c r="I681" s="133"/>
      <c r="J681" s="133"/>
      <c r="K681" s="133"/>
      <c r="L681" s="133"/>
      <c r="NW681" s="6"/>
      <c r="NX681" s="6"/>
      <c r="NY681" s="6"/>
      <c r="NZ681" s="6"/>
      <c r="OA681" s="6"/>
      <c r="OB681" s="46"/>
      <c r="OC681" s="4"/>
      <c r="OD681" s="6"/>
    </row>
    <row r="682" spans="1:394" x14ac:dyDescent="0.25">
      <c r="A682" s="47"/>
      <c r="B682" s="48"/>
      <c r="C682" s="133"/>
      <c r="D682" s="133"/>
      <c r="E682" s="133"/>
      <c r="F682" s="133"/>
      <c r="G682" s="133"/>
      <c r="H682" s="133"/>
      <c r="I682" s="133"/>
      <c r="J682" s="133"/>
      <c r="K682" s="133"/>
      <c r="L682" s="133"/>
      <c r="NW682" s="6"/>
      <c r="NX682" s="6"/>
      <c r="NY682" s="6"/>
      <c r="NZ682" s="6"/>
      <c r="OA682" s="6"/>
      <c r="OB682" s="46"/>
      <c r="OC682" s="4"/>
      <c r="OD682" s="6"/>
    </row>
    <row r="683" spans="1:394" x14ac:dyDescent="0.25">
      <c r="A683" s="47"/>
      <c r="B683" s="48"/>
      <c r="C683" s="133"/>
      <c r="D683" s="133"/>
      <c r="E683" s="133"/>
      <c r="F683" s="133"/>
      <c r="G683" s="133"/>
      <c r="H683" s="133"/>
      <c r="I683" s="133"/>
      <c r="J683" s="133"/>
      <c r="K683" s="133"/>
      <c r="L683" s="133"/>
      <c r="NW683" s="6"/>
      <c r="NX683" s="6"/>
      <c r="NY683" s="6"/>
      <c r="NZ683" s="6"/>
      <c r="OA683" s="6"/>
      <c r="OB683" s="46"/>
      <c r="OC683" s="4"/>
      <c r="OD683" s="6"/>
    </row>
    <row r="684" spans="1:394" x14ac:dyDescent="0.25">
      <c r="A684" s="47"/>
      <c r="B684" s="48"/>
      <c r="C684" s="133"/>
      <c r="D684" s="133"/>
      <c r="E684" s="133"/>
      <c r="F684" s="133"/>
      <c r="G684" s="133"/>
      <c r="H684" s="133"/>
      <c r="I684" s="133"/>
      <c r="J684" s="133"/>
      <c r="K684" s="133"/>
      <c r="L684" s="133"/>
      <c r="NW684" s="6"/>
      <c r="NX684" s="6"/>
      <c r="NY684" s="6"/>
      <c r="NZ684" s="6"/>
      <c r="OA684" s="6"/>
      <c r="OB684" s="46"/>
      <c r="OC684" s="4"/>
      <c r="OD684" s="6"/>
    </row>
    <row r="685" spans="1:394" x14ac:dyDescent="0.25">
      <c r="A685" s="47"/>
      <c r="B685" s="48"/>
      <c r="C685" s="133"/>
      <c r="D685" s="133"/>
      <c r="E685" s="133"/>
      <c r="F685" s="133"/>
      <c r="G685" s="133"/>
      <c r="H685" s="133"/>
      <c r="I685" s="133"/>
      <c r="J685" s="133"/>
      <c r="K685" s="133"/>
      <c r="L685" s="133"/>
      <c r="NW685" s="6"/>
      <c r="NX685" s="6"/>
      <c r="NY685" s="6"/>
      <c r="NZ685" s="6"/>
      <c r="OA685" s="6"/>
      <c r="OB685" s="46"/>
      <c r="OC685" s="4"/>
      <c r="OD685" s="6"/>
    </row>
    <row r="686" spans="1:394" x14ac:dyDescent="0.25">
      <c r="A686" s="47"/>
      <c r="B686" s="48"/>
      <c r="C686" s="133"/>
      <c r="D686" s="133"/>
      <c r="E686" s="133"/>
      <c r="F686" s="133"/>
      <c r="G686" s="133"/>
      <c r="H686" s="133"/>
      <c r="I686" s="133"/>
      <c r="J686" s="133"/>
      <c r="K686" s="133"/>
      <c r="L686" s="133"/>
      <c r="NW686" s="6"/>
      <c r="NX686" s="6"/>
      <c r="NY686" s="6"/>
      <c r="NZ686" s="6"/>
      <c r="OA686" s="6"/>
      <c r="OB686" s="46"/>
      <c r="OC686" s="4"/>
      <c r="OD686" s="6"/>
    </row>
    <row r="687" spans="1:394" x14ac:dyDescent="0.25">
      <c r="A687" s="47"/>
      <c r="B687" s="48"/>
      <c r="C687" s="133"/>
      <c r="D687" s="133"/>
      <c r="E687" s="133"/>
      <c r="F687" s="133"/>
      <c r="G687" s="133"/>
      <c r="H687" s="133"/>
      <c r="I687" s="133"/>
      <c r="J687" s="133"/>
      <c r="K687" s="133"/>
      <c r="L687" s="133"/>
      <c r="NW687" s="6"/>
      <c r="NX687" s="6"/>
      <c r="NY687" s="6"/>
      <c r="NZ687" s="6"/>
      <c r="OA687" s="6"/>
      <c r="OB687" s="46"/>
      <c r="OC687" s="4"/>
      <c r="OD687" s="6"/>
    </row>
    <row r="688" spans="1:394" x14ac:dyDescent="0.25">
      <c r="A688" s="47"/>
      <c r="B688" s="48"/>
      <c r="C688" s="133"/>
      <c r="D688" s="133"/>
      <c r="E688" s="133"/>
      <c r="F688" s="133"/>
      <c r="G688" s="133"/>
      <c r="H688" s="133"/>
      <c r="I688" s="133"/>
      <c r="J688" s="133"/>
      <c r="K688" s="133"/>
      <c r="L688" s="133"/>
      <c r="NW688" s="6"/>
      <c r="NX688" s="6"/>
      <c r="NY688" s="6"/>
      <c r="NZ688" s="6"/>
      <c r="OA688" s="6"/>
      <c r="OB688" s="46"/>
      <c r="OC688" s="4"/>
      <c r="OD688" s="6"/>
    </row>
    <row r="689" spans="1:394" x14ac:dyDescent="0.25">
      <c r="A689" s="47"/>
      <c r="B689" s="48"/>
      <c r="C689" s="133"/>
      <c r="D689" s="133"/>
      <c r="E689" s="133"/>
      <c r="F689" s="133"/>
      <c r="G689" s="133"/>
      <c r="H689" s="133"/>
      <c r="I689" s="133"/>
      <c r="J689" s="133"/>
      <c r="K689" s="133"/>
      <c r="L689" s="133"/>
      <c r="NW689" s="6"/>
      <c r="NX689" s="6"/>
      <c r="NY689" s="6"/>
      <c r="NZ689" s="6"/>
      <c r="OA689" s="6"/>
      <c r="OB689" s="46"/>
      <c r="OC689" s="4"/>
      <c r="OD689" s="6"/>
    </row>
    <row r="690" spans="1:394" x14ac:dyDescent="0.25">
      <c r="A690" s="47"/>
      <c r="B690" s="48"/>
      <c r="C690" s="133"/>
      <c r="D690" s="133"/>
      <c r="E690" s="133"/>
      <c r="F690" s="133"/>
      <c r="G690" s="133"/>
      <c r="H690" s="133"/>
      <c r="I690" s="133"/>
      <c r="J690" s="133"/>
      <c r="K690" s="133"/>
      <c r="L690" s="133"/>
      <c r="NW690" s="6"/>
      <c r="NX690" s="6"/>
      <c r="NY690" s="6"/>
      <c r="NZ690" s="6"/>
      <c r="OA690" s="6"/>
      <c r="OB690" s="46"/>
      <c r="OC690" s="4"/>
      <c r="OD690" s="6"/>
    </row>
    <row r="691" spans="1:394" x14ac:dyDescent="0.25">
      <c r="A691" s="47"/>
      <c r="B691" s="48"/>
      <c r="C691" s="133"/>
      <c r="D691" s="133"/>
      <c r="E691" s="133"/>
      <c r="F691" s="133"/>
      <c r="G691" s="133"/>
      <c r="H691" s="133"/>
      <c r="I691" s="133"/>
      <c r="J691" s="133"/>
      <c r="K691" s="133"/>
      <c r="L691" s="133"/>
      <c r="NW691" s="6"/>
      <c r="NX691" s="6"/>
      <c r="NY691" s="6"/>
      <c r="NZ691" s="6"/>
      <c r="OA691" s="6"/>
      <c r="OB691" s="46"/>
      <c r="OC691" s="4"/>
      <c r="OD691" s="6"/>
    </row>
    <row r="692" spans="1:394" x14ac:dyDescent="0.25">
      <c r="A692" s="47"/>
      <c r="B692" s="48"/>
      <c r="C692" s="133"/>
      <c r="D692" s="133"/>
      <c r="E692" s="133"/>
      <c r="F692" s="133"/>
      <c r="G692" s="133"/>
      <c r="H692" s="133"/>
      <c r="I692" s="133"/>
      <c r="J692" s="133"/>
      <c r="K692" s="133"/>
      <c r="L692" s="133"/>
      <c r="NW692" s="6"/>
      <c r="NX692" s="6"/>
      <c r="NY692" s="6"/>
      <c r="NZ692" s="6"/>
      <c r="OA692" s="6"/>
      <c r="OB692" s="46"/>
      <c r="OC692" s="4"/>
      <c r="OD692" s="6"/>
    </row>
    <row r="693" spans="1:394" x14ac:dyDescent="0.25">
      <c r="A693" s="47"/>
      <c r="B693" s="48"/>
      <c r="C693" s="133"/>
      <c r="D693" s="133"/>
      <c r="E693" s="133"/>
      <c r="F693" s="133"/>
      <c r="G693" s="133"/>
      <c r="H693" s="133"/>
      <c r="I693" s="133"/>
      <c r="J693" s="133"/>
      <c r="K693" s="133"/>
      <c r="L693" s="133"/>
      <c r="NW693" s="6"/>
      <c r="NX693" s="6"/>
      <c r="NY693" s="6"/>
      <c r="NZ693" s="6"/>
      <c r="OA693" s="6"/>
      <c r="OB693" s="46"/>
      <c r="OC693" s="4"/>
      <c r="OD693" s="6"/>
    </row>
    <row r="694" spans="1:394" x14ac:dyDescent="0.25">
      <c r="A694" s="47"/>
      <c r="B694" s="48"/>
      <c r="C694" s="133"/>
      <c r="D694" s="133"/>
      <c r="E694" s="133"/>
      <c r="F694" s="133"/>
      <c r="G694" s="133"/>
      <c r="H694" s="133"/>
      <c r="I694" s="133"/>
      <c r="J694" s="133"/>
      <c r="K694" s="133"/>
      <c r="L694" s="133"/>
      <c r="NW694" s="6"/>
      <c r="NX694" s="6"/>
      <c r="NY694" s="6"/>
      <c r="NZ694" s="6"/>
      <c r="OA694" s="6"/>
      <c r="OB694" s="46"/>
      <c r="OC694" s="4"/>
      <c r="OD694" s="6"/>
    </row>
    <row r="695" spans="1:394" x14ac:dyDescent="0.25">
      <c r="A695" s="47"/>
      <c r="B695" s="48"/>
      <c r="C695" s="133"/>
      <c r="D695" s="133"/>
      <c r="E695" s="133"/>
      <c r="F695" s="133"/>
      <c r="G695" s="133"/>
      <c r="H695" s="133"/>
      <c r="I695" s="133"/>
      <c r="J695" s="133"/>
      <c r="K695" s="133"/>
      <c r="L695" s="133"/>
      <c r="NW695" s="6"/>
      <c r="NX695" s="6"/>
      <c r="NY695" s="6"/>
      <c r="NZ695" s="6"/>
      <c r="OA695" s="6"/>
      <c r="OB695" s="46"/>
      <c r="OC695" s="4"/>
      <c r="OD695" s="6"/>
    </row>
    <row r="696" spans="1:394" x14ac:dyDescent="0.25">
      <c r="A696" s="47"/>
      <c r="B696" s="48"/>
      <c r="C696" s="133"/>
      <c r="D696" s="133"/>
      <c r="E696" s="133"/>
      <c r="F696" s="133"/>
      <c r="G696" s="133"/>
      <c r="H696" s="133"/>
      <c r="I696" s="133"/>
      <c r="J696" s="133"/>
      <c r="K696" s="133"/>
      <c r="L696" s="133"/>
      <c r="NW696" s="6"/>
      <c r="NX696" s="6"/>
      <c r="NY696" s="6"/>
      <c r="NZ696" s="6"/>
      <c r="OA696" s="6"/>
      <c r="OB696" s="46"/>
      <c r="OC696" s="4"/>
      <c r="OD696" s="6"/>
    </row>
    <row r="697" spans="1:394" x14ac:dyDescent="0.25">
      <c r="A697" s="47"/>
      <c r="B697" s="48"/>
      <c r="C697" s="133"/>
      <c r="D697" s="133"/>
      <c r="E697" s="133"/>
      <c r="F697" s="133"/>
      <c r="G697" s="133"/>
      <c r="H697" s="133"/>
      <c r="I697" s="133"/>
      <c r="J697" s="133"/>
      <c r="K697" s="133"/>
      <c r="L697" s="133"/>
      <c r="NW697" s="6"/>
      <c r="NX697" s="6"/>
      <c r="NY697" s="6"/>
      <c r="NZ697" s="6"/>
      <c r="OA697" s="6"/>
      <c r="OB697" s="46"/>
      <c r="OC697" s="4"/>
      <c r="OD697" s="6"/>
    </row>
    <row r="698" spans="1:394" x14ac:dyDescent="0.25">
      <c r="A698" s="47"/>
      <c r="B698" s="48"/>
      <c r="C698" s="133"/>
      <c r="D698" s="133"/>
      <c r="E698" s="133"/>
      <c r="F698" s="133"/>
      <c r="G698" s="133"/>
      <c r="H698" s="133"/>
      <c r="I698" s="133"/>
      <c r="J698" s="133"/>
      <c r="K698" s="133"/>
      <c r="L698" s="133"/>
      <c r="NW698" s="6"/>
      <c r="NX698" s="6"/>
      <c r="NY698" s="6"/>
      <c r="NZ698" s="6"/>
      <c r="OA698" s="6"/>
      <c r="OB698" s="46"/>
      <c r="OC698" s="4"/>
      <c r="OD698" s="6"/>
    </row>
    <row r="699" spans="1:394" x14ac:dyDescent="0.25">
      <c r="A699" s="47"/>
      <c r="B699" s="48"/>
      <c r="C699" s="133"/>
      <c r="D699" s="133"/>
      <c r="E699" s="133"/>
      <c r="F699" s="133"/>
      <c r="G699" s="133"/>
      <c r="H699" s="133"/>
      <c r="I699" s="133"/>
      <c r="J699" s="133"/>
      <c r="K699" s="133"/>
      <c r="L699" s="133"/>
      <c r="NW699" s="6"/>
      <c r="NX699" s="6"/>
      <c r="NY699" s="6"/>
      <c r="NZ699" s="6"/>
      <c r="OA699" s="6"/>
      <c r="OB699" s="46"/>
      <c r="OC699" s="4"/>
      <c r="OD699" s="6"/>
    </row>
    <row r="700" spans="1:394" x14ac:dyDescent="0.25">
      <c r="A700" s="47"/>
      <c r="B700" s="48"/>
      <c r="C700" s="133"/>
      <c r="D700" s="133"/>
      <c r="E700" s="133"/>
      <c r="F700" s="133"/>
      <c r="G700" s="133"/>
      <c r="H700" s="133"/>
      <c r="I700" s="133"/>
      <c r="J700" s="133"/>
      <c r="K700" s="133"/>
      <c r="L700" s="133"/>
      <c r="NW700" s="6"/>
      <c r="NX700" s="6"/>
      <c r="NY700" s="6"/>
      <c r="NZ700" s="6"/>
      <c r="OA700" s="6"/>
      <c r="OB700" s="46"/>
      <c r="OC700" s="4"/>
      <c r="OD700" s="6"/>
    </row>
    <row r="701" spans="1:394" x14ac:dyDescent="0.25">
      <c r="A701" s="47"/>
      <c r="B701" s="48"/>
      <c r="C701" s="133"/>
      <c r="D701" s="133"/>
      <c r="E701" s="133"/>
      <c r="F701" s="133"/>
      <c r="G701" s="133"/>
      <c r="H701" s="133"/>
      <c r="I701" s="133"/>
      <c r="J701" s="133"/>
      <c r="K701" s="133"/>
      <c r="L701" s="133"/>
      <c r="NW701" s="6"/>
      <c r="NX701" s="6"/>
      <c r="NY701" s="6"/>
      <c r="NZ701" s="6"/>
      <c r="OA701" s="6"/>
      <c r="OB701" s="46"/>
      <c r="OC701" s="4"/>
      <c r="OD701" s="6"/>
    </row>
    <row r="702" spans="1:394" x14ac:dyDescent="0.25">
      <c r="A702" s="47"/>
      <c r="B702" s="48"/>
      <c r="C702" s="133"/>
      <c r="D702" s="133"/>
      <c r="E702" s="133"/>
      <c r="F702" s="133"/>
      <c r="G702" s="133"/>
      <c r="H702" s="133"/>
      <c r="I702" s="133"/>
      <c r="J702" s="133"/>
      <c r="K702" s="133"/>
      <c r="L702" s="133"/>
      <c r="NW702" s="6"/>
      <c r="NX702" s="6"/>
      <c r="NY702" s="6"/>
      <c r="NZ702" s="6"/>
      <c r="OA702" s="6"/>
      <c r="OB702" s="46"/>
      <c r="OC702" s="4"/>
      <c r="OD702" s="6"/>
    </row>
    <row r="703" spans="1:394" x14ac:dyDescent="0.25">
      <c r="A703" s="47"/>
      <c r="B703" s="48"/>
      <c r="C703" s="133"/>
      <c r="D703" s="133"/>
      <c r="E703" s="133"/>
      <c r="F703" s="133"/>
      <c r="G703" s="133"/>
      <c r="H703" s="133"/>
      <c r="I703" s="133"/>
      <c r="J703" s="133"/>
      <c r="K703" s="133"/>
      <c r="L703" s="133"/>
      <c r="NW703" s="6"/>
      <c r="NX703" s="6"/>
      <c r="NY703" s="6"/>
      <c r="NZ703" s="6"/>
      <c r="OA703" s="6"/>
      <c r="OB703" s="46"/>
      <c r="OC703" s="4"/>
      <c r="OD703" s="6"/>
    </row>
    <row r="704" spans="1:394" x14ac:dyDescent="0.25">
      <c r="A704" s="47"/>
      <c r="B704" s="48"/>
      <c r="C704" s="133"/>
      <c r="D704" s="133"/>
      <c r="E704" s="133"/>
      <c r="F704" s="133"/>
      <c r="G704" s="133"/>
      <c r="H704" s="133"/>
      <c r="I704" s="133"/>
      <c r="J704" s="133"/>
      <c r="K704" s="133"/>
      <c r="L704" s="133"/>
      <c r="NW704" s="6"/>
      <c r="NX704" s="6"/>
      <c r="NY704" s="6"/>
      <c r="NZ704" s="6"/>
      <c r="OA704" s="6"/>
      <c r="OB704" s="46"/>
      <c r="OC704" s="4"/>
      <c r="OD704" s="6"/>
    </row>
    <row r="705" spans="1:394" x14ac:dyDescent="0.25">
      <c r="A705" s="47"/>
      <c r="B705" s="48"/>
      <c r="C705" s="133"/>
      <c r="D705" s="133"/>
      <c r="E705" s="133"/>
      <c r="F705" s="133"/>
      <c r="G705" s="133"/>
      <c r="H705" s="133"/>
      <c r="I705" s="133"/>
      <c r="J705" s="133"/>
      <c r="K705" s="133"/>
      <c r="L705" s="133"/>
      <c r="NW705" s="6"/>
      <c r="NX705" s="6"/>
      <c r="NY705" s="6"/>
      <c r="NZ705" s="6"/>
      <c r="OA705" s="6"/>
      <c r="OB705" s="46"/>
      <c r="OC705" s="4"/>
      <c r="OD705" s="6"/>
    </row>
    <row r="706" spans="1:394" x14ac:dyDescent="0.25">
      <c r="A706" s="47"/>
      <c r="B706" s="48"/>
      <c r="C706" s="133"/>
      <c r="D706" s="133"/>
      <c r="E706" s="133"/>
      <c r="F706" s="133"/>
      <c r="G706" s="133"/>
      <c r="H706" s="133"/>
      <c r="I706" s="133"/>
      <c r="J706" s="133"/>
      <c r="K706" s="133"/>
      <c r="L706" s="133"/>
      <c r="NW706" s="6"/>
      <c r="NX706" s="6"/>
      <c r="NY706" s="6"/>
      <c r="NZ706" s="6"/>
      <c r="OA706" s="6"/>
      <c r="OB706" s="46"/>
      <c r="OC706" s="4"/>
      <c r="OD706" s="6"/>
    </row>
    <row r="707" spans="1:394" x14ac:dyDescent="0.25">
      <c r="A707" s="47"/>
      <c r="B707" s="48"/>
      <c r="C707" s="133"/>
      <c r="D707" s="133"/>
      <c r="E707" s="133"/>
      <c r="F707" s="133"/>
      <c r="G707" s="133"/>
      <c r="H707" s="133"/>
      <c r="I707" s="133"/>
      <c r="J707" s="133"/>
      <c r="K707" s="133"/>
      <c r="L707" s="133"/>
      <c r="NW707" s="6"/>
      <c r="NX707" s="6"/>
      <c r="NY707" s="6"/>
      <c r="NZ707" s="6"/>
      <c r="OA707" s="6"/>
      <c r="OB707" s="46"/>
      <c r="OC707" s="4"/>
      <c r="OD707" s="6"/>
    </row>
    <row r="708" spans="1:394" x14ac:dyDescent="0.25">
      <c r="A708" s="47"/>
      <c r="B708" s="48"/>
      <c r="C708" s="133"/>
      <c r="D708" s="133"/>
      <c r="E708" s="133"/>
      <c r="F708" s="133"/>
      <c r="G708" s="133"/>
      <c r="H708" s="133"/>
      <c r="I708" s="133"/>
      <c r="J708" s="133"/>
      <c r="K708" s="133"/>
      <c r="L708" s="133"/>
      <c r="NW708" s="6"/>
      <c r="NX708" s="6"/>
      <c r="NY708" s="6"/>
      <c r="NZ708" s="6"/>
      <c r="OA708" s="6"/>
      <c r="OB708" s="46"/>
      <c r="OC708" s="4"/>
      <c r="OD708" s="6"/>
    </row>
    <row r="709" spans="1:394" x14ac:dyDescent="0.25">
      <c r="A709" s="47"/>
      <c r="B709" s="48"/>
      <c r="C709" s="133"/>
      <c r="D709" s="133"/>
      <c r="E709" s="133"/>
      <c r="F709" s="133"/>
      <c r="G709" s="133"/>
      <c r="H709" s="133"/>
      <c r="I709" s="133"/>
      <c r="J709" s="133"/>
      <c r="K709" s="133"/>
      <c r="L709" s="133"/>
      <c r="NW709" s="6"/>
      <c r="NX709" s="6"/>
      <c r="NY709" s="6"/>
      <c r="NZ709" s="6"/>
      <c r="OA709" s="6"/>
      <c r="OB709" s="46"/>
      <c r="OC709" s="4"/>
      <c r="OD709" s="6"/>
    </row>
    <row r="710" spans="1:394" x14ac:dyDescent="0.25">
      <c r="A710" s="47"/>
      <c r="B710" s="48"/>
      <c r="C710" s="133"/>
      <c r="D710" s="133"/>
      <c r="E710" s="133"/>
      <c r="F710" s="133"/>
      <c r="G710" s="133"/>
      <c r="H710" s="133"/>
      <c r="I710" s="133"/>
      <c r="J710" s="133"/>
      <c r="K710" s="133"/>
      <c r="L710" s="133"/>
      <c r="NW710" s="6"/>
      <c r="NX710" s="6"/>
      <c r="NY710" s="6"/>
      <c r="NZ710" s="6"/>
      <c r="OA710" s="6"/>
      <c r="OB710" s="46"/>
      <c r="OC710" s="4"/>
      <c r="OD710" s="6"/>
    </row>
    <row r="711" spans="1:394" x14ac:dyDescent="0.25">
      <c r="A711" s="47"/>
      <c r="B711" s="48"/>
      <c r="C711" s="133"/>
      <c r="D711" s="133"/>
      <c r="E711" s="133"/>
      <c r="F711" s="133"/>
      <c r="G711" s="133"/>
      <c r="H711" s="133"/>
      <c r="I711" s="133"/>
      <c r="J711" s="133"/>
      <c r="K711" s="133"/>
      <c r="L711" s="133"/>
      <c r="NW711" s="6"/>
      <c r="NX711" s="6"/>
      <c r="NY711" s="6"/>
      <c r="NZ711" s="6"/>
      <c r="OA711" s="6"/>
      <c r="OB711" s="46"/>
      <c r="OC711" s="4"/>
      <c r="OD711" s="6"/>
    </row>
    <row r="712" spans="1:394" x14ac:dyDescent="0.25">
      <c r="A712" s="47"/>
      <c r="B712" s="48"/>
      <c r="C712" s="133"/>
      <c r="D712" s="133"/>
      <c r="E712" s="133"/>
      <c r="F712" s="133"/>
      <c r="G712" s="133"/>
      <c r="H712" s="133"/>
      <c r="I712" s="133"/>
      <c r="J712" s="133"/>
      <c r="K712" s="133"/>
      <c r="L712" s="133"/>
      <c r="NW712" s="6"/>
      <c r="NX712" s="6"/>
      <c r="NY712" s="6"/>
      <c r="NZ712" s="6"/>
      <c r="OA712" s="6"/>
      <c r="OB712" s="46"/>
      <c r="OC712" s="4"/>
      <c r="OD712" s="6"/>
    </row>
    <row r="713" spans="1:394" x14ac:dyDescent="0.25">
      <c r="A713" s="47"/>
      <c r="B713" s="48"/>
      <c r="C713" s="133"/>
      <c r="D713" s="133"/>
      <c r="E713" s="133"/>
      <c r="F713" s="133"/>
      <c r="G713" s="133"/>
      <c r="H713" s="133"/>
      <c r="I713" s="133"/>
      <c r="J713" s="133"/>
      <c r="K713" s="133"/>
      <c r="L713" s="133"/>
      <c r="NW713" s="6"/>
      <c r="NX713" s="6"/>
      <c r="NY713" s="6"/>
      <c r="NZ713" s="6"/>
      <c r="OA713" s="6"/>
      <c r="OB713" s="46"/>
      <c r="OC713" s="4"/>
      <c r="OD713" s="6"/>
    </row>
    <row r="714" spans="1:394" x14ac:dyDescent="0.25">
      <c r="A714" s="47"/>
      <c r="B714" s="48"/>
      <c r="C714" s="133"/>
      <c r="D714" s="133"/>
      <c r="E714" s="133"/>
      <c r="F714" s="133"/>
      <c r="G714" s="133"/>
      <c r="H714" s="133"/>
      <c r="I714" s="133"/>
      <c r="J714" s="133"/>
      <c r="K714" s="133"/>
      <c r="L714" s="133"/>
      <c r="NW714" s="6"/>
      <c r="NX714" s="6"/>
      <c r="NY714" s="6"/>
      <c r="NZ714" s="6"/>
      <c r="OA714" s="6"/>
      <c r="OB714" s="46"/>
      <c r="OC714" s="4"/>
      <c r="OD714" s="6"/>
    </row>
    <row r="715" spans="1:394" x14ac:dyDescent="0.25">
      <c r="A715" s="47"/>
      <c r="B715" s="48"/>
      <c r="C715" s="133"/>
      <c r="D715" s="133"/>
      <c r="E715" s="133"/>
      <c r="F715" s="133"/>
      <c r="G715" s="133"/>
      <c r="H715" s="133"/>
      <c r="I715" s="133"/>
      <c r="J715" s="133"/>
      <c r="K715" s="133"/>
      <c r="L715" s="133"/>
      <c r="NW715" s="6"/>
      <c r="NX715" s="6"/>
      <c r="NY715" s="6"/>
      <c r="NZ715" s="6"/>
      <c r="OA715" s="6"/>
      <c r="OB715" s="46"/>
      <c r="OC715" s="4"/>
      <c r="OD715" s="6"/>
    </row>
    <row r="716" spans="1:394" x14ac:dyDescent="0.25">
      <c r="A716" s="47"/>
      <c r="B716" s="48"/>
      <c r="C716" s="133"/>
      <c r="D716" s="133"/>
      <c r="E716" s="133"/>
      <c r="F716" s="133"/>
      <c r="G716" s="133"/>
      <c r="H716" s="133"/>
      <c r="I716" s="133"/>
      <c r="J716" s="133"/>
      <c r="K716" s="133"/>
      <c r="L716" s="133"/>
      <c r="NW716" s="6"/>
      <c r="NX716" s="6"/>
      <c r="NY716" s="6"/>
      <c r="NZ716" s="6"/>
      <c r="OA716" s="6"/>
      <c r="OB716" s="46"/>
      <c r="OC716" s="4"/>
      <c r="OD716" s="6"/>
    </row>
    <row r="717" spans="1:394" x14ac:dyDescent="0.25">
      <c r="A717" s="47"/>
      <c r="B717" s="48"/>
      <c r="C717" s="133"/>
      <c r="D717" s="133"/>
      <c r="E717" s="133"/>
      <c r="F717" s="133"/>
      <c r="G717" s="133"/>
      <c r="H717" s="133"/>
      <c r="I717" s="133"/>
      <c r="J717" s="133"/>
      <c r="K717" s="133"/>
      <c r="L717" s="133"/>
      <c r="NW717" s="6"/>
      <c r="NX717" s="6"/>
      <c r="NY717" s="6"/>
      <c r="NZ717" s="6"/>
      <c r="OA717" s="6"/>
      <c r="OB717" s="46"/>
      <c r="OC717" s="4"/>
      <c r="OD717" s="6"/>
    </row>
    <row r="718" spans="1:394" x14ac:dyDescent="0.25">
      <c r="A718" s="47"/>
      <c r="B718" s="48"/>
      <c r="C718" s="133"/>
      <c r="D718" s="133"/>
      <c r="E718" s="133"/>
      <c r="F718" s="133"/>
      <c r="G718" s="133"/>
      <c r="H718" s="133"/>
      <c r="I718" s="133"/>
      <c r="J718" s="133"/>
      <c r="K718" s="133"/>
      <c r="L718" s="133"/>
      <c r="NW718" s="6"/>
      <c r="NX718" s="6"/>
      <c r="NY718" s="6"/>
      <c r="NZ718" s="6"/>
      <c r="OA718" s="6"/>
      <c r="OB718" s="46"/>
      <c r="OC718" s="4"/>
      <c r="OD718" s="6"/>
    </row>
    <row r="719" spans="1:394" x14ac:dyDescent="0.25">
      <c r="A719" s="47"/>
      <c r="B719" s="48"/>
      <c r="C719" s="133"/>
      <c r="D719" s="133"/>
      <c r="E719" s="133"/>
      <c r="F719" s="133"/>
      <c r="G719" s="133"/>
      <c r="H719" s="133"/>
      <c r="I719" s="133"/>
      <c r="J719" s="133"/>
      <c r="K719" s="133"/>
      <c r="L719" s="133"/>
      <c r="NW719" s="6"/>
      <c r="NX719" s="6"/>
      <c r="NY719" s="6"/>
      <c r="NZ719" s="6"/>
      <c r="OA719" s="6"/>
      <c r="OB719" s="46"/>
      <c r="OC719" s="4"/>
      <c r="OD719" s="6"/>
    </row>
    <row r="720" spans="1:394" x14ac:dyDescent="0.25">
      <c r="A720" s="47"/>
      <c r="B720" s="48"/>
      <c r="C720" s="133"/>
      <c r="D720" s="133"/>
      <c r="E720" s="133"/>
      <c r="F720" s="133"/>
      <c r="G720" s="133"/>
      <c r="H720" s="133"/>
      <c r="I720" s="133"/>
      <c r="J720" s="133"/>
      <c r="K720" s="133"/>
      <c r="L720" s="133"/>
      <c r="NW720" s="6"/>
      <c r="NX720" s="6"/>
      <c r="NY720" s="6"/>
      <c r="NZ720" s="6"/>
      <c r="OA720" s="6"/>
      <c r="OB720" s="46"/>
      <c r="OC720" s="4"/>
      <c r="OD720" s="6"/>
    </row>
    <row r="721" spans="1:394" x14ac:dyDescent="0.25">
      <c r="A721" s="47"/>
      <c r="B721" s="48"/>
      <c r="C721" s="133"/>
      <c r="D721" s="133"/>
      <c r="E721" s="133"/>
      <c r="F721" s="133"/>
      <c r="G721" s="133"/>
      <c r="H721" s="133"/>
      <c r="I721" s="133"/>
      <c r="J721" s="133"/>
      <c r="K721" s="133"/>
      <c r="L721" s="133"/>
      <c r="NW721" s="6"/>
      <c r="NX721" s="6"/>
      <c r="NY721" s="6"/>
      <c r="NZ721" s="6"/>
      <c r="OA721" s="6"/>
      <c r="OB721" s="46"/>
      <c r="OC721" s="4"/>
      <c r="OD721" s="6"/>
    </row>
    <row r="722" spans="1:394" x14ac:dyDescent="0.25">
      <c r="A722" s="47"/>
      <c r="B722" s="48"/>
      <c r="C722" s="133"/>
      <c r="D722" s="133"/>
      <c r="E722" s="133"/>
      <c r="F722" s="133"/>
      <c r="G722" s="133"/>
      <c r="H722" s="133"/>
      <c r="I722" s="133"/>
      <c r="J722" s="133"/>
      <c r="K722" s="133"/>
      <c r="L722" s="133"/>
      <c r="NW722" s="6"/>
      <c r="NX722" s="6"/>
      <c r="NY722" s="6"/>
      <c r="NZ722" s="6"/>
      <c r="OA722" s="6"/>
      <c r="OB722" s="46"/>
      <c r="OC722" s="4"/>
      <c r="OD722" s="6"/>
    </row>
    <row r="723" spans="1:394" x14ac:dyDescent="0.25">
      <c r="A723" s="47"/>
      <c r="B723" s="48"/>
      <c r="C723" s="133"/>
      <c r="D723" s="133"/>
      <c r="E723" s="133"/>
      <c r="F723" s="133"/>
      <c r="G723" s="133"/>
      <c r="H723" s="133"/>
      <c r="I723" s="133"/>
      <c r="J723" s="133"/>
      <c r="K723" s="133"/>
      <c r="L723" s="133"/>
      <c r="NW723" s="6"/>
      <c r="NX723" s="6"/>
      <c r="NY723" s="6"/>
      <c r="NZ723" s="6"/>
      <c r="OA723" s="6"/>
      <c r="OB723" s="46"/>
      <c r="OC723" s="4"/>
      <c r="OD723" s="6"/>
    </row>
    <row r="724" spans="1:394" x14ac:dyDescent="0.25">
      <c r="A724" s="47"/>
      <c r="B724" s="48"/>
      <c r="C724" s="133"/>
      <c r="D724" s="133"/>
      <c r="E724" s="133"/>
      <c r="F724" s="133"/>
      <c r="G724" s="133"/>
      <c r="H724" s="133"/>
      <c r="I724" s="133"/>
      <c r="J724" s="133"/>
      <c r="K724" s="133"/>
      <c r="L724" s="133"/>
      <c r="NW724" s="6"/>
      <c r="NX724" s="6"/>
      <c r="NY724" s="6"/>
      <c r="NZ724" s="6"/>
      <c r="OA724" s="6"/>
      <c r="OB724" s="46"/>
      <c r="OC724" s="4"/>
      <c r="OD724" s="6"/>
    </row>
    <row r="725" spans="1:394" x14ac:dyDescent="0.25">
      <c r="A725" s="47"/>
      <c r="B725" s="48"/>
      <c r="C725" s="133"/>
      <c r="D725" s="133"/>
      <c r="E725" s="133"/>
      <c r="F725" s="133"/>
      <c r="G725" s="133"/>
      <c r="H725" s="133"/>
      <c r="I725" s="133"/>
      <c r="J725" s="133"/>
      <c r="K725" s="133"/>
      <c r="L725" s="133"/>
      <c r="NW725" s="6"/>
      <c r="NX725" s="6"/>
      <c r="NY725" s="6"/>
      <c r="NZ725" s="6"/>
      <c r="OA725" s="6"/>
      <c r="OB725" s="46"/>
      <c r="OC725" s="4"/>
      <c r="OD725" s="6"/>
    </row>
    <row r="726" spans="1:394" x14ac:dyDescent="0.25">
      <c r="A726" s="47"/>
      <c r="B726" s="48"/>
      <c r="C726" s="133"/>
      <c r="D726" s="133"/>
      <c r="E726" s="133"/>
      <c r="F726" s="133"/>
      <c r="G726" s="133"/>
      <c r="H726" s="133"/>
      <c r="I726" s="133"/>
      <c r="J726" s="133"/>
      <c r="K726" s="133"/>
      <c r="L726" s="133"/>
      <c r="NW726" s="6"/>
      <c r="NX726" s="6"/>
      <c r="NY726" s="6"/>
      <c r="NZ726" s="6"/>
      <c r="OA726" s="6"/>
      <c r="OB726" s="46"/>
      <c r="OC726" s="4"/>
      <c r="OD726" s="6"/>
    </row>
    <row r="727" spans="1:394" x14ac:dyDescent="0.25">
      <c r="A727" s="47"/>
      <c r="B727" s="48"/>
      <c r="C727" s="133"/>
      <c r="D727" s="133"/>
      <c r="E727" s="133"/>
      <c r="F727" s="133"/>
      <c r="G727" s="133"/>
      <c r="H727" s="133"/>
      <c r="I727" s="133"/>
      <c r="J727" s="133"/>
      <c r="K727" s="133"/>
      <c r="L727" s="133"/>
      <c r="NW727" s="6"/>
      <c r="NX727" s="6"/>
      <c r="NY727" s="6"/>
      <c r="NZ727" s="6"/>
      <c r="OA727" s="6"/>
      <c r="OB727" s="46"/>
      <c r="OC727" s="4"/>
      <c r="OD727" s="6"/>
    </row>
    <row r="728" spans="1:394" x14ac:dyDescent="0.25">
      <c r="A728" s="47"/>
      <c r="B728" s="48"/>
      <c r="C728" s="133"/>
      <c r="D728" s="133"/>
      <c r="E728" s="133"/>
      <c r="F728" s="133"/>
      <c r="G728" s="133"/>
      <c r="H728" s="133"/>
      <c r="I728" s="133"/>
      <c r="J728" s="133"/>
      <c r="K728" s="133"/>
      <c r="L728" s="133"/>
      <c r="NW728" s="6"/>
      <c r="NX728" s="6"/>
      <c r="NY728" s="6"/>
      <c r="NZ728" s="6"/>
      <c r="OA728" s="6"/>
      <c r="OB728" s="46"/>
      <c r="OC728" s="4"/>
      <c r="OD728" s="6"/>
    </row>
    <row r="729" spans="1:394" x14ac:dyDescent="0.25">
      <c r="A729" s="47"/>
      <c r="B729" s="48"/>
      <c r="C729" s="133"/>
      <c r="D729" s="133"/>
      <c r="E729" s="133"/>
      <c r="F729" s="133"/>
      <c r="G729" s="133"/>
      <c r="H729" s="133"/>
      <c r="I729" s="133"/>
      <c r="J729" s="133"/>
      <c r="K729" s="133"/>
      <c r="L729" s="133"/>
      <c r="NW729" s="6"/>
      <c r="NX729" s="6"/>
      <c r="NY729" s="6"/>
      <c r="NZ729" s="6"/>
      <c r="OA729" s="6"/>
      <c r="OB729" s="46"/>
      <c r="OC729" s="4"/>
      <c r="OD729" s="6"/>
    </row>
    <row r="730" spans="1:394" x14ac:dyDescent="0.25">
      <c r="A730" s="47"/>
      <c r="B730" s="48"/>
      <c r="C730" s="133"/>
      <c r="D730" s="133"/>
      <c r="E730" s="133"/>
      <c r="F730" s="133"/>
      <c r="G730" s="133"/>
      <c r="H730" s="133"/>
      <c r="I730" s="133"/>
      <c r="J730" s="133"/>
      <c r="K730" s="133"/>
      <c r="L730" s="133"/>
      <c r="NW730" s="6"/>
      <c r="NX730" s="6"/>
      <c r="NY730" s="6"/>
      <c r="NZ730" s="6"/>
      <c r="OA730" s="6"/>
      <c r="OB730" s="46"/>
      <c r="OC730" s="4"/>
      <c r="OD730" s="6"/>
    </row>
    <row r="731" spans="1:394" x14ac:dyDescent="0.25">
      <c r="A731" s="47"/>
      <c r="B731" s="48"/>
      <c r="C731" s="133"/>
      <c r="D731" s="133"/>
      <c r="E731" s="133"/>
      <c r="F731" s="133"/>
      <c r="G731" s="133"/>
      <c r="H731" s="133"/>
      <c r="I731" s="133"/>
      <c r="J731" s="133"/>
      <c r="K731" s="133"/>
      <c r="L731" s="133"/>
      <c r="NW731" s="6"/>
      <c r="NX731" s="6"/>
      <c r="NY731" s="6"/>
      <c r="NZ731" s="6"/>
      <c r="OA731" s="6"/>
      <c r="OB731" s="46"/>
      <c r="OC731" s="4"/>
      <c r="OD731" s="6"/>
    </row>
    <row r="732" spans="1:394" x14ac:dyDescent="0.25">
      <c r="A732" s="47"/>
      <c r="B732" s="48"/>
      <c r="C732" s="133"/>
      <c r="D732" s="133"/>
      <c r="E732" s="133"/>
      <c r="F732" s="133"/>
      <c r="G732" s="133"/>
      <c r="H732" s="133"/>
      <c r="I732" s="133"/>
      <c r="J732" s="133"/>
      <c r="K732" s="133"/>
      <c r="L732" s="133"/>
      <c r="NW732" s="6"/>
      <c r="NX732" s="6"/>
      <c r="NY732" s="6"/>
      <c r="NZ732" s="6"/>
      <c r="OA732" s="6"/>
      <c r="OB732" s="46"/>
      <c r="OC732" s="4"/>
      <c r="OD732" s="6"/>
    </row>
    <row r="733" spans="1:394" x14ac:dyDescent="0.25">
      <c r="A733" s="47"/>
      <c r="B733" s="48"/>
      <c r="C733" s="133"/>
      <c r="D733" s="133"/>
      <c r="E733" s="133"/>
      <c r="F733" s="133"/>
      <c r="G733" s="133"/>
      <c r="H733" s="133"/>
      <c r="I733" s="133"/>
      <c r="J733" s="133"/>
      <c r="K733" s="133"/>
      <c r="L733" s="133"/>
      <c r="NW733" s="6"/>
      <c r="NX733" s="6"/>
      <c r="NY733" s="6"/>
      <c r="NZ733" s="6"/>
      <c r="OA733" s="6"/>
      <c r="OB733" s="46"/>
      <c r="OC733" s="4"/>
      <c r="OD733" s="6"/>
    </row>
    <row r="734" spans="1:394" x14ac:dyDescent="0.25">
      <c r="A734" s="47"/>
      <c r="B734" s="48"/>
      <c r="C734" s="133"/>
      <c r="D734" s="133"/>
      <c r="E734" s="133"/>
      <c r="F734" s="133"/>
      <c r="G734" s="133"/>
      <c r="H734" s="133"/>
      <c r="I734" s="133"/>
      <c r="J734" s="133"/>
      <c r="K734" s="133"/>
      <c r="L734" s="133"/>
      <c r="NW734" s="6"/>
      <c r="NX734" s="6"/>
      <c r="NY734" s="6"/>
      <c r="NZ734" s="6"/>
      <c r="OA734" s="6"/>
      <c r="OB734" s="46"/>
      <c r="OC734" s="4"/>
      <c r="OD734" s="6"/>
    </row>
    <row r="735" spans="1:394" x14ac:dyDescent="0.25">
      <c r="A735" s="47"/>
      <c r="B735" s="48"/>
      <c r="C735" s="133"/>
      <c r="D735" s="133"/>
      <c r="E735" s="133"/>
      <c r="F735" s="133"/>
      <c r="G735" s="133"/>
      <c r="H735" s="133"/>
      <c r="I735" s="133"/>
      <c r="J735" s="133"/>
      <c r="K735" s="133"/>
      <c r="L735" s="133"/>
      <c r="NW735" s="6"/>
      <c r="NX735" s="6"/>
      <c r="NY735" s="6"/>
      <c r="NZ735" s="6"/>
      <c r="OA735" s="6"/>
      <c r="OB735" s="46"/>
      <c r="OC735" s="4"/>
      <c r="OD735" s="6"/>
    </row>
    <row r="736" spans="1:394" x14ac:dyDescent="0.25">
      <c r="A736" s="47"/>
      <c r="B736" s="48"/>
      <c r="C736" s="133"/>
      <c r="D736" s="133"/>
      <c r="E736" s="133"/>
      <c r="F736" s="133"/>
      <c r="G736" s="133"/>
      <c r="H736" s="133"/>
      <c r="I736" s="133"/>
      <c r="J736" s="133"/>
      <c r="K736" s="133"/>
      <c r="L736" s="133"/>
      <c r="NW736" s="6"/>
      <c r="NX736" s="6"/>
      <c r="NY736" s="6"/>
      <c r="NZ736" s="6"/>
      <c r="OA736" s="6"/>
      <c r="OB736" s="46"/>
      <c r="OC736" s="4"/>
      <c r="OD736" s="6"/>
    </row>
    <row r="737" spans="1:394" x14ac:dyDescent="0.25">
      <c r="A737" s="47"/>
      <c r="B737" s="48"/>
      <c r="C737" s="133"/>
      <c r="D737" s="133"/>
      <c r="E737" s="133"/>
      <c r="F737" s="133"/>
      <c r="G737" s="133"/>
      <c r="H737" s="133"/>
      <c r="I737" s="133"/>
      <c r="J737" s="133"/>
      <c r="K737" s="133"/>
      <c r="L737" s="133"/>
      <c r="NW737" s="6"/>
      <c r="NX737" s="6"/>
      <c r="NY737" s="6"/>
      <c r="NZ737" s="6"/>
      <c r="OA737" s="6"/>
      <c r="OB737" s="46"/>
      <c r="OC737" s="4"/>
      <c r="OD737" s="6"/>
    </row>
    <row r="738" spans="1:394" x14ac:dyDescent="0.25">
      <c r="A738" s="47"/>
      <c r="B738" s="48"/>
      <c r="C738" s="133"/>
      <c r="D738" s="133"/>
      <c r="E738" s="133"/>
      <c r="F738" s="133"/>
      <c r="G738" s="133"/>
      <c r="H738" s="133"/>
      <c r="I738" s="133"/>
      <c r="J738" s="133"/>
      <c r="K738" s="133"/>
      <c r="L738" s="133"/>
      <c r="NW738" s="6"/>
      <c r="NX738" s="6"/>
      <c r="NY738" s="6"/>
      <c r="NZ738" s="6"/>
      <c r="OA738" s="6"/>
      <c r="OB738" s="46"/>
      <c r="OC738" s="4"/>
      <c r="OD738" s="6"/>
    </row>
    <row r="739" spans="1:394" x14ac:dyDescent="0.25">
      <c r="A739" s="47"/>
      <c r="B739" s="48"/>
      <c r="C739" s="133"/>
      <c r="D739" s="133"/>
      <c r="E739" s="133"/>
      <c r="F739" s="133"/>
      <c r="G739" s="133"/>
      <c r="H739" s="133"/>
      <c r="I739" s="133"/>
      <c r="J739" s="133"/>
      <c r="K739" s="133"/>
      <c r="L739" s="133"/>
      <c r="NW739" s="6"/>
      <c r="NX739" s="6"/>
      <c r="NY739" s="6"/>
      <c r="NZ739" s="6"/>
      <c r="OA739" s="6"/>
      <c r="OB739" s="46"/>
      <c r="OC739" s="4"/>
      <c r="OD739" s="6"/>
    </row>
    <row r="740" spans="1:394" x14ac:dyDescent="0.25">
      <c r="A740" s="47"/>
      <c r="B740" s="48"/>
      <c r="C740" s="133"/>
      <c r="D740" s="133"/>
      <c r="E740" s="133"/>
      <c r="F740" s="133"/>
      <c r="G740" s="133"/>
      <c r="H740" s="133"/>
      <c r="I740" s="133"/>
      <c r="J740" s="133"/>
      <c r="K740" s="133"/>
      <c r="L740" s="133"/>
      <c r="NW740" s="6"/>
      <c r="NX740" s="6"/>
      <c r="NY740" s="6"/>
      <c r="NZ740" s="6"/>
      <c r="OA740" s="6"/>
      <c r="OB740" s="46"/>
      <c r="OC740" s="4"/>
      <c r="OD740" s="6"/>
    </row>
    <row r="741" spans="1:394" x14ac:dyDescent="0.25">
      <c r="A741" s="47"/>
      <c r="B741" s="48"/>
      <c r="C741" s="133"/>
      <c r="D741" s="133"/>
      <c r="E741" s="133"/>
      <c r="F741" s="133"/>
      <c r="G741" s="133"/>
      <c r="H741" s="133"/>
      <c r="I741" s="133"/>
      <c r="J741" s="133"/>
      <c r="K741" s="133"/>
      <c r="L741" s="133"/>
      <c r="NW741" s="6"/>
      <c r="NX741" s="6"/>
      <c r="NY741" s="6"/>
      <c r="NZ741" s="6"/>
      <c r="OA741" s="6"/>
      <c r="OB741" s="46"/>
      <c r="OC741" s="4"/>
      <c r="OD741" s="6"/>
    </row>
    <row r="742" spans="1:394" x14ac:dyDescent="0.25">
      <c r="A742" s="47"/>
      <c r="B742" s="48"/>
      <c r="C742" s="133"/>
      <c r="D742" s="133"/>
      <c r="E742" s="133"/>
      <c r="F742" s="133"/>
      <c r="G742" s="133"/>
      <c r="H742" s="133"/>
      <c r="I742" s="133"/>
      <c r="J742" s="133"/>
      <c r="K742" s="133"/>
      <c r="L742" s="133"/>
      <c r="NW742" s="6"/>
      <c r="NX742" s="6"/>
      <c r="NY742" s="6"/>
      <c r="NZ742" s="6"/>
      <c r="OA742" s="6"/>
      <c r="OB742" s="46"/>
      <c r="OC742" s="4"/>
      <c r="OD742" s="6"/>
    </row>
    <row r="743" spans="1:394" x14ac:dyDescent="0.25">
      <c r="A743" s="47"/>
      <c r="B743" s="48"/>
      <c r="C743" s="133"/>
      <c r="D743" s="133"/>
      <c r="E743" s="133"/>
      <c r="F743" s="133"/>
      <c r="G743" s="133"/>
      <c r="H743" s="133"/>
      <c r="I743" s="133"/>
      <c r="J743" s="133"/>
      <c r="K743" s="133"/>
      <c r="L743" s="133"/>
      <c r="NW743" s="6"/>
      <c r="NX743" s="6"/>
      <c r="NY743" s="6"/>
      <c r="NZ743" s="6"/>
      <c r="OA743" s="6"/>
      <c r="OB743" s="46"/>
      <c r="OC743" s="4"/>
      <c r="OD743" s="6"/>
    </row>
    <row r="744" spans="1:394" x14ac:dyDescent="0.25">
      <c r="A744" s="47"/>
      <c r="B744" s="48"/>
      <c r="C744" s="133"/>
      <c r="D744" s="133"/>
      <c r="E744" s="133"/>
      <c r="F744" s="133"/>
      <c r="G744" s="133"/>
      <c r="H744" s="133"/>
      <c r="I744" s="133"/>
      <c r="J744" s="133"/>
      <c r="K744" s="133"/>
      <c r="L744" s="133"/>
      <c r="NW744" s="6"/>
      <c r="NX744" s="6"/>
      <c r="NY744" s="6"/>
      <c r="NZ744" s="6"/>
      <c r="OA744" s="6"/>
      <c r="OB744" s="46"/>
      <c r="OC744" s="4"/>
      <c r="OD744" s="6"/>
    </row>
    <row r="745" spans="1:394" x14ac:dyDescent="0.25">
      <c r="A745" s="47"/>
      <c r="B745" s="48"/>
      <c r="C745" s="133"/>
      <c r="D745" s="133"/>
      <c r="E745" s="133"/>
      <c r="F745" s="133"/>
      <c r="G745" s="133"/>
      <c r="H745" s="133"/>
      <c r="I745" s="133"/>
      <c r="J745" s="133"/>
      <c r="K745" s="133"/>
      <c r="L745" s="133"/>
      <c r="NW745" s="6"/>
      <c r="NX745" s="6"/>
      <c r="NY745" s="6"/>
      <c r="NZ745" s="6"/>
      <c r="OA745" s="6"/>
      <c r="OB745" s="46"/>
      <c r="OC745" s="4"/>
      <c r="OD745" s="6"/>
    </row>
    <row r="746" spans="1:394" x14ac:dyDescent="0.25">
      <c r="A746" s="47"/>
      <c r="B746" s="48"/>
      <c r="C746" s="133"/>
      <c r="D746" s="133"/>
      <c r="E746" s="133"/>
      <c r="F746" s="133"/>
      <c r="G746" s="133"/>
      <c r="H746" s="133"/>
      <c r="I746" s="133"/>
      <c r="J746" s="133"/>
      <c r="K746" s="133"/>
      <c r="L746" s="133"/>
      <c r="NW746" s="6"/>
      <c r="NX746" s="6"/>
      <c r="NY746" s="6"/>
      <c r="NZ746" s="6"/>
      <c r="OA746" s="6"/>
      <c r="OB746" s="46"/>
      <c r="OC746" s="4"/>
      <c r="OD746" s="6"/>
    </row>
    <row r="747" spans="1:394" x14ac:dyDescent="0.25">
      <c r="A747" s="47"/>
      <c r="B747" s="48"/>
      <c r="C747" s="133"/>
      <c r="D747" s="133"/>
      <c r="E747" s="133"/>
      <c r="F747" s="133"/>
      <c r="G747" s="133"/>
      <c r="H747" s="133"/>
      <c r="I747" s="133"/>
      <c r="J747" s="133"/>
      <c r="K747" s="133"/>
      <c r="L747" s="133"/>
      <c r="NW747" s="6"/>
      <c r="NX747" s="6"/>
      <c r="NY747" s="6"/>
      <c r="NZ747" s="6"/>
      <c r="OA747" s="6"/>
      <c r="OB747" s="46"/>
      <c r="OC747" s="4"/>
      <c r="OD747" s="6"/>
    </row>
    <row r="748" spans="1:394" x14ac:dyDescent="0.25">
      <c r="A748" s="47"/>
      <c r="B748" s="48"/>
      <c r="C748" s="133"/>
      <c r="D748" s="133"/>
      <c r="E748" s="133"/>
      <c r="F748" s="133"/>
      <c r="G748" s="133"/>
      <c r="H748" s="133"/>
      <c r="I748" s="133"/>
      <c r="J748" s="133"/>
      <c r="K748" s="133"/>
      <c r="L748" s="133"/>
      <c r="NW748" s="6"/>
      <c r="NX748" s="6"/>
      <c r="NY748" s="6"/>
      <c r="NZ748" s="6"/>
      <c r="OA748" s="6"/>
      <c r="OB748" s="46"/>
      <c r="OC748" s="4"/>
      <c r="OD748" s="6"/>
    </row>
    <row r="749" spans="1:394" x14ac:dyDescent="0.25">
      <c r="A749" s="47"/>
      <c r="B749" s="48"/>
      <c r="C749" s="133"/>
      <c r="D749" s="133"/>
      <c r="E749" s="133"/>
      <c r="F749" s="133"/>
      <c r="G749" s="133"/>
      <c r="H749" s="133"/>
      <c r="I749" s="133"/>
      <c r="J749" s="133"/>
      <c r="K749" s="133"/>
      <c r="L749" s="133"/>
      <c r="NW749" s="6"/>
      <c r="NX749" s="6"/>
      <c r="NY749" s="6"/>
      <c r="NZ749" s="6"/>
      <c r="OA749" s="6"/>
      <c r="OB749" s="46"/>
      <c r="OC749" s="4"/>
      <c r="OD749" s="6"/>
    </row>
    <row r="750" spans="1:394" x14ac:dyDescent="0.25">
      <c r="A750" s="47"/>
      <c r="B750" s="48"/>
      <c r="C750" s="133"/>
      <c r="D750" s="133"/>
      <c r="E750" s="133"/>
      <c r="F750" s="133"/>
      <c r="G750" s="133"/>
      <c r="H750" s="133"/>
      <c r="I750" s="133"/>
      <c r="J750" s="133"/>
      <c r="K750" s="133"/>
      <c r="L750" s="133"/>
      <c r="NW750" s="6"/>
      <c r="NX750" s="6"/>
      <c r="NY750" s="6"/>
      <c r="NZ750" s="6"/>
      <c r="OA750" s="6"/>
      <c r="OB750" s="46"/>
      <c r="OC750" s="4"/>
      <c r="OD750" s="6"/>
    </row>
    <row r="751" spans="1:394" x14ac:dyDescent="0.25">
      <c r="A751" s="47"/>
      <c r="B751" s="48"/>
      <c r="C751" s="133"/>
      <c r="D751" s="133"/>
      <c r="E751" s="133"/>
      <c r="F751" s="133"/>
      <c r="G751" s="133"/>
      <c r="H751" s="133"/>
      <c r="I751" s="133"/>
      <c r="J751" s="133"/>
      <c r="K751" s="133"/>
      <c r="L751" s="133"/>
      <c r="NW751" s="6"/>
      <c r="NX751" s="6"/>
      <c r="NY751" s="6"/>
      <c r="NZ751" s="6"/>
      <c r="OA751" s="6"/>
      <c r="OB751" s="46"/>
      <c r="OC751" s="4"/>
      <c r="OD751" s="6"/>
    </row>
    <row r="752" spans="1:394" x14ac:dyDescent="0.25">
      <c r="A752" s="47"/>
      <c r="B752" s="48"/>
      <c r="C752" s="133"/>
      <c r="D752" s="133"/>
      <c r="E752" s="133"/>
      <c r="F752" s="133"/>
      <c r="G752" s="133"/>
      <c r="H752" s="133"/>
      <c r="I752" s="133"/>
      <c r="J752" s="133"/>
      <c r="K752" s="133"/>
      <c r="L752" s="133"/>
      <c r="NW752" s="6"/>
      <c r="NX752" s="6"/>
      <c r="NY752" s="6"/>
      <c r="NZ752" s="6"/>
      <c r="OA752" s="6"/>
      <c r="OB752" s="46"/>
      <c r="OC752" s="4"/>
      <c r="OD752" s="6"/>
    </row>
    <row r="753" spans="1:394" x14ac:dyDescent="0.25">
      <c r="A753" s="47"/>
      <c r="B753" s="48"/>
      <c r="C753" s="133"/>
      <c r="D753" s="133"/>
      <c r="E753" s="133"/>
      <c r="F753" s="133"/>
      <c r="G753" s="133"/>
      <c r="H753" s="133"/>
      <c r="I753" s="133"/>
      <c r="J753" s="133"/>
      <c r="K753" s="133"/>
      <c r="L753" s="133"/>
      <c r="NW753" s="6"/>
      <c r="NX753" s="6"/>
      <c r="NY753" s="6"/>
      <c r="NZ753" s="6"/>
      <c r="OA753" s="6"/>
      <c r="OB753" s="46"/>
      <c r="OC753" s="4"/>
      <c r="OD753" s="6"/>
    </row>
    <row r="754" spans="1:394" x14ac:dyDescent="0.25">
      <c r="A754" s="47"/>
      <c r="B754" s="48"/>
      <c r="C754" s="133"/>
      <c r="D754" s="133"/>
      <c r="E754" s="133"/>
      <c r="F754" s="133"/>
      <c r="G754" s="133"/>
      <c r="H754" s="133"/>
      <c r="I754" s="133"/>
      <c r="J754" s="133"/>
      <c r="K754" s="133"/>
      <c r="L754" s="133"/>
      <c r="NW754" s="6"/>
      <c r="NX754" s="6"/>
      <c r="NY754" s="6"/>
      <c r="NZ754" s="6"/>
      <c r="OA754" s="6"/>
      <c r="OB754" s="46"/>
      <c r="OC754" s="4"/>
      <c r="OD754" s="6"/>
    </row>
    <row r="755" spans="1:394" x14ac:dyDescent="0.25">
      <c r="A755" s="47"/>
      <c r="B755" s="48"/>
      <c r="C755" s="133"/>
      <c r="D755" s="133"/>
      <c r="E755" s="133"/>
      <c r="F755" s="133"/>
      <c r="G755" s="133"/>
      <c r="H755" s="133"/>
      <c r="I755" s="133"/>
      <c r="J755" s="133"/>
      <c r="K755" s="133"/>
      <c r="L755" s="133"/>
      <c r="NW755" s="6"/>
      <c r="NX755" s="6"/>
      <c r="NY755" s="6"/>
      <c r="NZ755" s="6"/>
      <c r="OA755" s="6"/>
      <c r="OB755" s="46"/>
      <c r="OC755" s="4"/>
      <c r="OD755" s="6"/>
    </row>
    <row r="756" spans="1:394" x14ac:dyDescent="0.25">
      <c r="A756" s="47"/>
      <c r="B756" s="48"/>
      <c r="C756" s="133"/>
      <c r="D756" s="133"/>
      <c r="E756" s="133"/>
      <c r="F756" s="133"/>
      <c r="G756" s="133"/>
      <c r="H756" s="133"/>
      <c r="I756" s="133"/>
      <c r="J756" s="133"/>
      <c r="K756" s="133"/>
      <c r="L756" s="133"/>
      <c r="NW756" s="6"/>
      <c r="NX756" s="6"/>
      <c r="NY756" s="6"/>
      <c r="NZ756" s="6"/>
      <c r="OA756" s="6"/>
      <c r="OB756" s="46"/>
      <c r="OC756" s="4"/>
      <c r="OD756" s="6"/>
    </row>
    <row r="757" spans="1:394" x14ac:dyDescent="0.25">
      <c r="A757" s="47"/>
      <c r="B757" s="48"/>
      <c r="C757" s="133"/>
      <c r="D757" s="133"/>
      <c r="E757" s="133"/>
      <c r="F757" s="133"/>
      <c r="G757" s="133"/>
      <c r="H757" s="133"/>
      <c r="I757" s="133"/>
      <c r="J757" s="133"/>
      <c r="K757" s="133"/>
      <c r="L757" s="133"/>
      <c r="NW757" s="6"/>
      <c r="NX757" s="6"/>
      <c r="NY757" s="6"/>
      <c r="NZ757" s="6"/>
      <c r="OA757" s="6"/>
      <c r="OB757" s="46"/>
      <c r="OC757" s="4"/>
      <c r="OD757" s="6"/>
    </row>
    <row r="758" spans="1:394" x14ac:dyDescent="0.25">
      <c r="A758" s="47"/>
      <c r="B758" s="48"/>
      <c r="C758" s="133"/>
      <c r="D758" s="133"/>
      <c r="E758" s="133"/>
      <c r="F758" s="133"/>
      <c r="G758" s="133"/>
      <c r="H758" s="133"/>
      <c r="I758" s="133"/>
      <c r="J758" s="133"/>
      <c r="K758" s="133"/>
      <c r="L758" s="133"/>
      <c r="NW758" s="6"/>
      <c r="NX758" s="6"/>
      <c r="NY758" s="6"/>
      <c r="NZ758" s="6"/>
      <c r="OA758" s="6"/>
      <c r="OB758" s="46"/>
      <c r="OC758" s="4"/>
      <c r="OD758" s="6"/>
    </row>
    <row r="759" spans="1:394" x14ac:dyDescent="0.25">
      <c r="A759" s="47"/>
      <c r="B759" s="48"/>
      <c r="C759" s="133"/>
      <c r="D759" s="133"/>
      <c r="E759" s="133"/>
      <c r="F759" s="133"/>
      <c r="G759" s="133"/>
      <c r="H759" s="133"/>
      <c r="I759" s="133"/>
      <c r="J759" s="133"/>
      <c r="K759" s="133"/>
      <c r="L759" s="133"/>
      <c r="NW759" s="6"/>
      <c r="NX759" s="6"/>
      <c r="NY759" s="6"/>
      <c r="NZ759" s="6"/>
      <c r="OA759" s="6"/>
      <c r="OB759" s="46"/>
      <c r="OC759" s="4"/>
      <c r="OD759" s="6"/>
    </row>
    <row r="760" spans="1:394" x14ac:dyDescent="0.25">
      <c r="A760" s="47"/>
      <c r="B760" s="48"/>
      <c r="C760" s="133"/>
      <c r="D760" s="133"/>
      <c r="E760" s="133"/>
      <c r="F760" s="133"/>
      <c r="G760" s="133"/>
      <c r="H760" s="133"/>
      <c r="I760" s="133"/>
      <c r="J760" s="133"/>
      <c r="K760" s="133"/>
      <c r="L760" s="133"/>
      <c r="NW760" s="6"/>
      <c r="NX760" s="6"/>
      <c r="NY760" s="6"/>
      <c r="NZ760" s="6"/>
      <c r="OA760" s="6"/>
      <c r="OB760" s="46"/>
      <c r="OC760" s="4"/>
      <c r="OD760" s="6"/>
    </row>
    <row r="761" spans="1:394" x14ac:dyDescent="0.25">
      <c r="A761" s="47"/>
      <c r="B761" s="48"/>
      <c r="C761" s="133"/>
      <c r="D761" s="133"/>
      <c r="E761" s="133"/>
      <c r="F761" s="133"/>
      <c r="G761" s="133"/>
      <c r="H761" s="133"/>
      <c r="I761" s="133"/>
      <c r="J761" s="133"/>
      <c r="K761" s="133"/>
      <c r="L761" s="133"/>
      <c r="NW761" s="6"/>
      <c r="NX761" s="6"/>
      <c r="NY761" s="6"/>
      <c r="NZ761" s="6"/>
      <c r="OA761" s="6"/>
      <c r="OB761" s="46"/>
      <c r="OC761" s="4"/>
      <c r="OD761" s="6"/>
    </row>
    <row r="762" spans="1:394" x14ac:dyDescent="0.25">
      <c r="A762" s="47"/>
      <c r="B762" s="48"/>
      <c r="C762" s="133"/>
      <c r="D762" s="133"/>
      <c r="E762" s="133"/>
      <c r="F762" s="133"/>
      <c r="G762" s="133"/>
      <c r="H762" s="133"/>
      <c r="I762" s="133"/>
      <c r="J762" s="133"/>
      <c r="K762" s="133"/>
      <c r="L762" s="133"/>
      <c r="NW762" s="6"/>
      <c r="NX762" s="6"/>
      <c r="NY762" s="6"/>
      <c r="NZ762" s="6"/>
      <c r="OA762" s="6"/>
      <c r="OB762" s="46"/>
      <c r="OC762" s="4"/>
      <c r="OD762" s="6"/>
    </row>
    <row r="763" spans="1:394" x14ac:dyDescent="0.25">
      <c r="A763" s="47"/>
      <c r="B763" s="48"/>
      <c r="C763" s="133"/>
      <c r="D763" s="133"/>
      <c r="E763" s="133"/>
      <c r="F763" s="133"/>
      <c r="G763" s="133"/>
      <c r="H763" s="133"/>
      <c r="I763" s="133"/>
      <c r="J763" s="133"/>
      <c r="K763" s="133"/>
      <c r="L763" s="133"/>
      <c r="NW763" s="6"/>
      <c r="NX763" s="6"/>
      <c r="NY763" s="6"/>
      <c r="NZ763" s="6"/>
      <c r="OA763" s="6"/>
      <c r="OB763" s="46"/>
      <c r="OC763" s="4"/>
      <c r="OD763" s="6"/>
    </row>
    <row r="764" spans="1:394" x14ac:dyDescent="0.25">
      <c r="A764" s="47"/>
      <c r="B764" s="48"/>
      <c r="C764" s="133"/>
      <c r="D764" s="133"/>
      <c r="E764" s="133"/>
      <c r="F764" s="133"/>
      <c r="G764" s="133"/>
      <c r="H764" s="133"/>
      <c r="I764" s="133"/>
      <c r="J764" s="133"/>
      <c r="K764" s="133"/>
      <c r="L764" s="133"/>
      <c r="NW764" s="6"/>
      <c r="NX764" s="6"/>
      <c r="NY764" s="6"/>
      <c r="NZ764" s="6"/>
      <c r="OA764" s="6"/>
      <c r="OB764" s="46"/>
      <c r="OC764" s="4"/>
      <c r="OD764" s="6"/>
    </row>
    <row r="765" spans="1:394" x14ac:dyDescent="0.25">
      <c r="A765" s="47"/>
      <c r="B765" s="48"/>
      <c r="C765" s="133"/>
      <c r="D765" s="133"/>
      <c r="E765" s="133"/>
      <c r="F765" s="133"/>
      <c r="G765" s="133"/>
      <c r="H765" s="133"/>
      <c r="I765" s="133"/>
      <c r="J765" s="133"/>
      <c r="K765" s="133"/>
      <c r="L765" s="133"/>
      <c r="NW765" s="6"/>
      <c r="NX765" s="6"/>
      <c r="NY765" s="6"/>
      <c r="NZ765" s="6"/>
      <c r="OA765" s="6"/>
      <c r="OB765" s="46"/>
      <c r="OC765" s="4"/>
      <c r="OD765" s="6"/>
    </row>
    <row r="766" spans="1:394" x14ac:dyDescent="0.25">
      <c r="A766" s="47"/>
      <c r="B766" s="48"/>
      <c r="C766" s="133"/>
      <c r="D766" s="133"/>
      <c r="E766" s="133"/>
      <c r="F766" s="133"/>
      <c r="G766" s="133"/>
      <c r="H766" s="133"/>
      <c r="I766" s="133"/>
      <c r="J766" s="133"/>
      <c r="K766" s="133"/>
      <c r="L766" s="133"/>
      <c r="NW766" s="6"/>
      <c r="NX766" s="6"/>
      <c r="NY766" s="6"/>
      <c r="NZ766" s="6"/>
      <c r="OA766" s="6"/>
      <c r="OB766" s="46"/>
      <c r="OC766" s="4"/>
      <c r="OD766" s="6"/>
    </row>
    <row r="767" spans="1:394" x14ac:dyDescent="0.25">
      <c r="A767" s="47"/>
      <c r="B767" s="48"/>
      <c r="C767" s="133"/>
      <c r="D767" s="133"/>
      <c r="E767" s="133"/>
      <c r="F767" s="133"/>
      <c r="G767" s="133"/>
      <c r="H767" s="133"/>
      <c r="I767" s="133"/>
      <c r="J767" s="133"/>
      <c r="K767" s="133"/>
      <c r="L767" s="133"/>
      <c r="NW767" s="6"/>
      <c r="NX767" s="6"/>
      <c r="NY767" s="6"/>
      <c r="NZ767" s="6"/>
      <c r="OA767" s="6"/>
      <c r="OB767" s="46"/>
      <c r="OC767" s="4"/>
      <c r="OD767" s="6"/>
    </row>
    <row r="768" spans="1:394" x14ac:dyDescent="0.25">
      <c r="A768" s="47"/>
      <c r="B768" s="48"/>
      <c r="C768" s="133"/>
      <c r="D768" s="133"/>
      <c r="E768" s="133"/>
      <c r="F768" s="133"/>
      <c r="G768" s="133"/>
      <c r="H768" s="133"/>
      <c r="I768" s="133"/>
      <c r="J768" s="133"/>
      <c r="K768" s="133"/>
      <c r="L768" s="133"/>
      <c r="NW768" s="6"/>
      <c r="NX768" s="6"/>
      <c r="NY768" s="6"/>
      <c r="NZ768" s="6"/>
      <c r="OA768" s="6"/>
      <c r="OB768" s="46"/>
      <c r="OC768" s="4"/>
      <c r="OD768" s="6"/>
    </row>
    <row r="769" spans="1:394" x14ac:dyDescent="0.25">
      <c r="A769" s="47"/>
      <c r="B769" s="48"/>
      <c r="C769" s="133"/>
      <c r="D769" s="133"/>
      <c r="E769" s="133"/>
      <c r="F769" s="133"/>
      <c r="G769" s="133"/>
      <c r="H769" s="133"/>
      <c r="I769" s="133"/>
      <c r="J769" s="133"/>
      <c r="K769" s="133"/>
      <c r="L769" s="133"/>
      <c r="NW769" s="6"/>
      <c r="NX769" s="6"/>
      <c r="NY769" s="6"/>
      <c r="NZ769" s="6"/>
      <c r="OA769" s="6"/>
      <c r="OB769" s="46"/>
      <c r="OC769" s="4"/>
      <c r="OD769" s="6"/>
    </row>
    <row r="770" spans="1:394" x14ac:dyDescent="0.25">
      <c r="A770" s="47"/>
      <c r="B770" s="48"/>
      <c r="C770" s="133"/>
      <c r="D770" s="133"/>
      <c r="E770" s="133"/>
      <c r="F770" s="133"/>
      <c r="G770" s="133"/>
      <c r="H770" s="133"/>
      <c r="I770" s="133"/>
      <c r="J770" s="133"/>
      <c r="K770" s="133"/>
      <c r="L770" s="133"/>
      <c r="NW770" s="6"/>
      <c r="NX770" s="6"/>
      <c r="NY770" s="6"/>
      <c r="NZ770" s="6"/>
      <c r="OA770" s="6"/>
      <c r="OB770" s="46"/>
      <c r="OC770" s="4"/>
      <c r="OD770" s="6"/>
    </row>
    <row r="771" spans="1:394" x14ac:dyDescent="0.25">
      <c r="A771" s="47"/>
      <c r="B771" s="48"/>
      <c r="C771" s="133"/>
      <c r="D771" s="133"/>
      <c r="E771" s="133"/>
      <c r="F771" s="133"/>
      <c r="G771" s="133"/>
      <c r="H771" s="133"/>
      <c r="I771" s="133"/>
      <c r="J771" s="133"/>
      <c r="K771" s="133"/>
      <c r="L771" s="133"/>
      <c r="NW771" s="6"/>
      <c r="NX771" s="6"/>
      <c r="NY771" s="6"/>
      <c r="NZ771" s="6"/>
      <c r="OA771" s="6"/>
      <c r="OB771" s="46"/>
      <c r="OC771" s="4"/>
      <c r="OD771" s="6"/>
    </row>
    <row r="772" spans="1:394" x14ac:dyDescent="0.25">
      <c r="A772" s="47"/>
      <c r="B772" s="48"/>
      <c r="C772" s="133"/>
      <c r="D772" s="133"/>
      <c r="E772" s="133"/>
      <c r="F772" s="133"/>
      <c r="G772" s="133"/>
      <c r="H772" s="133"/>
      <c r="I772" s="133"/>
      <c r="J772" s="133"/>
      <c r="K772" s="133"/>
      <c r="L772" s="133"/>
      <c r="NW772" s="6"/>
      <c r="NX772" s="6"/>
      <c r="NY772" s="6"/>
      <c r="NZ772" s="6"/>
      <c r="OA772" s="6"/>
      <c r="OB772" s="46"/>
      <c r="OC772" s="4"/>
      <c r="OD772" s="6"/>
    </row>
    <row r="773" spans="1:394" x14ac:dyDescent="0.25">
      <c r="A773" s="47"/>
      <c r="B773" s="48"/>
      <c r="C773" s="133"/>
      <c r="D773" s="133"/>
      <c r="E773" s="133"/>
      <c r="F773" s="133"/>
      <c r="G773" s="133"/>
      <c r="H773" s="133"/>
      <c r="I773" s="133"/>
      <c r="J773" s="133"/>
      <c r="K773" s="133"/>
      <c r="L773" s="133"/>
      <c r="NW773" s="6"/>
      <c r="NX773" s="6"/>
      <c r="NY773" s="6"/>
      <c r="NZ773" s="6"/>
      <c r="OA773" s="6"/>
      <c r="OB773" s="46"/>
      <c r="OC773" s="4"/>
      <c r="OD773" s="6"/>
    </row>
    <row r="774" spans="1:394" x14ac:dyDescent="0.25">
      <c r="A774" s="47"/>
      <c r="B774" s="48"/>
      <c r="C774" s="133"/>
      <c r="D774" s="133"/>
      <c r="E774" s="133"/>
      <c r="F774" s="133"/>
      <c r="G774" s="133"/>
      <c r="H774" s="133"/>
      <c r="I774" s="133"/>
      <c r="J774" s="133"/>
      <c r="K774" s="133"/>
      <c r="L774" s="133"/>
      <c r="NW774" s="6"/>
      <c r="NX774" s="6"/>
      <c r="NY774" s="6"/>
      <c r="NZ774" s="6"/>
      <c r="OA774" s="6"/>
      <c r="OB774" s="46"/>
      <c r="OC774" s="4"/>
      <c r="OD774" s="6"/>
    </row>
    <row r="775" spans="1:394" x14ac:dyDescent="0.25">
      <c r="A775" s="47"/>
      <c r="B775" s="48"/>
      <c r="C775" s="133"/>
      <c r="D775" s="133"/>
      <c r="E775" s="133"/>
      <c r="F775" s="133"/>
      <c r="G775" s="133"/>
      <c r="H775" s="133"/>
      <c r="I775" s="133"/>
      <c r="J775" s="133"/>
      <c r="K775" s="133"/>
      <c r="L775" s="133"/>
      <c r="NW775" s="6"/>
      <c r="NX775" s="6"/>
      <c r="NY775" s="6"/>
      <c r="NZ775" s="6"/>
      <c r="OA775" s="6"/>
      <c r="OB775" s="46"/>
      <c r="OC775" s="4"/>
      <c r="OD775" s="6"/>
    </row>
    <row r="776" spans="1:394" x14ac:dyDescent="0.25">
      <c r="A776" s="47"/>
      <c r="B776" s="48"/>
      <c r="C776" s="133"/>
      <c r="D776" s="133"/>
      <c r="E776" s="133"/>
      <c r="F776" s="133"/>
      <c r="G776" s="133"/>
      <c r="H776" s="133"/>
      <c r="I776" s="133"/>
      <c r="J776" s="133"/>
      <c r="K776" s="133"/>
      <c r="L776" s="133"/>
      <c r="NW776" s="6"/>
      <c r="NX776" s="6"/>
      <c r="NY776" s="6"/>
      <c r="NZ776" s="6"/>
      <c r="OA776" s="6"/>
      <c r="OB776" s="46"/>
      <c r="OC776" s="4"/>
      <c r="OD776" s="6"/>
    </row>
    <row r="777" spans="1:394" x14ac:dyDescent="0.25">
      <c r="A777" s="47"/>
      <c r="B777" s="48"/>
      <c r="C777" s="133"/>
      <c r="D777" s="133"/>
      <c r="E777" s="133"/>
      <c r="F777" s="133"/>
      <c r="G777" s="133"/>
      <c r="H777" s="133"/>
      <c r="I777" s="133"/>
      <c r="J777" s="133"/>
      <c r="K777" s="133"/>
      <c r="L777" s="133"/>
      <c r="NW777" s="6"/>
      <c r="NX777" s="6"/>
      <c r="NY777" s="6"/>
      <c r="NZ777" s="6"/>
      <c r="OA777" s="6"/>
      <c r="OB777" s="46"/>
      <c r="OC777" s="4"/>
      <c r="OD777" s="6"/>
    </row>
    <row r="778" spans="1:394" x14ac:dyDescent="0.25">
      <c r="A778" s="47"/>
      <c r="B778" s="48"/>
      <c r="C778" s="133"/>
      <c r="D778" s="133"/>
      <c r="E778" s="133"/>
      <c r="F778" s="133"/>
      <c r="G778" s="133"/>
      <c r="H778" s="133"/>
      <c r="I778" s="133"/>
      <c r="J778" s="133"/>
      <c r="K778" s="133"/>
      <c r="L778" s="133"/>
      <c r="NW778" s="6"/>
      <c r="NX778" s="6"/>
      <c r="NY778" s="6"/>
      <c r="NZ778" s="6"/>
      <c r="OA778" s="6"/>
      <c r="OB778" s="46"/>
      <c r="OC778" s="4"/>
      <c r="OD778" s="6"/>
    </row>
    <row r="779" spans="1:394" x14ac:dyDescent="0.25">
      <c r="A779" s="47"/>
      <c r="B779" s="48"/>
      <c r="C779" s="133"/>
      <c r="D779" s="133"/>
      <c r="E779" s="133"/>
      <c r="F779" s="133"/>
      <c r="G779" s="133"/>
      <c r="H779" s="133"/>
      <c r="I779" s="133"/>
      <c r="J779" s="133"/>
      <c r="K779" s="133"/>
      <c r="L779" s="133"/>
      <c r="NW779" s="6"/>
      <c r="NX779" s="6"/>
      <c r="NY779" s="6"/>
      <c r="NZ779" s="6"/>
      <c r="OA779" s="6"/>
      <c r="OB779" s="46"/>
      <c r="OC779" s="4"/>
      <c r="OD779" s="6"/>
    </row>
    <row r="780" spans="1:394" x14ac:dyDescent="0.25">
      <c r="A780" s="47"/>
      <c r="B780" s="48"/>
      <c r="C780" s="133"/>
      <c r="D780" s="133"/>
      <c r="E780" s="133"/>
      <c r="F780" s="133"/>
      <c r="G780" s="133"/>
      <c r="H780" s="133"/>
      <c r="I780" s="133"/>
      <c r="J780" s="133"/>
      <c r="K780" s="133"/>
      <c r="L780" s="133"/>
      <c r="NW780" s="6"/>
      <c r="NX780" s="6"/>
      <c r="NY780" s="6"/>
      <c r="NZ780" s="6"/>
      <c r="OA780" s="6"/>
      <c r="OB780" s="46"/>
      <c r="OC780" s="4"/>
      <c r="OD780" s="6"/>
    </row>
    <row r="781" spans="1:394" x14ac:dyDescent="0.25">
      <c r="A781" s="47"/>
      <c r="B781" s="48"/>
      <c r="C781" s="133"/>
      <c r="D781" s="133"/>
      <c r="E781" s="133"/>
      <c r="F781" s="133"/>
      <c r="G781" s="133"/>
      <c r="H781" s="133"/>
      <c r="I781" s="133"/>
      <c r="J781" s="133"/>
      <c r="K781" s="133"/>
      <c r="L781" s="133"/>
      <c r="NW781" s="6"/>
      <c r="NX781" s="6"/>
      <c r="NY781" s="6"/>
      <c r="NZ781" s="6"/>
      <c r="OA781" s="6"/>
      <c r="OB781" s="46"/>
      <c r="OC781" s="4"/>
      <c r="OD781" s="6"/>
    </row>
    <row r="782" spans="1:394" x14ac:dyDescent="0.25">
      <c r="A782" s="47"/>
      <c r="B782" s="48"/>
      <c r="C782" s="133"/>
      <c r="D782" s="133"/>
      <c r="E782" s="133"/>
      <c r="F782" s="133"/>
      <c r="G782" s="133"/>
      <c r="H782" s="133"/>
      <c r="I782" s="133"/>
      <c r="J782" s="133"/>
      <c r="K782" s="133"/>
      <c r="L782" s="133"/>
      <c r="NW782" s="6"/>
      <c r="NX782" s="6"/>
      <c r="NY782" s="6"/>
      <c r="NZ782" s="6"/>
      <c r="OA782" s="6"/>
      <c r="OB782" s="46"/>
      <c r="OC782" s="4"/>
      <c r="OD782" s="6"/>
    </row>
    <row r="783" spans="1:394" x14ac:dyDescent="0.25">
      <c r="A783" s="47"/>
      <c r="B783" s="48"/>
      <c r="C783" s="133"/>
      <c r="D783" s="133"/>
      <c r="E783" s="133"/>
      <c r="F783" s="133"/>
      <c r="G783" s="133"/>
      <c r="H783" s="133"/>
      <c r="I783" s="133"/>
      <c r="J783" s="133"/>
      <c r="K783" s="133"/>
      <c r="L783" s="133"/>
      <c r="NW783" s="6"/>
      <c r="NX783" s="6"/>
      <c r="NY783" s="6"/>
      <c r="NZ783" s="6"/>
      <c r="OA783" s="6"/>
      <c r="OB783" s="46"/>
      <c r="OC783" s="4"/>
      <c r="OD783" s="6"/>
    </row>
    <row r="784" spans="1:394" x14ac:dyDescent="0.25">
      <c r="A784" s="47"/>
      <c r="B784" s="48"/>
      <c r="C784" s="133"/>
      <c r="D784" s="133"/>
      <c r="E784" s="133"/>
      <c r="F784" s="133"/>
      <c r="G784" s="133"/>
      <c r="H784" s="133"/>
      <c r="I784" s="133"/>
      <c r="J784" s="133"/>
      <c r="K784" s="133"/>
      <c r="L784" s="133"/>
      <c r="NW784" s="6"/>
      <c r="NX784" s="6"/>
      <c r="NY784" s="6"/>
      <c r="NZ784" s="6"/>
      <c r="OA784" s="6"/>
      <c r="OB784" s="46"/>
      <c r="OC784" s="4"/>
      <c r="OD784" s="6"/>
    </row>
    <row r="785" spans="1:394" x14ac:dyDescent="0.25">
      <c r="A785" s="47"/>
      <c r="B785" s="48"/>
      <c r="C785" s="133"/>
      <c r="D785" s="133"/>
      <c r="E785" s="133"/>
      <c r="F785" s="133"/>
      <c r="G785" s="133"/>
      <c r="H785" s="133"/>
      <c r="I785" s="133"/>
      <c r="J785" s="133"/>
      <c r="K785" s="133"/>
      <c r="L785" s="133"/>
      <c r="NW785" s="6"/>
      <c r="NX785" s="6"/>
      <c r="NY785" s="6"/>
      <c r="NZ785" s="6"/>
      <c r="OA785" s="6"/>
      <c r="OB785" s="46"/>
      <c r="OC785" s="4"/>
      <c r="OD785" s="6"/>
    </row>
    <row r="786" spans="1:394" x14ac:dyDescent="0.25">
      <c r="A786" s="47"/>
      <c r="B786" s="48"/>
      <c r="C786" s="133"/>
      <c r="D786" s="133"/>
      <c r="E786" s="133"/>
      <c r="F786" s="133"/>
      <c r="G786" s="133"/>
      <c r="H786" s="133"/>
      <c r="I786" s="133"/>
      <c r="J786" s="133"/>
      <c r="K786" s="133"/>
      <c r="L786" s="133"/>
      <c r="NW786" s="6"/>
      <c r="NX786" s="6"/>
      <c r="NY786" s="6"/>
      <c r="NZ786" s="6"/>
      <c r="OA786" s="6"/>
      <c r="OB786" s="46"/>
      <c r="OC786" s="4"/>
      <c r="OD786" s="6"/>
    </row>
    <row r="787" spans="1:394" x14ac:dyDescent="0.25">
      <c r="A787" s="47"/>
      <c r="B787" s="48"/>
      <c r="C787" s="133"/>
      <c r="D787" s="133"/>
      <c r="E787" s="133"/>
      <c r="F787" s="133"/>
      <c r="G787" s="133"/>
      <c r="H787" s="133"/>
      <c r="I787" s="133"/>
      <c r="J787" s="133"/>
      <c r="K787" s="133"/>
      <c r="L787" s="133"/>
      <c r="NW787" s="6"/>
      <c r="NX787" s="6"/>
      <c r="NY787" s="6"/>
      <c r="NZ787" s="6"/>
      <c r="OA787" s="6"/>
      <c r="OB787" s="46"/>
      <c r="OC787" s="4"/>
      <c r="OD787" s="6"/>
    </row>
    <row r="788" spans="1:394" x14ac:dyDescent="0.25">
      <c r="A788" s="47"/>
      <c r="B788" s="48"/>
      <c r="C788" s="133"/>
      <c r="D788" s="133"/>
      <c r="E788" s="133"/>
      <c r="F788" s="133"/>
      <c r="G788" s="133"/>
      <c r="H788" s="133"/>
      <c r="I788" s="133"/>
      <c r="J788" s="133"/>
      <c r="K788" s="133"/>
      <c r="L788" s="133"/>
      <c r="NW788" s="6"/>
      <c r="NX788" s="6"/>
      <c r="NY788" s="6"/>
      <c r="NZ788" s="6"/>
      <c r="OA788" s="6"/>
      <c r="OB788" s="46"/>
      <c r="OC788" s="4"/>
      <c r="OD788" s="6"/>
    </row>
    <row r="789" spans="1:394" x14ac:dyDescent="0.25">
      <c r="A789" s="47"/>
      <c r="B789" s="48"/>
      <c r="C789" s="133"/>
      <c r="D789" s="133"/>
      <c r="E789" s="133"/>
      <c r="F789" s="133"/>
      <c r="G789" s="133"/>
      <c r="H789" s="133"/>
      <c r="I789" s="133"/>
      <c r="J789" s="133"/>
      <c r="K789" s="133"/>
      <c r="L789" s="133"/>
      <c r="NW789" s="6"/>
      <c r="NX789" s="6"/>
      <c r="NY789" s="6"/>
      <c r="NZ789" s="6"/>
      <c r="OA789" s="6"/>
      <c r="OB789" s="46"/>
      <c r="OC789" s="4"/>
      <c r="OD789" s="6"/>
    </row>
    <row r="790" spans="1:394" x14ac:dyDescent="0.25">
      <c r="A790" s="47"/>
      <c r="B790" s="48"/>
      <c r="C790" s="133"/>
      <c r="D790" s="133"/>
      <c r="E790" s="133"/>
      <c r="F790" s="133"/>
      <c r="G790" s="133"/>
      <c r="H790" s="133"/>
      <c r="I790" s="133"/>
      <c r="J790" s="133"/>
      <c r="K790" s="133"/>
      <c r="L790" s="133"/>
      <c r="NW790" s="6"/>
      <c r="NX790" s="6"/>
      <c r="NY790" s="6"/>
      <c r="NZ790" s="6"/>
      <c r="OA790" s="6"/>
      <c r="OB790" s="46"/>
      <c r="OC790" s="4"/>
      <c r="OD790" s="6"/>
    </row>
    <row r="791" spans="1:394" x14ac:dyDescent="0.25">
      <c r="A791" s="47"/>
      <c r="B791" s="48"/>
      <c r="C791" s="133"/>
      <c r="D791" s="133"/>
      <c r="E791" s="133"/>
      <c r="F791" s="133"/>
      <c r="G791" s="133"/>
      <c r="H791" s="133"/>
      <c r="I791" s="133"/>
      <c r="J791" s="133"/>
      <c r="K791" s="133"/>
      <c r="L791" s="133"/>
      <c r="NW791" s="6"/>
      <c r="NX791" s="6"/>
      <c r="NY791" s="6"/>
      <c r="NZ791" s="6"/>
      <c r="OA791" s="6"/>
      <c r="OB791" s="46"/>
      <c r="OC791" s="4"/>
      <c r="OD791" s="6"/>
    </row>
    <row r="792" spans="1:394" x14ac:dyDescent="0.25">
      <c r="A792" s="47"/>
      <c r="B792" s="48"/>
      <c r="C792" s="133"/>
      <c r="D792" s="133"/>
      <c r="E792" s="133"/>
      <c r="F792" s="133"/>
      <c r="G792" s="133"/>
      <c r="H792" s="133"/>
      <c r="I792" s="133"/>
      <c r="J792" s="133"/>
      <c r="K792" s="133"/>
      <c r="L792" s="133"/>
      <c r="NW792" s="6"/>
      <c r="NX792" s="6"/>
      <c r="NY792" s="6"/>
      <c r="NZ792" s="6"/>
      <c r="OA792" s="6"/>
      <c r="OB792" s="46"/>
      <c r="OC792" s="4"/>
      <c r="OD792" s="6"/>
    </row>
    <row r="793" spans="1:394" x14ac:dyDescent="0.25">
      <c r="A793" s="47"/>
      <c r="B793" s="48"/>
      <c r="C793" s="133"/>
      <c r="D793" s="133"/>
      <c r="E793" s="133"/>
      <c r="F793" s="133"/>
      <c r="G793" s="133"/>
      <c r="H793" s="133"/>
      <c r="I793" s="133"/>
      <c r="J793" s="133"/>
      <c r="K793" s="133"/>
      <c r="L793" s="133"/>
      <c r="NW793" s="6"/>
      <c r="NX793" s="6"/>
      <c r="NY793" s="6"/>
      <c r="NZ793" s="6"/>
      <c r="OA793" s="6"/>
      <c r="OB793" s="46"/>
      <c r="OC793" s="4"/>
      <c r="OD793" s="6"/>
    </row>
    <row r="794" spans="1:394" x14ac:dyDescent="0.25">
      <c r="A794" s="47"/>
      <c r="B794" s="48"/>
      <c r="C794" s="133"/>
      <c r="D794" s="133"/>
      <c r="E794" s="133"/>
      <c r="F794" s="133"/>
      <c r="G794" s="133"/>
      <c r="H794" s="133"/>
      <c r="I794" s="133"/>
      <c r="J794" s="133"/>
      <c r="K794" s="133"/>
      <c r="L794" s="133"/>
      <c r="NW794" s="6"/>
      <c r="NX794" s="6"/>
      <c r="NY794" s="6"/>
      <c r="NZ794" s="6"/>
      <c r="OA794" s="6"/>
      <c r="OB794" s="46"/>
      <c r="OC794" s="4"/>
      <c r="OD794" s="6"/>
    </row>
    <row r="795" spans="1:394" x14ac:dyDescent="0.25">
      <c r="A795" s="47"/>
      <c r="B795" s="48"/>
      <c r="C795" s="133"/>
      <c r="D795" s="133"/>
      <c r="E795" s="133"/>
      <c r="F795" s="133"/>
      <c r="G795" s="133"/>
      <c r="H795" s="133"/>
      <c r="I795" s="133"/>
      <c r="J795" s="133"/>
      <c r="K795" s="133"/>
      <c r="L795" s="133"/>
      <c r="NW795" s="6"/>
      <c r="NX795" s="6"/>
      <c r="NY795" s="6"/>
      <c r="NZ795" s="6"/>
      <c r="OA795" s="6"/>
      <c r="OB795" s="46"/>
      <c r="OC795" s="4"/>
      <c r="OD795" s="6"/>
    </row>
    <row r="796" spans="1:394" x14ac:dyDescent="0.25">
      <c r="A796" s="47"/>
      <c r="B796" s="48"/>
      <c r="C796" s="133"/>
      <c r="D796" s="133"/>
      <c r="E796" s="133"/>
      <c r="F796" s="133"/>
      <c r="G796" s="133"/>
      <c r="H796" s="133"/>
      <c r="I796" s="133"/>
      <c r="J796" s="133"/>
      <c r="K796" s="133"/>
      <c r="L796" s="133"/>
      <c r="NW796" s="6"/>
      <c r="NX796" s="6"/>
      <c r="NY796" s="6"/>
      <c r="NZ796" s="6"/>
      <c r="OA796" s="6"/>
      <c r="OB796" s="46"/>
      <c r="OC796" s="4"/>
      <c r="OD796" s="6"/>
    </row>
    <row r="797" spans="1:394" x14ac:dyDescent="0.25">
      <c r="A797" s="47"/>
      <c r="B797" s="48"/>
      <c r="C797" s="133"/>
      <c r="D797" s="133"/>
      <c r="E797" s="133"/>
      <c r="F797" s="133"/>
      <c r="G797" s="133"/>
      <c r="H797" s="133"/>
      <c r="I797" s="133"/>
      <c r="J797" s="133"/>
      <c r="K797" s="133"/>
      <c r="L797" s="133"/>
      <c r="NW797" s="6"/>
      <c r="NX797" s="6"/>
      <c r="NY797" s="6"/>
      <c r="NZ797" s="6"/>
      <c r="OA797" s="6"/>
      <c r="OB797" s="46"/>
      <c r="OC797" s="4"/>
      <c r="OD797" s="6"/>
    </row>
    <row r="798" spans="1:394" x14ac:dyDescent="0.25">
      <c r="A798" s="47"/>
      <c r="B798" s="48"/>
      <c r="C798" s="133"/>
      <c r="D798" s="133"/>
      <c r="E798" s="133"/>
      <c r="F798" s="133"/>
      <c r="G798" s="133"/>
      <c r="H798" s="133"/>
      <c r="I798" s="133"/>
      <c r="J798" s="133"/>
      <c r="K798" s="133"/>
      <c r="L798" s="133"/>
      <c r="NW798" s="6"/>
      <c r="NX798" s="6"/>
      <c r="NY798" s="6"/>
      <c r="NZ798" s="6"/>
      <c r="OA798" s="6"/>
      <c r="OB798" s="46"/>
      <c r="OC798" s="4"/>
      <c r="OD798" s="6"/>
    </row>
    <row r="799" spans="1:394" x14ac:dyDescent="0.25">
      <c r="A799" s="47"/>
      <c r="B799" s="48"/>
      <c r="C799" s="133"/>
      <c r="D799" s="133"/>
      <c r="E799" s="133"/>
      <c r="F799" s="133"/>
      <c r="G799" s="133"/>
      <c r="H799" s="133"/>
      <c r="I799" s="133"/>
      <c r="J799" s="133"/>
      <c r="K799" s="133"/>
      <c r="L799" s="133"/>
      <c r="NW799" s="6"/>
      <c r="NX799" s="6"/>
      <c r="NY799" s="6"/>
      <c r="NZ799" s="6"/>
      <c r="OA799" s="6"/>
      <c r="OB799" s="46"/>
      <c r="OC799" s="4"/>
      <c r="OD799" s="6"/>
    </row>
    <row r="800" spans="1:394" x14ac:dyDescent="0.25">
      <c r="A800" s="47"/>
      <c r="B800" s="48"/>
      <c r="C800" s="133"/>
      <c r="D800" s="133"/>
      <c r="E800" s="133"/>
      <c r="F800" s="133"/>
      <c r="G800" s="133"/>
      <c r="H800" s="133"/>
      <c r="I800" s="133"/>
      <c r="J800" s="133"/>
      <c r="K800" s="133"/>
      <c r="L800" s="133"/>
      <c r="NW800" s="6"/>
      <c r="NX800" s="6"/>
      <c r="NY800" s="6"/>
      <c r="NZ800" s="6"/>
      <c r="OA800" s="6"/>
      <c r="OB800" s="46"/>
      <c r="OC800" s="4"/>
      <c r="OD800" s="6"/>
    </row>
    <row r="801" spans="1:394" x14ac:dyDescent="0.25">
      <c r="A801" s="47"/>
      <c r="B801" s="48"/>
      <c r="C801" s="133"/>
      <c r="D801" s="133"/>
      <c r="E801" s="133"/>
      <c r="F801" s="133"/>
      <c r="G801" s="133"/>
      <c r="H801" s="133"/>
      <c r="I801" s="133"/>
      <c r="J801" s="133"/>
      <c r="K801" s="133"/>
      <c r="L801" s="133"/>
      <c r="NW801" s="6"/>
      <c r="NX801" s="6"/>
      <c r="NY801" s="6"/>
      <c r="NZ801" s="6"/>
      <c r="OA801" s="6"/>
      <c r="OB801" s="46"/>
      <c r="OC801" s="4"/>
      <c r="OD801" s="6"/>
    </row>
    <row r="802" spans="1:394" x14ac:dyDescent="0.25">
      <c r="A802" s="47"/>
      <c r="B802" s="48"/>
      <c r="C802" s="133"/>
      <c r="D802" s="133"/>
      <c r="E802" s="133"/>
      <c r="F802" s="133"/>
      <c r="G802" s="133"/>
      <c r="H802" s="133"/>
      <c r="I802" s="133"/>
      <c r="J802" s="133"/>
      <c r="K802" s="133"/>
      <c r="L802" s="133"/>
      <c r="NW802" s="6"/>
      <c r="NX802" s="6"/>
      <c r="NY802" s="6"/>
      <c r="NZ802" s="6"/>
      <c r="OA802" s="6"/>
      <c r="OB802" s="46"/>
      <c r="OC802" s="4"/>
      <c r="OD802" s="6"/>
    </row>
    <row r="803" spans="1:394" x14ac:dyDescent="0.25">
      <c r="A803" s="47"/>
      <c r="B803" s="48"/>
      <c r="C803" s="133"/>
      <c r="D803" s="133"/>
      <c r="E803" s="133"/>
      <c r="F803" s="133"/>
      <c r="G803" s="133"/>
      <c r="H803" s="133"/>
      <c r="I803" s="133"/>
      <c r="J803" s="133"/>
      <c r="K803" s="133"/>
      <c r="L803" s="133"/>
      <c r="NW803" s="6"/>
      <c r="NX803" s="6"/>
      <c r="NY803" s="6"/>
      <c r="NZ803" s="6"/>
      <c r="OA803" s="6"/>
      <c r="OB803" s="46"/>
      <c r="OC803" s="4"/>
      <c r="OD803" s="6"/>
    </row>
    <row r="804" spans="1:394" x14ac:dyDescent="0.25">
      <c r="A804" s="47"/>
      <c r="B804" s="48"/>
      <c r="C804" s="133"/>
      <c r="D804" s="133"/>
      <c r="E804" s="133"/>
      <c r="F804" s="133"/>
      <c r="G804" s="133"/>
      <c r="H804" s="133"/>
      <c r="I804" s="133"/>
      <c r="J804" s="133"/>
      <c r="K804" s="133"/>
      <c r="L804" s="133"/>
      <c r="NW804" s="6"/>
      <c r="NX804" s="6"/>
      <c r="NY804" s="6"/>
      <c r="NZ804" s="6"/>
      <c r="OA804" s="6"/>
      <c r="OB804" s="46"/>
      <c r="OC804" s="4"/>
      <c r="OD804" s="6"/>
    </row>
    <row r="805" spans="1:394" x14ac:dyDescent="0.25">
      <c r="A805" s="47"/>
      <c r="B805" s="48"/>
      <c r="C805" s="133"/>
      <c r="D805" s="133"/>
      <c r="E805" s="133"/>
      <c r="F805" s="133"/>
      <c r="G805" s="133"/>
      <c r="H805" s="133"/>
      <c r="I805" s="133"/>
      <c r="J805" s="133"/>
      <c r="K805" s="133"/>
      <c r="L805" s="133"/>
      <c r="NW805" s="6"/>
      <c r="NX805" s="6"/>
      <c r="NY805" s="6"/>
      <c r="NZ805" s="6"/>
      <c r="OA805" s="6"/>
      <c r="OB805" s="46"/>
      <c r="OC805" s="4"/>
      <c r="OD805" s="6"/>
    </row>
    <row r="806" spans="1:394" x14ac:dyDescent="0.25">
      <c r="A806" s="47"/>
      <c r="B806" s="48"/>
      <c r="C806" s="133"/>
      <c r="D806" s="133"/>
      <c r="E806" s="133"/>
      <c r="F806" s="133"/>
      <c r="G806" s="133"/>
      <c r="H806" s="133"/>
      <c r="I806" s="133"/>
      <c r="J806" s="133"/>
      <c r="K806" s="133"/>
      <c r="L806" s="133"/>
      <c r="NW806" s="6"/>
      <c r="NX806" s="6"/>
      <c r="NY806" s="6"/>
      <c r="NZ806" s="6"/>
      <c r="OA806" s="6"/>
      <c r="OB806" s="46"/>
      <c r="OC806" s="4"/>
      <c r="OD806" s="6"/>
    </row>
    <row r="807" spans="1:394" x14ac:dyDescent="0.25">
      <c r="A807" s="47"/>
      <c r="B807" s="48"/>
      <c r="C807" s="133"/>
      <c r="D807" s="133"/>
      <c r="E807" s="133"/>
      <c r="F807" s="133"/>
      <c r="G807" s="133"/>
      <c r="H807" s="133"/>
      <c r="I807" s="133"/>
      <c r="J807" s="133"/>
      <c r="K807" s="133"/>
      <c r="L807" s="133"/>
      <c r="NW807" s="6"/>
      <c r="NX807" s="6"/>
      <c r="NY807" s="6"/>
      <c r="NZ807" s="6"/>
      <c r="OA807" s="6"/>
      <c r="OB807" s="46"/>
      <c r="OC807" s="4"/>
      <c r="OD807" s="6"/>
    </row>
    <row r="808" spans="1:394" x14ac:dyDescent="0.25">
      <c r="A808" s="47"/>
      <c r="B808" s="48"/>
      <c r="C808" s="133"/>
      <c r="D808" s="133"/>
      <c r="E808" s="133"/>
      <c r="F808" s="133"/>
      <c r="G808" s="133"/>
      <c r="H808" s="133"/>
      <c r="I808" s="133"/>
      <c r="J808" s="133"/>
      <c r="K808" s="133"/>
      <c r="L808" s="133"/>
      <c r="NW808" s="6"/>
      <c r="NX808" s="6"/>
      <c r="NY808" s="6"/>
      <c r="NZ808" s="6"/>
      <c r="OA808" s="6"/>
      <c r="OB808" s="46"/>
      <c r="OC808" s="4"/>
      <c r="OD808" s="6"/>
    </row>
    <row r="809" spans="1:394" x14ac:dyDescent="0.25">
      <c r="A809" s="47"/>
      <c r="B809" s="48"/>
      <c r="C809" s="133"/>
      <c r="D809" s="133"/>
      <c r="E809" s="133"/>
      <c r="F809" s="133"/>
      <c r="G809" s="133"/>
      <c r="H809" s="133"/>
      <c r="I809" s="133"/>
      <c r="J809" s="133"/>
      <c r="K809" s="133"/>
      <c r="L809" s="133"/>
      <c r="NW809" s="6"/>
      <c r="NX809" s="6"/>
      <c r="NY809" s="6"/>
      <c r="NZ809" s="6"/>
      <c r="OA809" s="6"/>
      <c r="OB809" s="46"/>
      <c r="OC809" s="4"/>
      <c r="OD809" s="6"/>
    </row>
    <row r="810" spans="1:394" x14ac:dyDescent="0.25">
      <c r="A810" s="47"/>
      <c r="B810" s="48"/>
      <c r="C810" s="133"/>
      <c r="D810" s="133"/>
      <c r="E810" s="133"/>
      <c r="F810" s="133"/>
      <c r="G810" s="133"/>
      <c r="H810" s="133"/>
      <c r="I810" s="133"/>
      <c r="J810" s="133"/>
      <c r="K810" s="133"/>
      <c r="L810" s="133"/>
      <c r="NW810" s="6"/>
      <c r="NX810" s="6"/>
      <c r="NY810" s="6"/>
      <c r="NZ810" s="6"/>
      <c r="OA810" s="6"/>
      <c r="OB810" s="46"/>
      <c r="OC810" s="4"/>
      <c r="OD810" s="6"/>
    </row>
    <row r="811" spans="1:394" x14ac:dyDescent="0.25">
      <c r="A811" s="47"/>
      <c r="B811" s="48"/>
      <c r="C811" s="133"/>
      <c r="D811" s="133"/>
      <c r="E811" s="133"/>
      <c r="F811" s="133"/>
      <c r="G811" s="133"/>
      <c r="H811" s="133"/>
      <c r="I811" s="133"/>
      <c r="J811" s="133"/>
      <c r="K811" s="133"/>
      <c r="L811" s="133"/>
      <c r="NW811" s="6"/>
      <c r="NX811" s="6"/>
      <c r="NY811" s="6"/>
      <c r="NZ811" s="6"/>
      <c r="OA811" s="6"/>
      <c r="OB811" s="46"/>
      <c r="OC811" s="4"/>
      <c r="OD811" s="6"/>
    </row>
    <row r="812" spans="1:394" x14ac:dyDescent="0.25">
      <c r="A812" s="47"/>
      <c r="B812" s="48"/>
      <c r="C812" s="133"/>
      <c r="D812" s="133"/>
      <c r="E812" s="133"/>
      <c r="F812" s="133"/>
      <c r="G812" s="133"/>
      <c r="H812" s="133"/>
      <c r="I812" s="133"/>
      <c r="J812" s="133"/>
      <c r="K812" s="133"/>
      <c r="L812" s="133"/>
      <c r="NW812" s="6"/>
      <c r="NX812" s="6"/>
      <c r="NY812" s="6"/>
      <c r="NZ812" s="6"/>
      <c r="OA812" s="6"/>
      <c r="OB812" s="46"/>
      <c r="OC812" s="4"/>
      <c r="OD812" s="6"/>
    </row>
    <row r="813" spans="1:394" x14ac:dyDescent="0.25">
      <c r="A813" s="47"/>
      <c r="B813" s="48"/>
      <c r="C813" s="133"/>
      <c r="D813" s="133"/>
      <c r="E813" s="133"/>
      <c r="F813" s="133"/>
      <c r="G813" s="133"/>
      <c r="H813" s="133"/>
      <c r="I813" s="133"/>
      <c r="J813" s="133"/>
      <c r="K813" s="133"/>
      <c r="L813" s="133"/>
      <c r="NW813" s="6"/>
      <c r="NX813" s="6"/>
      <c r="NY813" s="6"/>
      <c r="NZ813" s="6"/>
      <c r="OA813" s="6"/>
      <c r="OB813" s="46"/>
      <c r="OC813" s="4"/>
      <c r="OD813" s="6"/>
    </row>
    <row r="814" spans="1:394" x14ac:dyDescent="0.25">
      <c r="A814" s="47"/>
      <c r="B814" s="48"/>
      <c r="C814" s="133"/>
      <c r="D814" s="133"/>
      <c r="E814" s="133"/>
      <c r="F814" s="133"/>
      <c r="G814" s="133"/>
      <c r="H814" s="133"/>
      <c r="I814" s="133"/>
      <c r="J814" s="133"/>
      <c r="K814" s="133"/>
      <c r="L814" s="133"/>
      <c r="NW814" s="6"/>
      <c r="NX814" s="6"/>
      <c r="NY814" s="6"/>
      <c r="NZ814" s="6"/>
      <c r="OA814" s="6"/>
      <c r="OB814" s="46"/>
      <c r="OC814" s="4"/>
      <c r="OD814" s="6"/>
    </row>
    <row r="815" spans="1:394" x14ac:dyDescent="0.25">
      <c r="A815" s="47"/>
      <c r="B815" s="48"/>
      <c r="C815" s="133"/>
      <c r="D815" s="133"/>
      <c r="E815" s="133"/>
      <c r="F815" s="133"/>
      <c r="G815" s="133"/>
      <c r="H815" s="133"/>
      <c r="I815" s="133"/>
      <c r="J815" s="133"/>
      <c r="K815" s="133"/>
      <c r="L815" s="133"/>
      <c r="NW815" s="6"/>
      <c r="NX815" s="6"/>
      <c r="NY815" s="6"/>
      <c r="NZ815" s="6"/>
      <c r="OA815" s="6"/>
      <c r="OB815" s="46"/>
      <c r="OC815" s="4"/>
      <c r="OD815" s="6"/>
    </row>
    <row r="816" spans="1:394" x14ac:dyDescent="0.25">
      <c r="A816" s="47"/>
      <c r="B816" s="48"/>
      <c r="C816" s="133"/>
      <c r="D816" s="133"/>
      <c r="E816" s="133"/>
      <c r="F816" s="133"/>
      <c r="G816" s="133"/>
      <c r="H816" s="133"/>
      <c r="I816" s="133"/>
      <c r="J816" s="133"/>
      <c r="K816" s="133"/>
      <c r="L816" s="133"/>
      <c r="NW816" s="6"/>
      <c r="NX816" s="6"/>
      <c r="NY816" s="6"/>
      <c r="NZ816" s="6"/>
      <c r="OA816" s="6"/>
      <c r="OB816" s="46"/>
      <c r="OC816" s="4"/>
      <c r="OD816" s="6"/>
    </row>
    <row r="817" spans="1:394" x14ac:dyDescent="0.25">
      <c r="A817" s="47"/>
      <c r="B817" s="48"/>
      <c r="C817" s="133"/>
      <c r="D817" s="133"/>
      <c r="E817" s="133"/>
      <c r="F817" s="133"/>
      <c r="G817" s="133"/>
      <c r="H817" s="133"/>
      <c r="I817" s="133"/>
      <c r="J817" s="133"/>
      <c r="K817" s="133"/>
      <c r="L817" s="133"/>
      <c r="NW817" s="6"/>
      <c r="NX817" s="6"/>
      <c r="NY817" s="6"/>
      <c r="NZ817" s="6"/>
      <c r="OA817" s="6"/>
      <c r="OB817" s="46"/>
      <c r="OC817" s="4"/>
      <c r="OD817" s="6"/>
    </row>
    <row r="818" spans="1:394" x14ac:dyDescent="0.25">
      <c r="A818" s="47"/>
      <c r="B818" s="48"/>
      <c r="C818" s="133"/>
      <c r="D818" s="133"/>
      <c r="E818" s="133"/>
      <c r="F818" s="133"/>
      <c r="G818" s="133"/>
      <c r="H818" s="133"/>
      <c r="I818" s="133"/>
      <c r="J818" s="133"/>
      <c r="K818" s="133"/>
      <c r="L818" s="133"/>
      <c r="NW818" s="6"/>
      <c r="NX818" s="6"/>
      <c r="NY818" s="6"/>
      <c r="NZ818" s="6"/>
      <c r="OA818" s="6"/>
      <c r="OB818" s="46"/>
      <c r="OC818" s="4"/>
      <c r="OD818" s="6"/>
    </row>
    <row r="819" spans="1:394" x14ac:dyDescent="0.25">
      <c r="A819" s="47"/>
      <c r="B819" s="48"/>
      <c r="C819" s="133"/>
      <c r="D819" s="133"/>
      <c r="E819" s="133"/>
      <c r="F819" s="133"/>
      <c r="G819" s="133"/>
      <c r="H819" s="133"/>
      <c r="I819" s="133"/>
      <c r="J819" s="133"/>
      <c r="K819" s="133"/>
      <c r="L819" s="133"/>
      <c r="NW819" s="6"/>
      <c r="NX819" s="6"/>
      <c r="NY819" s="6"/>
      <c r="NZ819" s="6"/>
      <c r="OA819" s="6"/>
      <c r="OB819" s="46"/>
      <c r="OC819" s="4"/>
      <c r="OD819" s="6"/>
    </row>
    <row r="820" spans="1:394" x14ac:dyDescent="0.25">
      <c r="A820" s="47"/>
      <c r="B820" s="48"/>
      <c r="C820" s="133"/>
      <c r="D820" s="133"/>
      <c r="E820" s="133"/>
      <c r="F820" s="133"/>
      <c r="G820" s="133"/>
      <c r="H820" s="133"/>
      <c r="I820" s="133"/>
      <c r="J820" s="133"/>
      <c r="K820" s="133"/>
      <c r="L820" s="133"/>
      <c r="NW820" s="6"/>
      <c r="NX820" s="6"/>
      <c r="NY820" s="6"/>
      <c r="NZ820" s="6"/>
      <c r="OA820" s="6"/>
      <c r="OB820" s="46"/>
      <c r="OC820" s="4"/>
      <c r="OD820" s="6"/>
    </row>
    <row r="821" spans="1:394" x14ac:dyDescent="0.25">
      <c r="A821" s="47"/>
      <c r="B821" s="48"/>
      <c r="C821" s="133"/>
      <c r="D821" s="133"/>
      <c r="E821" s="133"/>
      <c r="F821" s="133"/>
      <c r="G821" s="133"/>
      <c r="H821" s="133"/>
      <c r="I821" s="133"/>
      <c r="J821" s="133"/>
      <c r="K821" s="133"/>
      <c r="L821" s="133"/>
      <c r="NW821" s="6"/>
      <c r="NX821" s="6"/>
      <c r="NY821" s="6"/>
      <c r="NZ821" s="6"/>
      <c r="OA821" s="6"/>
      <c r="OB821" s="46"/>
      <c r="OC821" s="4"/>
      <c r="OD821" s="6"/>
    </row>
    <row r="822" spans="1:394" x14ac:dyDescent="0.25">
      <c r="A822" s="47"/>
      <c r="B822" s="48"/>
      <c r="C822" s="133"/>
      <c r="D822" s="133"/>
      <c r="E822" s="133"/>
      <c r="F822" s="133"/>
      <c r="G822" s="133"/>
      <c r="H822" s="133"/>
      <c r="I822" s="133"/>
      <c r="J822" s="133"/>
      <c r="K822" s="133"/>
      <c r="L822" s="133"/>
      <c r="NW822" s="6"/>
      <c r="NX822" s="6"/>
      <c r="NY822" s="6"/>
      <c r="NZ822" s="6"/>
      <c r="OA822" s="6"/>
      <c r="OB822" s="46"/>
      <c r="OC822" s="4"/>
      <c r="OD822" s="6"/>
    </row>
    <row r="823" spans="1:394" x14ac:dyDescent="0.25">
      <c r="A823" s="47"/>
      <c r="B823" s="48"/>
      <c r="C823" s="133"/>
      <c r="D823" s="133"/>
      <c r="E823" s="133"/>
      <c r="F823" s="133"/>
      <c r="G823" s="133"/>
      <c r="H823" s="133"/>
      <c r="I823" s="133"/>
      <c r="J823" s="133"/>
      <c r="K823" s="133"/>
      <c r="L823" s="133"/>
      <c r="NW823" s="6"/>
      <c r="NX823" s="6"/>
      <c r="NY823" s="6"/>
      <c r="NZ823" s="6"/>
      <c r="OA823" s="6"/>
      <c r="OB823" s="46"/>
      <c r="OC823" s="4"/>
      <c r="OD823" s="6"/>
    </row>
    <row r="824" spans="1:394" x14ac:dyDescent="0.25">
      <c r="A824" s="47"/>
      <c r="B824" s="48"/>
      <c r="C824" s="133"/>
      <c r="D824" s="133"/>
      <c r="E824" s="133"/>
      <c r="F824" s="133"/>
      <c r="G824" s="133"/>
      <c r="H824" s="133"/>
      <c r="I824" s="133"/>
      <c r="J824" s="133"/>
      <c r="K824" s="133"/>
      <c r="L824" s="133"/>
      <c r="NW824" s="6"/>
      <c r="NX824" s="6"/>
      <c r="NY824" s="6"/>
      <c r="NZ824" s="6"/>
      <c r="OA824" s="6"/>
      <c r="OB824" s="46"/>
      <c r="OC824" s="4"/>
      <c r="OD824" s="6"/>
    </row>
    <row r="825" spans="1:394" x14ac:dyDescent="0.25">
      <c r="A825" s="47"/>
      <c r="B825" s="48"/>
      <c r="C825" s="133"/>
      <c r="D825" s="133"/>
      <c r="E825" s="133"/>
      <c r="F825" s="133"/>
      <c r="G825" s="133"/>
      <c r="H825" s="133"/>
      <c r="I825" s="133"/>
      <c r="J825" s="133"/>
      <c r="K825" s="133"/>
      <c r="L825" s="133"/>
      <c r="NW825" s="6"/>
      <c r="NX825" s="6"/>
      <c r="NY825" s="6"/>
      <c r="NZ825" s="6"/>
      <c r="OA825" s="6"/>
      <c r="OB825" s="46"/>
      <c r="OC825" s="4"/>
      <c r="OD825" s="6"/>
    </row>
    <row r="826" spans="1:394" x14ac:dyDescent="0.25">
      <c r="A826" s="47"/>
      <c r="B826" s="48"/>
      <c r="C826" s="133"/>
      <c r="D826" s="133"/>
      <c r="E826" s="133"/>
      <c r="F826" s="133"/>
      <c r="G826" s="133"/>
      <c r="H826" s="133"/>
      <c r="I826" s="133"/>
      <c r="J826" s="133"/>
      <c r="K826" s="133"/>
      <c r="L826" s="133"/>
      <c r="NW826" s="6"/>
      <c r="NX826" s="6"/>
      <c r="NY826" s="6"/>
      <c r="NZ826" s="6"/>
      <c r="OA826" s="6"/>
      <c r="OB826" s="46"/>
      <c r="OC826" s="4"/>
      <c r="OD826" s="6"/>
    </row>
    <row r="827" spans="1:394" x14ac:dyDescent="0.25">
      <c r="A827" s="47"/>
      <c r="B827" s="48"/>
      <c r="C827" s="133"/>
      <c r="D827" s="133"/>
      <c r="E827" s="133"/>
      <c r="F827" s="133"/>
      <c r="G827" s="133"/>
      <c r="H827" s="133"/>
      <c r="I827" s="133"/>
      <c r="J827" s="133"/>
      <c r="K827" s="133"/>
      <c r="L827" s="133"/>
      <c r="NW827" s="6"/>
      <c r="NX827" s="6"/>
      <c r="NY827" s="6"/>
      <c r="NZ827" s="6"/>
      <c r="OA827" s="6"/>
      <c r="OB827" s="46"/>
      <c r="OC827" s="4"/>
      <c r="OD827" s="6"/>
    </row>
    <row r="828" spans="1:394" x14ac:dyDescent="0.25">
      <c r="A828" s="47"/>
      <c r="B828" s="48"/>
      <c r="C828" s="133"/>
      <c r="D828" s="133"/>
      <c r="E828" s="133"/>
      <c r="F828" s="133"/>
      <c r="G828" s="133"/>
      <c r="H828" s="133"/>
      <c r="I828" s="133"/>
      <c r="J828" s="133"/>
      <c r="K828" s="133"/>
      <c r="L828" s="133"/>
      <c r="NW828" s="6"/>
      <c r="NX828" s="6"/>
      <c r="NY828" s="6"/>
      <c r="NZ828" s="6"/>
      <c r="OA828" s="6"/>
      <c r="OB828" s="46"/>
      <c r="OC828" s="4"/>
      <c r="OD828" s="6"/>
    </row>
    <row r="829" spans="1:394" x14ac:dyDescent="0.25">
      <c r="A829" s="47"/>
      <c r="B829" s="48"/>
      <c r="C829" s="133"/>
      <c r="D829" s="133"/>
      <c r="E829" s="133"/>
      <c r="F829" s="133"/>
      <c r="G829" s="133"/>
      <c r="H829" s="133"/>
      <c r="I829" s="133"/>
      <c r="J829" s="133"/>
      <c r="K829" s="133"/>
      <c r="L829" s="133"/>
      <c r="NW829" s="6"/>
      <c r="NX829" s="6"/>
      <c r="NY829" s="6"/>
      <c r="NZ829" s="6"/>
      <c r="OA829" s="6"/>
      <c r="OB829" s="46"/>
      <c r="OC829" s="4"/>
      <c r="OD829" s="6"/>
    </row>
    <row r="830" spans="1:394" x14ac:dyDescent="0.25">
      <c r="A830" s="47"/>
      <c r="B830" s="48"/>
      <c r="C830" s="133"/>
      <c r="D830" s="133"/>
      <c r="E830" s="133"/>
      <c r="F830" s="133"/>
      <c r="G830" s="133"/>
      <c r="H830" s="133"/>
      <c r="I830" s="133"/>
      <c r="J830" s="133"/>
      <c r="K830" s="133"/>
      <c r="L830" s="133"/>
      <c r="NW830" s="6"/>
      <c r="NX830" s="6"/>
      <c r="NY830" s="6"/>
      <c r="NZ830" s="6"/>
      <c r="OA830" s="6"/>
      <c r="OB830" s="46"/>
      <c r="OC830" s="4"/>
      <c r="OD830" s="6"/>
    </row>
    <row r="831" spans="1:394" x14ac:dyDescent="0.25">
      <c r="A831" s="47"/>
      <c r="B831" s="48"/>
      <c r="C831" s="133"/>
      <c r="D831" s="133"/>
      <c r="E831" s="133"/>
      <c r="F831" s="133"/>
      <c r="G831" s="133"/>
      <c r="H831" s="133"/>
      <c r="I831" s="133"/>
      <c r="J831" s="133"/>
      <c r="K831" s="133"/>
      <c r="L831" s="133"/>
      <c r="NW831" s="6"/>
      <c r="NX831" s="6"/>
      <c r="NY831" s="6"/>
      <c r="NZ831" s="6"/>
      <c r="OA831" s="6"/>
      <c r="OB831" s="46"/>
      <c r="OC831" s="4"/>
      <c r="OD831" s="6"/>
    </row>
    <row r="832" spans="1:394" x14ac:dyDescent="0.25">
      <c r="A832" s="47"/>
      <c r="B832" s="48"/>
      <c r="C832" s="133"/>
      <c r="D832" s="133"/>
      <c r="E832" s="133"/>
      <c r="F832" s="133"/>
      <c r="G832" s="133"/>
      <c r="H832" s="133"/>
      <c r="I832" s="133"/>
      <c r="J832" s="133"/>
      <c r="K832" s="133"/>
      <c r="L832" s="133"/>
      <c r="NW832" s="6"/>
      <c r="NX832" s="6"/>
      <c r="NY832" s="6"/>
      <c r="NZ832" s="6"/>
      <c r="OA832" s="6"/>
      <c r="OB832" s="46"/>
      <c r="OC832" s="4"/>
      <c r="OD832" s="6"/>
    </row>
    <row r="833" spans="1:394" x14ac:dyDescent="0.25">
      <c r="A833" s="47"/>
      <c r="B833" s="48"/>
      <c r="C833" s="133"/>
      <c r="D833" s="133"/>
      <c r="E833" s="133"/>
      <c r="F833" s="133"/>
      <c r="G833" s="133"/>
      <c r="H833" s="133"/>
      <c r="I833" s="133"/>
      <c r="J833" s="133"/>
      <c r="K833" s="133"/>
      <c r="L833" s="133"/>
      <c r="NW833" s="6"/>
      <c r="NX833" s="6"/>
      <c r="NY833" s="6"/>
      <c r="NZ833" s="6"/>
      <c r="OA833" s="6"/>
      <c r="OB833" s="46"/>
      <c r="OC833" s="4"/>
      <c r="OD833" s="6"/>
    </row>
    <row r="834" spans="1:394" x14ac:dyDescent="0.25">
      <c r="A834" s="47"/>
      <c r="B834" s="48"/>
      <c r="C834" s="133"/>
      <c r="D834" s="133"/>
      <c r="E834" s="133"/>
      <c r="F834" s="133"/>
      <c r="G834" s="133"/>
      <c r="H834" s="133"/>
      <c r="I834" s="133"/>
      <c r="J834" s="133"/>
      <c r="K834" s="133"/>
      <c r="L834" s="133"/>
      <c r="NW834" s="6"/>
      <c r="NX834" s="6"/>
      <c r="NY834" s="6"/>
      <c r="NZ834" s="6"/>
      <c r="OA834" s="6"/>
      <c r="OB834" s="46"/>
      <c r="OC834" s="4"/>
      <c r="OD834" s="6"/>
    </row>
    <row r="835" spans="1:394" x14ac:dyDescent="0.25">
      <c r="A835" s="47"/>
      <c r="B835" s="48"/>
      <c r="C835" s="133"/>
      <c r="D835" s="133"/>
      <c r="E835" s="133"/>
      <c r="F835" s="133"/>
      <c r="G835" s="133"/>
      <c r="H835" s="133"/>
      <c r="I835" s="133"/>
      <c r="J835" s="133"/>
      <c r="K835" s="133"/>
      <c r="L835" s="133"/>
      <c r="NW835" s="6"/>
      <c r="NX835" s="6"/>
      <c r="NY835" s="6"/>
      <c r="NZ835" s="6"/>
      <c r="OA835" s="6"/>
      <c r="OB835" s="46"/>
      <c r="OC835" s="4"/>
      <c r="OD835" s="6"/>
    </row>
    <row r="836" spans="1:394" x14ac:dyDescent="0.25">
      <c r="A836" s="47"/>
      <c r="B836" s="48"/>
      <c r="C836" s="133"/>
      <c r="D836" s="133"/>
      <c r="E836" s="133"/>
      <c r="F836" s="133"/>
      <c r="G836" s="133"/>
      <c r="H836" s="133"/>
      <c r="I836" s="133"/>
      <c r="J836" s="133"/>
      <c r="K836" s="133"/>
      <c r="L836" s="133"/>
      <c r="NW836" s="6"/>
      <c r="NX836" s="6"/>
      <c r="NY836" s="6"/>
      <c r="NZ836" s="6"/>
      <c r="OA836" s="6"/>
      <c r="OB836" s="46"/>
      <c r="OC836" s="4"/>
      <c r="OD836" s="6"/>
    </row>
    <row r="837" spans="1:394" x14ac:dyDescent="0.25">
      <c r="A837" s="47"/>
      <c r="B837" s="48"/>
      <c r="C837" s="133"/>
      <c r="D837" s="133"/>
      <c r="E837" s="133"/>
      <c r="F837" s="133"/>
      <c r="G837" s="133"/>
      <c r="H837" s="133"/>
      <c r="I837" s="133"/>
      <c r="J837" s="133"/>
      <c r="K837" s="133"/>
      <c r="L837" s="133"/>
      <c r="NW837" s="6"/>
      <c r="NX837" s="6"/>
      <c r="NY837" s="6"/>
      <c r="NZ837" s="6"/>
      <c r="OA837" s="6"/>
      <c r="OB837" s="46"/>
      <c r="OC837" s="4"/>
      <c r="OD837" s="6"/>
    </row>
    <row r="838" spans="1:394" x14ac:dyDescent="0.25">
      <c r="A838" s="47"/>
      <c r="B838" s="48"/>
      <c r="C838" s="133"/>
      <c r="D838" s="133"/>
      <c r="E838" s="133"/>
      <c r="F838" s="133"/>
      <c r="G838" s="133"/>
      <c r="H838" s="133"/>
      <c r="I838" s="133"/>
      <c r="J838" s="133"/>
      <c r="K838" s="133"/>
      <c r="L838" s="133"/>
      <c r="NW838" s="6"/>
      <c r="NX838" s="6"/>
      <c r="NY838" s="6"/>
      <c r="NZ838" s="6"/>
      <c r="OA838" s="6"/>
      <c r="OB838" s="46"/>
      <c r="OC838" s="4"/>
      <c r="OD838" s="6"/>
    </row>
    <row r="839" spans="1:394" x14ac:dyDescent="0.25">
      <c r="A839" s="47"/>
      <c r="B839" s="48"/>
      <c r="C839" s="133"/>
      <c r="D839" s="133"/>
      <c r="E839" s="133"/>
      <c r="F839" s="133"/>
      <c r="G839" s="133"/>
      <c r="H839" s="133"/>
      <c r="I839" s="133"/>
      <c r="J839" s="133"/>
      <c r="K839" s="133"/>
      <c r="L839" s="133"/>
      <c r="NW839" s="6"/>
      <c r="NX839" s="6"/>
      <c r="NY839" s="6"/>
      <c r="NZ839" s="6"/>
      <c r="OA839" s="6"/>
      <c r="OB839" s="46"/>
      <c r="OC839" s="4"/>
      <c r="OD839" s="6"/>
    </row>
    <row r="840" spans="1:394" x14ac:dyDescent="0.25">
      <c r="A840" s="47"/>
      <c r="B840" s="48"/>
      <c r="C840" s="133"/>
      <c r="D840" s="133"/>
      <c r="E840" s="133"/>
      <c r="F840" s="133"/>
      <c r="G840" s="133"/>
      <c r="H840" s="133"/>
      <c r="I840" s="133"/>
      <c r="J840" s="133"/>
      <c r="K840" s="133"/>
      <c r="L840" s="133"/>
      <c r="NW840" s="6"/>
      <c r="NX840" s="6"/>
      <c r="NY840" s="6"/>
      <c r="NZ840" s="6"/>
      <c r="OA840" s="6"/>
      <c r="OB840" s="46"/>
      <c r="OC840" s="4"/>
      <c r="OD840" s="6"/>
    </row>
    <row r="841" spans="1:394" x14ac:dyDescent="0.25">
      <c r="A841" s="47"/>
      <c r="B841" s="48"/>
      <c r="C841" s="133"/>
      <c r="D841" s="133"/>
      <c r="E841" s="133"/>
      <c r="F841" s="133"/>
      <c r="G841" s="133"/>
      <c r="H841" s="133"/>
      <c r="I841" s="133"/>
      <c r="J841" s="133"/>
      <c r="K841" s="133"/>
      <c r="L841" s="133"/>
      <c r="NW841" s="6"/>
      <c r="NX841" s="6"/>
      <c r="NY841" s="6"/>
      <c r="NZ841" s="6"/>
      <c r="OA841" s="6"/>
      <c r="OB841" s="46"/>
      <c r="OC841" s="4"/>
      <c r="OD841" s="6"/>
    </row>
    <row r="842" spans="1:394" x14ac:dyDescent="0.25">
      <c r="A842" s="47"/>
      <c r="B842" s="48"/>
      <c r="C842" s="133"/>
      <c r="D842" s="133"/>
      <c r="E842" s="133"/>
      <c r="F842" s="133"/>
      <c r="G842" s="133"/>
      <c r="H842" s="133"/>
      <c r="I842" s="133"/>
      <c r="J842" s="133"/>
      <c r="K842" s="133"/>
      <c r="L842" s="133"/>
      <c r="NW842" s="6"/>
      <c r="NX842" s="6"/>
      <c r="NY842" s="6"/>
      <c r="NZ842" s="6"/>
      <c r="OA842" s="6"/>
      <c r="OB842" s="46"/>
      <c r="OC842" s="4"/>
      <c r="OD842" s="6"/>
    </row>
    <row r="843" spans="1:394" x14ac:dyDescent="0.25">
      <c r="A843" s="47"/>
      <c r="B843" s="48"/>
      <c r="C843" s="133"/>
      <c r="D843" s="133"/>
      <c r="E843" s="133"/>
      <c r="F843" s="133"/>
      <c r="G843" s="133"/>
      <c r="H843" s="133"/>
      <c r="I843" s="133"/>
      <c r="J843" s="133"/>
      <c r="K843" s="133"/>
      <c r="L843" s="133"/>
      <c r="NW843" s="6"/>
      <c r="NX843" s="6"/>
      <c r="NY843" s="6"/>
      <c r="NZ843" s="6"/>
      <c r="OA843" s="6"/>
      <c r="OB843" s="46"/>
      <c r="OC843" s="4"/>
      <c r="OD843" s="6"/>
    </row>
    <row r="844" spans="1:394" x14ac:dyDescent="0.25">
      <c r="A844" s="47"/>
      <c r="B844" s="48"/>
      <c r="C844" s="133"/>
      <c r="D844" s="133"/>
      <c r="E844" s="133"/>
      <c r="F844" s="133"/>
      <c r="G844" s="133"/>
      <c r="H844" s="133"/>
      <c r="I844" s="133"/>
      <c r="J844" s="133"/>
      <c r="K844" s="133"/>
      <c r="L844" s="133"/>
      <c r="NW844" s="6"/>
      <c r="NX844" s="6"/>
      <c r="NY844" s="6"/>
      <c r="NZ844" s="6"/>
      <c r="OA844" s="6"/>
      <c r="OB844" s="46"/>
      <c r="OC844" s="4"/>
      <c r="OD844" s="6"/>
    </row>
    <row r="845" spans="1:394" x14ac:dyDescent="0.25">
      <c r="A845" s="47"/>
      <c r="B845" s="48"/>
      <c r="C845" s="133"/>
      <c r="D845" s="133"/>
      <c r="E845" s="133"/>
      <c r="F845" s="133"/>
      <c r="G845" s="133"/>
      <c r="H845" s="133"/>
      <c r="I845" s="133"/>
      <c r="J845" s="133"/>
      <c r="K845" s="133"/>
      <c r="L845" s="133"/>
      <c r="NW845" s="6"/>
      <c r="NX845" s="6"/>
      <c r="NY845" s="6"/>
      <c r="NZ845" s="6"/>
      <c r="OA845" s="6"/>
      <c r="OB845" s="46"/>
      <c r="OC845" s="4"/>
      <c r="OD845" s="6"/>
    </row>
    <row r="846" spans="1:394" x14ac:dyDescent="0.25">
      <c r="A846" s="47"/>
      <c r="B846" s="48"/>
      <c r="C846" s="133"/>
      <c r="D846" s="133"/>
      <c r="E846" s="133"/>
      <c r="F846" s="133"/>
      <c r="G846" s="133"/>
      <c r="H846" s="133"/>
      <c r="I846" s="133"/>
      <c r="J846" s="133"/>
      <c r="K846" s="133"/>
      <c r="L846" s="133"/>
      <c r="NW846" s="6"/>
      <c r="NX846" s="6"/>
      <c r="NY846" s="6"/>
      <c r="NZ846" s="6"/>
      <c r="OA846" s="6"/>
      <c r="OB846" s="46"/>
      <c r="OC846" s="4"/>
      <c r="OD846" s="6"/>
    </row>
    <row r="847" spans="1:394" x14ac:dyDescent="0.25">
      <c r="A847" s="47"/>
      <c r="B847" s="48"/>
      <c r="C847" s="133"/>
      <c r="D847" s="133"/>
      <c r="E847" s="133"/>
      <c r="F847" s="133"/>
      <c r="G847" s="133"/>
      <c r="H847" s="133"/>
      <c r="I847" s="133"/>
      <c r="J847" s="133"/>
      <c r="K847" s="133"/>
      <c r="L847" s="133"/>
      <c r="NW847" s="6"/>
      <c r="NX847" s="6"/>
      <c r="NY847" s="6"/>
      <c r="NZ847" s="6"/>
      <c r="OA847" s="6"/>
      <c r="OB847" s="46"/>
      <c r="OC847" s="4"/>
      <c r="OD847" s="6"/>
    </row>
    <row r="848" spans="1:394" x14ac:dyDescent="0.25">
      <c r="A848" s="47"/>
      <c r="B848" s="48"/>
      <c r="C848" s="133"/>
      <c r="D848" s="133"/>
      <c r="E848" s="133"/>
      <c r="F848" s="133"/>
      <c r="G848" s="133"/>
      <c r="H848" s="133"/>
      <c r="I848" s="133"/>
      <c r="J848" s="133"/>
      <c r="K848" s="133"/>
      <c r="L848" s="133"/>
      <c r="NW848" s="6"/>
      <c r="NX848" s="6"/>
      <c r="NY848" s="6"/>
      <c r="NZ848" s="6"/>
      <c r="OA848" s="6"/>
      <c r="OB848" s="46"/>
      <c r="OC848" s="4"/>
      <c r="OD848" s="6"/>
    </row>
    <row r="849" spans="1:394" x14ac:dyDescent="0.25">
      <c r="A849" s="47"/>
      <c r="B849" s="48"/>
      <c r="C849" s="133"/>
      <c r="D849" s="133"/>
      <c r="E849" s="133"/>
      <c r="F849" s="133"/>
      <c r="G849" s="133"/>
      <c r="H849" s="133"/>
      <c r="I849" s="133"/>
      <c r="J849" s="133"/>
      <c r="K849" s="133"/>
      <c r="L849" s="133"/>
      <c r="NW849" s="6"/>
      <c r="NX849" s="6"/>
      <c r="NY849" s="6"/>
      <c r="NZ849" s="6"/>
      <c r="OA849" s="6"/>
      <c r="OB849" s="46"/>
      <c r="OC849" s="4"/>
      <c r="OD849" s="6"/>
    </row>
    <row r="850" spans="1:394" x14ac:dyDescent="0.25">
      <c r="A850" s="47"/>
      <c r="B850" s="48"/>
      <c r="C850" s="133"/>
      <c r="D850" s="133"/>
      <c r="E850" s="133"/>
      <c r="F850" s="133"/>
      <c r="G850" s="133"/>
      <c r="H850" s="133"/>
      <c r="I850" s="133"/>
      <c r="J850" s="133"/>
      <c r="K850" s="133"/>
      <c r="L850" s="133"/>
      <c r="NW850" s="6"/>
      <c r="NX850" s="6"/>
      <c r="NY850" s="6"/>
      <c r="NZ850" s="6"/>
      <c r="OA850" s="6"/>
      <c r="OB850" s="46"/>
      <c r="OC850" s="4"/>
      <c r="OD850" s="6"/>
    </row>
    <row r="851" spans="1:394" x14ac:dyDescent="0.25">
      <c r="A851" s="47"/>
      <c r="B851" s="48"/>
      <c r="C851" s="133"/>
      <c r="D851" s="133"/>
      <c r="E851" s="133"/>
      <c r="F851" s="133"/>
      <c r="G851" s="133"/>
      <c r="H851" s="133"/>
      <c r="I851" s="133"/>
      <c r="J851" s="133"/>
      <c r="K851" s="133"/>
      <c r="L851" s="133"/>
      <c r="NW851" s="6"/>
      <c r="NX851" s="6"/>
      <c r="NY851" s="6"/>
      <c r="NZ851" s="6"/>
      <c r="OA851" s="6"/>
      <c r="OB851" s="46"/>
      <c r="OC851" s="4"/>
      <c r="OD851" s="6"/>
    </row>
    <row r="852" spans="1:394" x14ac:dyDescent="0.25">
      <c r="A852" s="47"/>
      <c r="B852" s="48"/>
      <c r="C852" s="133"/>
      <c r="D852" s="133"/>
      <c r="E852" s="133"/>
      <c r="F852" s="133"/>
      <c r="G852" s="133"/>
      <c r="H852" s="133"/>
      <c r="I852" s="133"/>
      <c r="J852" s="133"/>
      <c r="K852" s="133"/>
      <c r="L852" s="133"/>
      <c r="NW852" s="6"/>
      <c r="NX852" s="6"/>
      <c r="NY852" s="6"/>
      <c r="NZ852" s="6"/>
      <c r="OA852" s="6"/>
      <c r="OB852" s="46"/>
      <c r="OC852" s="4"/>
      <c r="OD852" s="6"/>
    </row>
    <row r="853" spans="1:394" x14ac:dyDescent="0.25">
      <c r="A853" s="47"/>
      <c r="B853" s="48"/>
      <c r="C853" s="133"/>
      <c r="D853" s="133"/>
      <c r="E853" s="133"/>
      <c r="F853" s="133"/>
      <c r="G853" s="133"/>
      <c r="H853" s="133"/>
      <c r="I853" s="133"/>
      <c r="J853" s="133"/>
      <c r="K853" s="133"/>
      <c r="L853" s="133"/>
      <c r="NW853" s="6"/>
      <c r="NX853" s="6"/>
      <c r="NY853" s="6"/>
      <c r="NZ853" s="6"/>
      <c r="OA853" s="6"/>
      <c r="OB853" s="46"/>
      <c r="OC853" s="4"/>
      <c r="OD853" s="6"/>
    </row>
    <row r="854" spans="1:394" x14ac:dyDescent="0.25">
      <c r="A854" s="47"/>
      <c r="B854" s="48"/>
      <c r="C854" s="133"/>
      <c r="D854" s="133"/>
      <c r="E854" s="133"/>
      <c r="F854" s="133"/>
      <c r="G854" s="133"/>
      <c r="H854" s="133"/>
      <c r="I854" s="133"/>
      <c r="J854" s="133"/>
      <c r="K854" s="133"/>
      <c r="L854" s="133"/>
      <c r="NW854" s="6"/>
      <c r="NX854" s="6"/>
      <c r="NY854" s="6"/>
      <c r="NZ854" s="6"/>
      <c r="OA854" s="6"/>
      <c r="OB854" s="46"/>
      <c r="OC854" s="4"/>
      <c r="OD854" s="6"/>
    </row>
    <row r="855" spans="1:394" x14ac:dyDescent="0.25">
      <c r="A855" s="47"/>
      <c r="B855" s="48"/>
      <c r="C855" s="133"/>
      <c r="D855" s="133"/>
      <c r="E855" s="133"/>
      <c r="F855" s="133"/>
      <c r="G855" s="133"/>
      <c r="H855" s="133"/>
      <c r="I855" s="133"/>
      <c r="J855" s="133"/>
      <c r="K855" s="133"/>
      <c r="L855" s="133"/>
      <c r="NW855" s="6"/>
      <c r="NX855" s="6"/>
      <c r="NY855" s="6"/>
      <c r="NZ855" s="6"/>
      <c r="OA855" s="6"/>
      <c r="OB855" s="46"/>
      <c r="OC855" s="4"/>
      <c r="OD855" s="6"/>
    </row>
    <row r="856" spans="1:394" x14ac:dyDescent="0.25">
      <c r="A856" s="47"/>
      <c r="B856" s="48"/>
      <c r="C856" s="133"/>
      <c r="D856" s="133"/>
      <c r="E856" s="133"/>
      <c r="F856" s="133"/>
      <c r="G856" s="133"/>
      <c r="H856" s="133"/>
      <c r="I856" s="133"/>
      <c r="J856" s="133"/>
      <c r="K856" s="133"/>
      <c r="L856" s="133"/>
      <c r="NW856" s="6"/>
      <c r="NX856" s="6"/>
      <c r="NY856" s="6"/>
      <c r="NZ856" s="6"/>
      <c r="OA856" s="6"/>
      <c r="OB856" s="46"/>
      <c r="OC856" s="4"/>
      <c r="OD856" s="6"/>
    </row>
    <row r="857" spans="1:394" x14ac:dyDescent="0.25">
      <c r="A857" s="47"/>
      <c r="B857" s="48"/>
      <c r="C857" s="133"/>
      <c r="D857" s="133"/>
      <c r="E857" s="133"/>
      <c r="F857" s="133"/>
      <c r="G857" s="133"/>
      <c r="H857" s="133"/>
      <c r="I857" s="133"/>
      <c r="J857" s="133"/>
      <c r="K857" s="133"/>
      <c r="L857" s="133"/>
      <c r="NW857" s="6"/>
      <c r="NX857" s="6"/>
      <c r="NY857" s="6"/>
      <c r="NZ857" s="6"/>
      <c r="OA857" s="6"/>
      <c r="OB857" s="46"/>
      <c r="OC857" s="4"/>
      <c r="OD857" s="6"/>
    </row>
    <row r="858" spans="1:394" x14ac:dyDescent="0.25">
      <c r="A858" s="47"/>
      <c r="B858" s="48"/>
      <c r="C858" s="133"/>
      <c r="D858" s="133"/>
      <c r="E858" s="133"/>
      <c r="F858" s="133"/>
      <c r="G858" s="133"/>
      <c r="H858" s="133"/>
      <c r="I858" s="133"/>
      <c r="J858" s="133"/>
      <c r="K858" s="133"/>
      <c r="L858" s="133"/>
      <c r="NW858" s="6"/>
      <c r="NX858" s="6"/>
      <c r="NY858" s="6"/>
      <c r="NZ858" s="6"/>
      <c r="OA858" s="6"/>
      <c r="OB858" s="46"/>
      <c r="OC858" s="4"/>
      <c r="OD858" s="6"/>
    </row>
    <row r="859" spans="1:394" x14ac:dyDescent="0.25">
      <c r="A859" s="47"/>
      <c r="B859" s="48"/>
      <c r="C859" s="133"/>
      <c r="D859" s="133"/>
      <c r="E859" s="133"/>
      <c r="F859" s="133"/>
      <c r="G859" s="133"/>
      <c r="H859" s="133"/>
      <c r="I859" s="133"/>
      <c r="J859" s="133"/>
      <c r="K859" s="133"/>
      <c r="L859" s="133"/>
      <c r="NW859" s="6"/>
      <c r="NX859" s="6"/>
      <c r="NY859" s="6"/>
      <c r="NZ859" s="6"/>
      <c r="OA859" s="6"/>
      <c r="OB859" s="46"/>
      <c r="OC859" s="4"/>
      <c r="OD859" s="6"/>
    </row>
    <row r="860" spans="1:394" x14ac:dyDescent="0.25">
      <c r="A860" s="47"/>
      <c r="B860" s="48"/>
      <c r="C860" s="133"/>
      <c r="D860" s="133"/>
      <c r="E860" s="133"/>
      <c r="F860" s="133"/>
      <c r="G860" s="133"/>
      <c r="H860" s="133"/>
      <c r="I860" s="133"/>
      <c r="J860" s="133"/>
      <c r="K860" s="133"/>
      <c r="L860" s="133"/>
      <c r="NW860" s="6"/>
      <c r="NX860" s="6"/>
      <c r="NY860" s="6"/>
      <c r="NZ860" s="6"/>
      <c r="OA860" s="6"/>
      <c r="OB860" s="46"/>
      <c r="OC860" s="4"/>
      <c r="OD860" s="6"/>
    </row>
    <row r="861" spans="1:394" x14ac:dyDescent="0.25">
      <c r="A861" s="47"/>
      <c r="B861" s="48"/>
      <c r="C861" s="133"/>
      <c r="D861" s="133"/>
      <c r="E861" s="133"/>
      <c r="F861" s="133"/>
      <c r="G861" s="133"/>
      <c r="H861" s="133"/>
      <c r="I861" s="133"/>
      <c r="J861" s="133"/>
      <c r="K861" s="133"/>
      <c r="L861" s="133"/>
      <c r="NW861" s="6"/>
      <c r="NX861" s="6"/>
      <c r="NY861" s="6"/>
      <c r="NZ861" s="6"/>
      <c r="OA861" s="6"/>
      <c r="OB861" s="46"/>
      <c r="OC861" s="4"/>
      <c r="OD861" s="6"/>
    </row>
    <row r="862" spans="1:394" x14ac:dyDescent="0.25">
      <c r="A862" s="47"/>
      <c r="B862" s="48"/>
      <c r="C862" s="133"/>
      <c r="D862" s="133"/>
      <c r="E862" s="133"/>
      <c r="F862" s="133"/>
      <c r="G862" s="133"/>
      <c r="H862" s="133"/>
      <c r="I862" s="133"/>
      <c r="J862" s="133"/>
      <c r="K862" s="133"/>
      <c r="L862" s="133"/>
      <c r="NW862" s="6"/>
      <c r="NX862" s="6"/>
      <c r="NY862" s="6"/>
      <c r="NZ862" s="6"/>
      <c r="OA862" s="6"/>
      <c r="OB862" s="46"/>
      <c r="OC862" s="4"/>
      <c r="OD862" s="6"/>
    </row>
    <row r="863" spans="1:394" x14ac:dyDescent="0.25">
      <c r="A863" s="47"/>
      <c r="B863" s="48"/>
      <c r="C863" s="133"/>
      <c r="D863" s="133"/>
      <c r="E863" s="133"/>
      <c r="F863" s="133"/>
      <c r="G863" s="133"/>
      <c r="H863" s="133"/>
      <c r="I863" s="133"/>
      <c r="J863" s="133"/>
      <c r="K863" s="133"/>
      <c r="L863" s="133"/>
      <c r="NW863" s="6"/>
      <c r="NX863" s="6"/>
      <c r="NY863" s="6"/>
      <c r="NZ863" s="6"/>
      <c r="OA863" s="6"/>
      <c r="OB863" s="46"/>
      <c r="OC863" s="4"/>
      <c r="OD863" s="6"/>
    </row>
    <row r="864" spans="1:394" x14ac:dyDescent="0.25">
      <c r="A864" s="47"/>
      <c r="B864" s="48"/>
      <c r="C864" s="133"/>
      <c r="D864" s="133"/>
      <c r="E864" s="133"/>
      <c r="F864" s="133"/>
      <c r="G864" s="133"/>
      <c r="H864" s="133"/>
      <c r="I864" s="133"/>
      <c r="J864" s="133"/>
      <c r="K864" s="133"/>
      <c r="L864" s="133"/>
      <c r="NW864" s="6"/>
      <c r="NX864" s="6"/>
      <c r="NY864" s="6"/>
      <c r="NZ864" s="6"/>
      <c r="OA864" s="6"/>
      <c r="OB864" s="46"/>
      <c r="OC864" s="4"/>
      <c r="OD864" s="6"/>
    </row>
    <row r="865" spans="1:394" x14ac:dyDescent="0.25">
      <c r="A865" s="47"/>
      <c r="B865" s="48"/>
      <c r="C865" s="133"/>
      <c r="D865" s="133"/>
      <c r="E865" s="133"/>
      <c r="F865" s="133"/>
      <c r="G865" s="133"/>
      <c r="H865" s="133"/>
      <c r="I865" s="133"/>
      <c r="J865" s="133"/>
      <c r="K865" s="133"/>
      <c r="L865" s="133"/>
      <c r="NW865" s="6"/>
      <c r="NX865" s="6"/>
      <c r="NY865" s="6"/>
      <c r="NZ865" s="6"/>
      <c r="OA865" s="6"/>
      <c r="OB865" s="46"/>
      <c r="OC865" s="4"/>
      <c r="OD865" s="6"/>
    </row>
    <row r="866" spans="1:394" x14ac:dyDescent="0.25">
      <c r="A866" s="47"/>
      <c r="B866" s="48"/>
      <c r="C866" s="133"/>
      <c r="D866" s="133"/>
      <c r="E866" s="133"/>
      <c r="F866" s="133"/>
      <c r="G866" s="133"/>
      <c r="H866" s="133"/>
      <c r="I866" s="133"/>
      <c r="J866" s="133"/>
      <c r="K866" s="133"/>
      <c r="L866" s="133"/>
      <c r="NW866" s="6"/>
      <c r="NX866" s="6"/>
      <c r="NY866" s="6"/>
      <c r="NZ866" s="6"/>
      <c r="OA866" s="6"/>
      <c r="OB866" s="46"/>
      <c r="OC866" s="4"/>
      <c r="OD866" s="6"/>
    </row>
    <row r="867" spans="1:394" x14ac:dyDescent="0.25">
      <c r="A867" s="47"/>
      <c r="B867" s="48"/>
      <c r="C867" s="133"/>
      <c r="D867" s="133"/>
      <c r="E867" s="133"/>
      <c r="F867" s="133"/>
      <c r="G867" s="133"/>
      <c r="H867" s="133"/>
      <c r="I867" s="133"/>
      <c r="J867" s="133"/>
      <c r="K867" s="133"/>
      <c r="L867" s="133"/>
      <c r="NW867" s="6"/>
      <c r="NX867" s="6"/>
      <c r="NY867" s="6"/>
      <c r="NZ867" s="6"/>
      <c r="OA867" s="6"/>
      <c r="OB867" s="46"/>
      <c r="OC867" s="4"/>
      <c r="OD867" s="6"/>
    </row>
    <row r="868" spans="1:394" x14ac:dyDescent="0.25">
      <c r="A868" s="47"/>
      <c r="B868" s="48"/>
      <c r="C868" s="133"/>
      <c r="D868" s="133"/>
      <c r="E868" s="133"/>
      <c r="F868" s="133"/>
      <c r="G868" s="133"/>
      <c r="H868" s="133"/>
      <c r="I868" s="133"/>
      <c r="J868" s="133"/>
      <c r="K868" s="133"/>
      <c r="L868" s="133"/>
      <c r="NW868" s="6"/>
      <c r="NX868" s="6"/>
      <c r="NY868" s="6"/>
      <c r="NZ868" s="6"/>
      <c r="OA868" s="6"/>
      <c r="OB868" s="46"/>
      <c r="OC868" s="4"/>
      <c r="OD868" s="6"/>
    </row>
    <row r="869" spans="1:394" x14ac:dyDescent="0.25">
      <c r="A869" s="47"/>
      <c r="B869" s="48"/>
      <c r="C869" s="133"/>
      <c r="D869" s="133"/>
      <c r="E869" s="133"/>
      <c r="F869" s="133"/>
      <c r="G869" s="133"/>
      <c r="H869" s="133"/>
      <c r="I869" s="133"/>
      <c r="J869" s="133"/>
      <c r="K869" s="133"/>
      <c r="L869" s="133"/>
      <c r="NW869" s="6"/>
      <c r="NX869" s="6"/>
      <c r="NY869" s="6"/>
      <c r="NZ869" s="6"/>
      <c r="OA869" s="6"/>
      <c r="OB869" s="46"/>
      <c r="OC869" s="4"/>
      <c r="OD869" s="6"/>
    </row>
    <row r="870" spans="1:394" x14ac:dyDescent="0.25">
      <c r="A870" s="47"/>
      <c r="B870" s="48"/>
      <c r="C870" s="133"/>
      <c r="D870" s="133"/>
      <c r="E870" s="133"/>
      <c r="F870" s="133"/>
      <c r="G870" s="133"/>
      <c r="H870" s="133"/>
      <c r="I870" s="133"/>
      <c r="J870" s="133"/>
      <c r="K870" s="133"/>
      <c r="L870" s="133"/>
      <c r="NW870" s="6"/>
      <c r="NX870" s="6"/>
      <c r="NY870" s="6"/>
      <c r="NZ870" s="6"/>
      <c r="OA870" s="6"/>
      <c r="OB870" s="46"/>
      <c r="OC870" s="4"/>
      <c r="OD870" s="6"/>
    </row>
    <row r="871" spans="1:394" x14ac:dyDescent="0.25">
      <c r="A871" s="47"/>
      <c r="B871" s="48"/>
      <c r="C871" s="133"/>
      <c r="D871" s="133"/>
      <c r="E871" s="133"/>
      <c r="F871" s="133"/>
      <c r="G871" s="133"/>
      <c r="H871" s="133"/>
      <c r="I871" s="133"/>
      <c r="J871" s="133"/>
      <c r="K871" s="133"/>
      <c r="L871" s="133"/>
      <c r="NW871" s="6"/>
      <c r="NX871" s="6"/>
      <c r="NY871" s="6"/>
      <c r="NZ871" s="6"/>
      <c r="OA871" s="6"/>
      <c r="OB871" s="46"/>
      <c r="OC871" s="4"/>
      <c r="OD871" s="6"/>
    </row>
    <row r="872" spans="1:394" x14ac:dyDescent="0.25">
      <c r="A872" s="47"/>
      <c r="B872" s="48"/>
      <c r="C872" s="133"/>
      <c r="D872" s="133"/>
      <c r="E872" s="133"/>
      <c r="F872" s="133"/>
      <c r="G872" s="133"/>
      <c r="H872" s="133"/>
      <c r="I872" s="133"/>
      <c r="J872" s="133"/>
      <c r="K872" s="133"/>
      <c r="L872" s="133"/>
      <c r="NW872" s="6"/>
      <c r="NX872" s="6"/>
      <c r="NY872" s="6"/>
      <c r="NZ872" s="6"/>
      <c r="OA872" s="6"/>
      <c r="OB872" s="46"/>
      <c r="OC872" s="4"/>
      <c r="OD872" s="6"/>
    </row>
    <row r="873" spans="1:394" x14ac:dyDescent="0.25">
      <c r="A873" s="47"/>
      <c r="B873" s="48"/>
      <c r="C873" s="133"/>
      <c r="D873" s="133"/>
      <c r="E873" s="133"/>
      <c r="F873" s="133"/>
      <c r="G873" s="133"/>
      <c r="H873" s="133"/>
      <c r="I873" s="133"/>
      <c r="J873" s="133"/>
      <c r="K873" s="133"/>
      <c r="L873" s="133"/>
      <c r="NW873" s="6"/>
      <c r="NX873" s="6"/>
      <c r="NY873" s="6"/>
      <c r="NZ873" s="6"/>
      <c r="OA873" s="6"/>
      <c r="OB873" s="46"/>
      <c r="OC873" s="4"/>
      <c r="OD873" s="6"/>
    </row>
    <row r="874" spans="1:394" x14ac:dyDescent="0.25">
      <c r="A874" s="47"/>
      <c r="B874" s="48"/>
      <c r="C874" s="133"/>
      <c r="D874" s="133"/>
      <c r="E874" s="133"/>
      <c r="F874" s="133"/>
      <c r="G874" s="133"/>
      <c r="H874" s="133"/>
      <c r="I874" s="133"/>
      <c r="J874" s="133"/>
      <c r="K874" s="133"/>
      <c r="L874" s="133"/>
      <c r="NW874" s="6"/>
      <c r="NX874" s="6"/>
      <c r="NY874" s="6"/>
      <c r="NZ874" s="6"/>
      <c r="OA874" s="6"/>
      <c r="OB874" s="46"/>
      <c r="OC874" s="4"/>
      <c r="OD874" s="6"/>
    </row>
    <row r="875" spans="1:394" x14ac:dyDescent="0.25">
      <c r="A875" s="47"/>
      <c r="B875" s="48"/>
      <c r="C875" s="133"/>
      <c r="D875" s="133"/>
      <c r="E875" s="133"/>
      <c r="F875" s="133"/>
      <c r="G875" s="133"/>
      <c r="H875" s="133"/>
      <c r="I875" s="133"/>
      <c r="J875" s="133"/>
      <c r="K875" s="133"/>
      <c r="L875" s="133"/>
      <c r="NW875" s="6"/>
      <c r="NX875" s="6"/>
      <c r="NY875" s="6"/>
      <c r="NZ875" s="6"/>
      <c r="OA875" s="6"/>
      <c r="OB875" s="46"/>
      <c r="OC875" s="4"/>
      <c r="OD875" s="6"/>
    </row>
    <row r="876" spans="1:394" x14ac:dyDescent="0.25">
      <c r="A876" s="47"/>
      <c r="B876" s="48"/>
      <c r="C876" s="133"/>
      <c r="D876" s="133"/>
      <c r="E876" s="133"/>
      <c r="F876" s="133"/>
      <c r="G876" s="133"/>
      <c r="H876" s="133"/>
      <c r="I876" s="133"/>
      <c r="J876" s="133"/>
      <c r="K876" s="133"/>
      <c r="L876" s="133"/>
      <c r="NW876" s="6"/>
      <c r="NX876" s="6"/>
      <c r="NY876" s="6"/>
      <c r="NZ876" s="6"/>
      <c r="OA876" s="6"/>
      <c r="OB876" s="46"/>
      <c r="OC876" s="4"/>
      <c r="OD876" s="6"/>
    </row>
    <row r="877" spans="1:394" x14ac:dyDescent="0.25">
      <c r="A877" s="47"/>
      <c r="B877" s="48"/>
      <c r="C877" s="133"/>
      <c r="D877" s="133"/>
      <c r="E877" s="133"/>
      <c r="F877" s="133"/>
      <c r="G877" s="133"/>
      <c r="H877" s="133"/>
      <c r="I877" s="133"/>
      <c r="J877" s="133"/>
      <c r="K877" s="133"/>
      <c r="L877" s="133"/>
      <c r="NW877" s="6"/>
      <c r="NX877" s="6"/>
      <c r="NY877" s="6"/>
      <c r="NZ877" s="6"/>
      <c r="OA877" s="6"/>
      <c r="OB877" s="46"/>
      <c r="OC877" s="4"/>
      <c r="OD877" s="6"/>
    </row>
    <row r="878" spans="1:394" x14ac:dyDescent="0.25">
      <c r="A878" s="47"/>
      <c r="B878" s="48"/>
      <c r="C878" s="133"/>
      <c r="D878" s="133"/>
      <c r="E878" s="133"/>
      <c r="F878" s="133"/>
      <c r="G878" s="133"/>
      <c r="H878" s="133"/>
      <c r="I878" s="133"/>
      <c r="J878" s="133"/>
      <c r="K878" s="133"/>
      <c r="L878" s="133"/>
      <c r="NW878" s="6"/>
      <c r="NX878" s="6"/>
      <c r="NY878" s="6"/>
      <c r="NZ878" s="6"/>
      <c r="OA878" s="6"/>
      <c r="OB878" s="46"/>
      <c r="OC878" s="4"/>
      <c r="OD878" s="6"/>
    </row>
    <row r="879" spans="1:394" x14ac:dyDescent="0.25">
      <c r="A879" s="47"/>
      <c r="B879" s="48"/>
      <c r="C879" s="133"/>
      <c r="D879" s="133"/>
      <c r="E879" s="133"/>
      <c r="F879" s="133"/>
      <c r="G879" s="133"/>
      <c r="H879" s="133"/>
      <c r="I879" s="133"/>
      <c r="J879" s="133"/>
      <c r="K879" s="133"/>
      <c r="L879" s="133"/>
      <c r="NW879" s="6"/>
      <c r="NX879" s="6"/>
      <c r="NY879" s="6"/>
      <c r="NZ879" s="6"/>
      <c r="OA879" s="6"/>
      <c r="OB879" s="46"/>
      <c r="OC879" s="4"/>
      <c r="OD879" s="6"/>
    </row>
    <row r="880" spans="1:394" x14ac:dyDescent="0.25">
      <c r="A880" s="47"/>
      <c r="B880" s="48"/>
      <c r="C880" s="133"/>
      <c r="D880" s="133"/>
      <c r="E880" s="133"/>
      <c r="F880" s="133"/>
      <c r="G880" s="133"/>
      <c r="H880" s="133"/>
      <c r="I880" s="133"/>
      <c r="J880" s="133"/>
      <c r="K880" s="133"/>
      <c r="L880" s="133"/>
      <c r="NW880" s="6"/>
      <c r="NX880" s="6"/>
      <c r="NY880" s="6"/>
      <c r="NZ880" s="6"/>
      <c r="OA880" s="6"/>
      <c r="OB880" s="46"/>
      <c r="OC880" s="4"/>
      <c r="OD880" s="6"/>
    </row>
    <row r="881" spans="1:394" x14ac:dyDescent="0.25">
      <c r="A881" s="47"/>
      <c r="B881" s="48"/>
      <c r="C881" s="133"/>
      <c r="D881" s="133"/>
      <c r="E881" s="133"/>
      <c r="F881" s="133"/>
      <c r="G881" s="133"/>
      <c r="H881" s="133"/>
      <c r="I881" s="133"/>
      <c r="J881" s="133"/>
      <c r="K881" s="133"/>
      <c r="L881" s="133"/>
      <c r="NW881" s="6"/>
      <c r="NX881" s="6"/>
      <c r="NY881" s="6"/>
      <c r="NZ881" s="6"/>
      <c r="OA881" s="6"/>
      <c r="OB881" s="46"/>
      <c r="OC881" s="4"/>
      <c r="OD881" s="6"/>
    </row>
    <row r="882" spans="1:394" x14ac:dyDescent="0.25">
      <c r="A882" s="47"/>
      <c r="B882" s="48"/>
      <c r="C882" s="133"/>
      <c r="D882" s="133"/>
      <c r="E882" s="133"/>
      <c r="F882" s="133"/>
      <c r="G882" s="133"/>
      <c r="H882" s="133"/>
      <c r="I882" s="133"/>
      <c r="J882" s="133"/>
      <c r="K882" s="133"/>
      <c r="L882" s="133"/>
      <c r="NW882" s="6"/>
      <c r="NX882" s="6"/>
      <c r="NY882" s="6"/>
      <c r="NZ882" s="6"/>
      <c r="OA882" s="6"/>
      <c r="OB882" s="46"/>
      <c r="OC882" s="4"/>
      <c r="OD882" s="6"/>
    </row>
    <row r="883" spans="1:394" x14ac:dyDescent="0.25">
      <c r="A883" s="47"/>
      <c r="B883" s="48"/>
      <c r="C883" s="133"/>
      <c r="D883" s="133"/>
      <c r="E883" s="133"/>
      <c r="F883" s="133"/>
      <c r="G883" s="133"/>
      <c r="H883" s="133"/>
      <c r="I883" s="133"/>
      <c r="J883" s="133"/>
      <c r="K883" s="133"/>
      <c r="L883" s="133"/>
      <c r="NW883" s="6"/>
      <c r="NX883" s="6"/>
      <c r="NY883" s="6"/>
      <c r="NZ883" s="6"/>
      <c r="OA883" s="6"/>
      <c r="OB883" s="46"/>
      <c r="OC883" s="4"/>
      <c r="OD883" s="6"/>
    </row>
    <row r="884" spans="1:394" x14ac:dyDescent="0.25">
      <c r="A884" s="47"/>
      <c r="B884" s="48"/>
      <c r="C884" s="133"/>
      <c r="D884" s="133"/>
      <c r="E884" s="133"/>
      <c r="F884" s="133"/>
      <c r="G884" s="133"/>
      <c r="H884" s="133"/>
      <c r="I884" s="133"/>
      <c r="J884" s="133"/>
      <c r="K884" s="133"/>
      <c r="L884" s="133"/>
      <c r="NW884" s="6"/>
      <c r="NX884" s="6"/>
      <c r="NY884" s="6"/>
      <c r="NZ884" s="6"/>
      <c r="OA884" s="6"/>
      <c r="OB884" s="46"/>
      <c r="OC884" s="4"/>
      <c r="OD884" s="6"/>
    </row>
    <row r="885" spans="1:394" x14ac:dyDescent="0.25">
      <c r="A885" s="47"/>
      <c r="B885" s="48"/>
      <c r="C885" s="133"/>
      <c r="D885" s="133"/>
      <c r="E885" s="133"/>
      <c r="F885" s="133"/>
      <c r="G885" s="133"/>
      <c r="H885" s="133"/>
      <c r="I885" s="133"/>
      <c r="J885" s="133"/>
      <c r="K885" s="133"/>
      <c r="L885" s="133"/>
      <c r="NW885" s="6"/>
      <c r="NX885" s="6"/>
      <c r="NY885" s="6"/>
      <c r="NZ885" s="6"/>
      <c r="OA885" s="6"/>
      <c r="OB885" s="46"/>
      <c r="OC885" s="4"/>
      <c r="OD885" s="6"/>
    </row>
    <row r="886" spans="1:394" x14ac:dyDescent="0.25">
      <c r="A886" s="47"/>
      <c r="B886" s="48"/>
      <c r="C886" s="133"/>
      <c r="D886" s="133"/>
      <c r="E886" s="133"/>
      <c r="F886" s="133"/>
      <c r="G886" s="133"/>
      <c r="H886" s="133"/>
      <c r="I886" s="133"/>
      <c r="J886" s="133"/>
      <c r="K886" s="133"/>
      <c r="L886" s="133"/>
      <c r="NW886" s="6"/>
      <c r="NX886" s="6"/>
      <c r="NY886" s="6"/>
      <c r="NZ886" s="6"/>
      <c r="OA886" s="6"/>
      <c r="OB886" s="46"/>
      <c r="OC886" s="4"/>
      <c r="OD886" s="6"/>
    </row>
    <row r="887" spans="1:394" x14ac:dyDescent="0.25">
      <c r="A887" s="47"/>
      <c r="B887" s="48"/>
      <c r="C887" s="133"/>
      <c r="D887" s="133"/>
      <c r="E887" s="133"/>
      <c r="F887" s="133"/>
      <c r="G887" s="133"/>
      <c r="H887" s="133"/>
      <c r="I887" s="133"/>
      <c r="J887" s="133"/>
      <c r="K887" s="133"/>
      <c r="L887" s="133"/>
      <c r="NW887" s="6"/>
      <c r="NX887" s="6"/>
      <c r="NY887" s="6"/>
      <c r="NZ887" s="6"/>
      <c r="OA887" s="6"/>
      <c r="OB887" s="46"/>
      <c r="OC887" s="4"/>
      <c r="OD887" s="6"/>
    </row>
    <row r="888" spans="1:394" x14ac:dyDescent="0.25">
      <c r="A888" s="47"/>
      <c r="B888" s="48"/>
      <c r="C888" s="133"/>
      <c r="D888" s="133"/>
      <c r="E888" s="133"/>
      <c r="F888" s="133"/>
      <c r="G888" s="133"/>
      <c r="H888" s="133"/>
      <c r="I888" s="133"/>
      <c r="J888" s="133"/>
      <c r="K888" s="133"/>
      <c r="L888" s="133"/>
      <c r="NW888" s="6"/>
      <c r="NX888" s="6"/>
      <c r="NY888" s="6"/>
      <c r="NZ888" s="6"/>
      <c r="OA888" s="6"/>
      <c r="OB888" s="46"/>
      <c r="OC888" s="4"/>
      <c r="OD888" s="6"/>
    </row>
    <row r="889" spans="1:394" x14ac:dyDescent="0.25">
      <c r="A889" s="47"/>
      <c r="B889" s="48"/>
      <c r="C889" s="133"/>
      <c r="D889" s="133"/>
      <c r="E889" s="133"/>
      <c r="F889" s="133"/>
      <c r="G889" s="133"/>
      <c r="H889" s="133"/>
      <c r="I889" s="133"/>
      <c r="J889" s="133"/>
      <c r="K889" s="133"/>
      <c r="L889" s="133"/>
      <c r="NW889" s="6"/>
      <c r="NX889" s="6"/>
      <c r="NY889" s="6"/>
      <c r="NZ889" s="6"/>
      <c r="OA889" s="6"/>
      <c r="OB889" s="46"/>
      <c r="OC889" s="4"/>
      <c r="OD889" s="6"/>
    </row>
    <row r="890" spans="1:394" x14ac:dyDescent="0.25">
      <c r="A890" s="47"/>
      <c r="B890" s="48"/>
      <c r="C890" s="133"/>
      <c r="D890" s="133"/>
      <c r="E890" s="133"/>
      <c r="F890" s="133"/>
      <c r="G890" s="133"/>
      <c r="H890" s="133"/>
      <c r="I890" s="133"/>
      <c r="J890" s="133"/>
      <c r="K890" s="133"/>
      <c r="L890" s="133"/>
      <c r="NW890" s="6"/>
      <c r="NX890" s="6"/>
      <c r="NY890" s="6"/>
      <c r="NZ890" s="6"/>
      <c r="OA890" s="6"/>
      <c r="OB890" s="46"/>
      <c r="OC890" s="4"/>
      <c r="OD890" s="6"/>
    </row>
    <row r="891" spans="1:394" x14ac:dyDescent="0.25">
      <c r="A891" s="47"/>
      <c r="B891" s="48"/>
      <c r="C891" s="133"/>
      <c r="D891" s="133"/>
      <c r="E891" s="133"/>
      <c r="F891" s="133"/>
      <c r="G891" s="133"/>
      <c r="H891" s="133"/>
      <c r="I891" s="133"/>
      <c r="J891" s="133"/>
      <c r="K891" s="133"/>
      <c r="L891" s="133"/>
      <c r="NW891" s="6"/>
      <c r="NX891" s="6"/>
      <c r="NY891" s="6"/>
      <c r="NZ891" s="6"/>
      <c r="OA891" s="6"/>
      <c r="OB891" s="46"/>
      <c r="OC891" s="4"/>
      <c r="OD891" s="6"/>
    </row>
    <row r="892" spans="1:394" x14ac:dyDescent="0.25">
      <c r="A892" s="47"/>
      <c r="B892" s="48"/>
      <c r="C892" s="133"/>
      <c r="D892" s="133"/>
      <c r="E892" s="133"/>
      <c r="F892" s="133"/>
      <c r="G892" s="133"/>
      <c r="H892" s="133"/>
      <c r="I892" s="133"/>
      <c r="J892" s="133"/>
      <c r="K892" s="133"/>
      <c r="L892" s="133"/>
      <c r="NW892" s="6"/>
      <c r="NX892" s="6"/>
      <c r="NY892" s="6"/>
      <c r="NZ892" s="6"/>
      <c r="OA892" s="6"/>
      <c r="OB892" s="46"/>
      <c r="OC892" s="4"/>
      <c r="OD892" s="6"/>
    </row>
    <row r="893" spans="1:394" x14ac:dyDescent="0.25">
      <c r="A893" s="47"/>
      <c r="B893" s="48"/>
      <c r="C893" s="133"/>
      <c r="D893" s="133"/>
      <c r="E893" s="133"/>
      <c r="F893" s="133"/>
      <c r="G893" s="133"/>
      <c r="H893" s="133"/>
      <c r="I893" s="133"/>
      <c r="J893" s="133"/>
      <c r="K893" s="133"/>
      <c r="L893" s="133"/>
      <c r="NW893" s="6"/>
      <c r="NX893" s="6"/>
      <c r="NY893" s="6"/>
      <c r="NZ893" s="6"/>
      <c r="OA893" s="6"/>
      <c r="OB893" s="46"/>
      <c r="OC893" s="4"/>
      <c r="OD893" s="6"/>
    </row>
    <row r="894" spans="1:394" x14ac:dyDescent="0.25">
      <c r="A894" s="47"/>
      <c r="B894" s="48"/>
      <c r="C894" s="133"/>
      <c r="D894" s="133"/>
      <c r="E894" s="133"/>
      <c r="F894" s="133"/>
      <c r="G894" s="133"/>
      <c r="H894" s="133"/>
      <c r="I894" s="133"/>
      <c r="J894" s="133"/>
      <c r="K894" s="133"/>
      <c r="L894" s="133"/>
      <c r="NW894" s="6"/>
      <c r="NX894" s="6"/>
      <c r="NY894" s="6"/>
      <c r="NZ894" s="6"/>
      <c r="OA894" s="6"/>
      <c r="OB894" s="46"/>
      <c r="OC894" s="4"/>
      <c r="OD894" s="6"/>
    </row>
    <row r="895" spans="1:394" x14ac:dyDescent="0.25">
      <c r="A895" s="47"/>
      <c r="B895" s="48"/>
      <c r="C895" s="133"/>
      <c r="D895" s="133"/>
      <c r="E895" s="133"/>
      <c r="F895" s="133"/>
      <c r="G895" s="133"/>
      <c r="H895" s="133"/>
      <c r="I895" s="133"/>
      <c r="J895" s="133"/>
      <c r="K895" s="133"/>
      <c r="L895" s="133"/>
      <c r="NW895" s="6"/>
      <c r="NX895" s="6"/>
      <c r="NY895" s="6"/>
      <c r="NZ895" s="6"/>
      <c r="OA895" s="6"/>
      <c r="OB895" s="46"/>
      <c r="OC895" s="4"/>
      <c r="OD895" s="6"/>
    </row>
    <row r="896" spans="1:394" x14ac:dyDescent="0.25">
      <c r="A896" s="47"/>
      <c r="B896" s="48"/>
      <c r="C896" s="133"/>
      <c r="D896" s="133"/>
      <c r="E896" s="133"/>
      <c r="F896" s="133"/>
      <c r="G896" s="133"/>
      <c r="H896" s="133"/>
      <c r="I896" s="133"/>
      <c r="J896" s="133"/>
      <c r="K896" s="133"/>
      <c r="L896" s="133"/>
      <c r="NW896" s="6"/>
      <c r="NX896" s="6"/>
      <c r="NY896" s="6"/>
      <c r="NZ896" s="6"/>
      <c r="OA896" s="6"/>
      <c r="OB896" s="46"/>
      <c r="OC896" s="4"/>
      <c r="OD896" s="6"/>
    </row>
    <row r="897" spans="1:394" x14ac:dyDescent="0.25">
      <c r="A897" s="47"/>
      <c r="B897" s="48"/>
      <c r="C897" s="133"/>
      <c r="D897" s="133"/>
      <c r="E897" s="133"/>
      <c r="F897" s="133"/>
      <c r="G897" s="133"/>
      <c r="H897" s="133"/>
      <c r="I897" s="133"/>
      <c r="J897" s="133"/>
      <c r="K897" s="133"/>
      <c r="L897" s="133"/>
      <c r="NW897" s="6"/>
      <c r="NX897" s="6"/>
      <c r="NY897" s="6"/>
      <c r="NZ897" s="6"/>
      <c r="OA897" s="6"/>
      <c r="OB897" s="46"/>
      <c r="OC897" s="4"/>
      <c r="OD897" s="6"/>
    </row>
    <row r="898" spans="1:394" x14ac:dyDescent="0.25">
      <c r="A898" s="47"/>
      <c r="B898" s="48"/>
      <c r="C898" s="133"/>
      <c r="D898" s="133"/>
      <c r="E898" s="133"/>
      <c r="F898" s="133"/>
      <c r="G898" s="133"/>
      <c r="H898" s="133"/>
      <c r="I898" s="133"/>
      <c r="J898" s="133"/>
      <c r="K898" s="133"/>
      <c r="L898" s="133"/>
      <c r="NW898" s="6"/>
      <c r="NX898" s="6"/>
      <c r="NY898" s="6"/>
      <c r="NZ898" s="6"/>
      <c r="OA898" s="6"/>
      <c r="OB898" s="46"/>
      <c r="OC898" s="4"/>
      <c r="OD898" s="6"/>
    </row>
    <row r="899" spans="1:394" x14ac:dyDescent="0.25">
      <c r="A899" s="47"/>
      <c r="B899" s="48"/>
      <c r="C899" s="133"/>
      <c r="D899" s="133"/>
      <c r="E899" s="133"/>
      <c r="F899" s="133"/>
      <c r="G899" s="133"/>
      <c r="H899" s="133"/>
      <c r="I899" s="133"/>
      <c r="J899" s="133"/>
      <c r="K899" s="133"/>
      <c r="L899" s="133"/>
      <c r="NW899" s="6"/>
      <c r="NX899" s="6"/>
      <c r="NY899" s="6"/>
      <c r="NZ899" s="6"/>
      <c r="OA899" s="6"/>
      <c r="OB899" s="46"/>
      <c r="OC899" s="4"/>
      <c r="OD899" s="6"/>
    </row>
    <row r="900" spans="1:394" x14ac:dyDescent="0.25">
      <c r="A900" s="47"/>
      <c r="B900" s="48"/>
      <c r="C900" s="133"/>
      <c r="D900" s="133"/>
      <c r="E900" s="133"/>
      <c r="F900" s="133"/>
      <c r="G900" s="133"/>
      <c r="H900" s="133"/>
      <c r="I900" s="133"/>
      <c r="J900" s="133"/>
      <c r="K900" s="133"/>
      <c r="L900" s="133"/>
      <c r="NW900" s="6"/>
      <c r="NX900" s="6"/>
      <c r="NY900" s="6"/>
      <c r="NZ900" s="6"/>
      <c r="OA900" s="6"/>
      <c r="OB900" s="46"/>
      <c r="OC900" s="4"/>
      <c r="OD900" s="6"/>
    </row>
    <row r="901" spans="1:394" x14ac:dyDescent="0.25">
      <c r="A901" s="47"/>
      <c r="B901" s="48"/>
      <c r="C901" s="133"/>
      <c r="D901" s="133"/>
      <c r="E901" s="133"/>
      <c r="F901" s="133"/>
      <c r="G901" s="133"/>
      <c r="H901" s="133"/>
      <c r="I901" s="133"/>
      <c r="J901" s="133"/>
      <c r="K901" s="133"/>
      <c r="L901" s="133"/>
      <c r="NW901" s="6"/>
      <c r="NX901" s="6"/>
      <c r="NY901" s="6"/>
      <c r="NZ901" s="6"/>
      <c r="OA901" s="6"/>
      <c r="OB901" s="46"/>
      <c r="OC901" s="4"/>
      <c r="OD901" s="6"/>
    </row>
    <row r="902" spans="1:394" x14ac:dyDescent="0.25">
      <c r="A902" s="47"/>
      <c r="B902" s="48"/>
      <c r="C902" s="133"/>
      <c r="D902" s="133"/>
      <c r="E902" s="133"/>
      <c r="F902" s="133"/>
      <c r="G902" s="133"/>
      <c r="H902" s="133"/>
      <c r="I902" s="133"/>
      <c r="J902" s="133"/>
      <c r="K902" s="133"/>
      <c r="L902" s="133"/>
      <c r="NW902" s="6"/>
      <c r="NX902" s="6"/>
      <c r="NY902" s="6"/>
      <c r="NZ902" s="6"/>
      <c r="OA902" s="6"/>
      <c r="OB902" s="46"/>
      <c r="OC902" s="4"/>
      <c r="OD902" s="6"/>
    </row>
    <row r="903" spans="1:394" x14ac:dyDescent="0.25">
      <c r="A903" s="47"/>
      <c r="B903" s="48"/>
      <c r="C903" s="133"/>
      <c r="D903" s="133"/>
      <c r="E903" s="133"/>
      <c r="F903" s="133"/>
      <c r="G903" s="133"/>
      <c r="H903" s="133"/>
      <c r="I903" s="133"/>
      <c r="J903" s="133"/>
      <c r="K903" s="133"/>
      <c r="L903" s="133"/>
      <c r="NW903" s="6"/>
      <c r="NX903" s="6"/>
      <c r="NY903" s="6"/>
      <c r="NZ903" s="6"/>
      <c r="OA903" s="6"/>
      <c r="OB903" s="46"/>
      <c r="OC903" s="4"/>
      <c r="OD903" s="6"/>
    </row>
    <row r="904" spans="1:394" x14ac:dyDescent="0.25">
      <c r="A904" s="47"/>
      <c r="B904" s="48"/>
      <c r="C904" s="133"/>
      <c r="D904" s="133"/>
      <c r="E904" s="133"/>
      <c r="F904" s="133"/>
      <c r="G904" s="133"/>
      <c r="H904" s="133"/>
      <c r="I904" s="133"/>
      <c r="J904" s="133"/>
      <c r="K904" s="133"/>
      <c r="L904" s="133"/>
      <c r="NW904" s="6"/>
      <c r="NX904" s="6"/>
      <c r="NY904" s="6"/>
      <c r="NZ904" s="6"/>
      <c r="OA904" s="6"/>
      <c r="OB904" s="46"/>
      <c r="OC904" s="4"/>
      <c r="OD904" s="6"/>
    </row>
    <row r="905" spans="1:394" x14ac:dyDescent="0.25">
      <c r="A905" s="47"/>
      <c r="B905" s="48"/>
      <c r="C905" s="133"/>
      <c r="D905" s="133"/>
      <c r="E905" s="133"/>
      <c r="F905" s="133"/>
      <c r="G905" s="133"/>
      <c r="H905" s="133"/>
      <c r="I905" s="133"/>
      <c r="J905" s="133"/>
      <c r="K905" s="133"/>
      <c r="L905" s="133"/>
      <c r="NW905" s="6"/>
      <c r="NX905" s="6"/>
      <c r="NY905" s="6"/>
      <c r="NZ905" s="6"/>
      <c r="OA905" s="6"/>
      <c r="OB905" s="46"/>
      <c r="OC905" s="4"/>
      <c r="OD905" s="6"/>
    </row>
    <row r="906" spans="1:394" x14ac:dyDescent="0.25">
      <c r="A906" s="47"/>
      <c r="B906" s="48"/>
      <c r="C906" s="133"/>
      <c r="D906" s="133"/>
      <c r="E906" s="133"/>
      <c r="F906" s="133"/>
      <c r="G906" s="133"/>
      <c r="H906" s="133"/>
      <c r="I906" s="133"/>
      <c r="J906" s="133"/>
      <c r="K906" s="133"/>
      <c r="L906" s="133"/>
      <c r="NW906" s="6"/>
      <c r="NX906" s="6"/>
      <c r="NY906" s="6"/>
      <c r="NZ906" s="6"/>
      <c r="OA906" s="6"/>
      <c r="OB906" s="46"/>
      <c r="OC906" s="4"/>
      <c r="OD906" s="6"/>
    </row>
    <row r="907" spans="1:394" x14ac:dyDescent="0.25">
      <c r="A907" s="47"/>
      <c r="B907" s="48"/>
      <c r="C907" s="133"/>
      <c r="D907" s="133"/>
      <c r="E907" s="133"/>
      <c r="F907" s="133"/>
      <c r="G907" s="133"/>
      <c r="H907" s="133"/>
      <c r="I907" s="133"/>
      <c r="J907" s="133"/>
      <c r="K907" s="133"/>
      <c r="L907" s="133"/>
      <c r="NW907" s="6"/>
      <c r="NX907" s="6"/>
      <c r="NY907" s="6"/>
      <c r="NZ907" s="6"/>
      <c r="OA907" s="6"/>
      <c r="OB907" s="46"/>
      <c r="OC907" s="4"/>
      <c r="OD907" s="6"/>
    </row>
    <row r="908" spans="1:394" x14ac:dyDescent="0.25">
      <c r="A908" s="47"/>
      <c r="B908" s="48"/>
      <c r="C908" s="133"/>
      <c r="D908" s="133"/>
      <c r="E908" s="133"/>
      <c r="F908" s="133"/>
      <c r="G908" s="133"/>
      <c r="H908" s="133"/>
      <c r="I908" s="133"/>
      <c r="J908" s="133"/>
      <c r="K908" s="133"/>
      <c r="L908" s="133"/>
      <c r="NW908" s="6"/>
      <c r="NX908" s="6"/>
      <c r="NY908" s="6"/>
      <c r="NZ908" s="6"/>
      <c r="OA908" s="6"/>
      <c r="OB908" s="46"/>
      <c r="OC908" s="4"/>
      <c r="OD908" s="6"/>
    </row>
    <row r="909" spans="1:394" x14ac:dyDescent="0.25">
      <c r="A909" s="47"/>
      <c r="B909" s="48"/>
      <c r="C909" s="133"/>
      <c r="D909" s="133"/>
      <c r="E909" s="133"/>
      <c r="F909" s="133"/>
      <c r="G909" s="133"/>
      <c r="H909" s="133"/>
      <c r="I909" s="133"/>
      <c r="J909" s="133"/>
      <c r="K909" s="133"/>
      <c r="L909" s="133"/>
      <c r="NW909" s="6"/>
      <c r="NX909" s="6"/>
      <c r="NY909" s="6"/>
      <c r="NZ909" s="6"/>
      <c r="OA909" s="6"/>
      <c r="OB909" s="46"/>
      <c r="OC909" s="4"/>
      <c r="OD909" s="6"/>
    </row>
    <row r="910" spans="1:394" x14ac:dyDescent="0.25">
      <c r="A910" s="47"/>
      <c r="B910" s="48"/>
      <c r="C910" s="133"/>
      <c r="D910" s="133"/>
      <c r="E910" s="133"/>
      <c r="F910" s="133"/>
      <c r="G910" s="133"/>
      <c r="H910" s="133"/>
      <c r="I910" s="133"/>
      <c r="J910" s="133"/>
      <c r="K910" s="133"/>
      <c r="L910" s="133"/>
      <c r="NW910" s="6"/>
      <c r="NX910" s="6"/>
      <c r="NY910" s="6"/>
      <c r="NZ910" s="6"/>
      <c r="OA910" s="6"/>
      <c r="OB910" s="46"/>
      <c r="OC910" s="4"/>
      <c r="OD910" s="6"/>
    </row>
    <row r="911" spans="1:394" x14ac:dyDescent="0.25">
      <c r="A911" s="47"/>
      <c r="B911" s="48"/>
      <c r="C911" s="133"/>
      <c r="D911" s="133"/>
      <c r="E911" s="133"/>
      <c r="F911" s="133"/>
      <c r="G911" s="133"/>
      <c r="H911" s="133"/>
      <c r="I911" s="133"/>
      <c r="J911" s="133"/>
      <c r="K911" s="133"/>
      <c r="L911" s="133"/>
      <c r="NW911" s="6"/>
      <c r="NX911" s="6"/>
      <c r="NY911" s="6"/>
      <c r="NZ911" s="6"/>
      <c r="OA911" s="6"/>
      <c r="OB911" s="46"/>
      <c r="OC911" s="4"/>
      <c r="OD911" s="6"/>
    </row>
    <row r="912" spans="1:394" x14ac:dyDescent="0.25">
      <c r="A912" s="47"/>
      <c r="B912" s="48"/>
      <c r="C912" s="133"/>
      <c r="D912" s="133"/>
      <c r="E912" s="133"/>
      <c r="F912" s="133"/>
      <c r="G912" s="133"/>
      <c r="H912" s="133"/>
      <c r="I912" s="133"/>
      <c r="J912" s="133"/>
      <c r="K912" s="133"/>
      <c r="L912" s="133"/>
      <c r="NW912" s="6"/>
      <c r="NX912" s="6"/>
      <c r="NY912" s="6"/>
      <c r="NZ912" s="6"/>
      <c r="OA912" s="6"/>
      <c r="OB912" s="46"/>
      <c r="OC912" s="4"/>
      <c r="OD912" s="6"/>
    </row>
    <row r="913" spans="1:394" x14ac:dyDescent="0.25">
      <c r="A913" s="47"/>
      <c r="B913" s="48"/>
      <c r="C913" s="133"/>
      <c r="D913" s="133"/>
      <c r="E913" s="133"/>
      <c r="F913" s="133"/>
      <c r="G913" s="133"/>
      <c r="H913" s="133"/>
      <c r="I913" s="133"/>
      <c r="J913" s="133"/>
      <c r="K913" s="133"/>
      <c r="L913" s="133"/>
      <c r="NW913" s="6"/>
      <c r="NX913" s="6"/>
      <c r="NY913" s="6"/>
      <c r="NZ913" s="6"/>
      <c r="OA913" s="6"/>
      <c r="OB913" s="46"/>
      <c r="OC913" s="4"/>
      <c r="OD913" s="6"/>
    </row>
    <row r="914" spans="1:394" x14ac:dyDescent="0.25">
      <c r="A914" s="47"/>
      <c r="B914" s="48"/>
      <c r="C914" s="133"/>
      <c r="D914" s="133"/>
      <c r="E914" s="133"/>
      <c r="F914" s="133"/>
      <c r="G914" s="133"/>
      <c r="H914" s="133"/>
      <c r="I914" s="133"/>
      <c r="J914" s="133"/>
      <c r="K914" s="133"/>
      <c r="L914" s="133"/>
      <c r="NW914" s="6"/>
      <c r="NX914" s="6"/>
      <c r="NY914" s="6"/>
      <c r="NZ914" s="6"/>
      <c r="OA914" s="6"/>
      <c r="OB914" s="46"/>
      <c r="OC914" s="4"/>
      <c r="OD914" s="6"/>
    </row>
    <row r="915" spans="1:394" x14ac:dyDescent="0.25">
      <c r="A915" s="47"/>
      <c r="B915" s="48"/>
      <c r="C915" s="133"/>
      <c r="D915" s="133"/>
      <c r="E915" s="133"/>
      <c r="F915" s="133"/>
      <c r="G915" s="133"/>
      <c r="H915" s="133"/>
      <c r="I915" s="133"/>
      <c r="J915" s="133"/>
      <c r="K915" s="133"/>
      <c r="L915" s="133"/>
      <c r="NW915" s="6"/>
      <c r="NX915" s="6"/>
      <c r="NY915" s="6"/>
      <c r="NZ915" s="6"/>
      <c r="OA915" s="6"/>
      <c r="OB915" s="46"/>
      <c r="OC915" s="4"/>
      <c r="OD915" s="6"/>
    </row>
    <row r="916" spans="1:394" x14ac:dyDescent="0.25">
      <c r="A916" s="47"/>
      <c r="B916" s="48"/>
      <c r="C916" s="133"/>
      <c r="D916" s="133"/>
      <c r="E916" s="133"/>
      <c r="F916" s="133"/>
      <c r="G916" s="133"/>
      <c r="H916" s="133"/>
      <c r="I916" s="133"/>
      <c r="J916" s="133"/>
      <c r="K916" s="133"/>
      <c r="L916" s="133"/>
      <c r="NW916" s="6"/>
      <c r="NX916" s="6"/>
      <c r="NY916" s="6"/>
      <c r="NZ916" s="6"/>
      <c r="OA916" s="6"/>
      <c r="OB916" s="46"/>
      <c r="OC916" s="4"/>
      <c r="OD916" s="6"/>
    </row>
    <row r="917" spans="1:394" x14ac:dyDescent="0.25">
      <c r="A917" s="47"/>
      <c r="B917" s="48"/>
      <c r="C917" s="133"/>
      <c r="D917" s="133"/>
      <c r="E917" s="133"/>
      <c r="F917" s="133"/>
      <c r="G917" s="133"/>
      <c r="H917" s="133"/>
      <c r="I917" s="133"/>
      <c r="J917" s="133"/>
      <c r="K917" s="133"/>
      <c r="L917" s="133"/>
      <c r="NW917" s="6"/>
      <c r="NX917" s="6"/>
      <c r="NY917" s="6"/>
      <c r="NZ917" s="6"/>
      <c r="OA917" s="6"/>
      <c r="OB917" s="46"/>
      <c r="OC917" s="4"/>
      <c r="OD917" s="6"/>
    </row>
    <row r="918" spans="1:394" x14ac:dyDescent="0.25">
      <c r="A918" s="47"/>
      <c r="B918" s="48"/>
      <c r="C918" s="133"/>
      <c r="D918" s="133"/>
      <c r="E918" s="133"/>
      <c r="F918" s="133"/>
      <c r="G918" s="133"/>
      <c r="H918" s="133"/>
      <c r="I918" s="133"/>
      <c r="J918" s="133"/>
      <c r="K918" s="133"/>
      <c r="L918" s="133"/>
      <c r="NW918" s="6"/>
      <c r="NX918" s="6"/>
      <c r="NY918" s="6"/>
      <c r="NZ918" s="6"/>
      <c r="OA918" s="6"/>
      <c r="OB918" s="46"/>
      <c r="OC918" s="4"/>
      <c r="OD918" s="6"/>
    </row>
    <row r="919" spans="1:394" x14ac:dyDescent="0.25">
      <c r="A919" s="47"/>
      <c r="B919" s="48"/>
      <c r="C919" s="133"/>
      <c r="D919" s="133"/>
      <c r="E919" s="133"/>
      <c r="F919" s="133"/>
      <c r="G919" s="133"/>
      <c r="H919" s="133"/>
      <c r="I919" s="133"/>
      <c r="J919" s="133"/>
      <c r="K919" s="133"/>
      <c r="L919" s="133"/>
      <c r="NW919" s="6"/>
      <c r="NX919" s="6"/>
      <c r="NY919" s="6"/>
      <c r="NZ919" s="6"/>
      <c r="OA919" s="6"/>
      <c r="OB919" s="46"/>
      <c r="OC919" s="4"/>
      <c r="OD919" s="6"/>
    </row>
    <row r="920" spans="1:394" x14ac:dyDescent="0.25">
      <c r="A920" s="47"/>
      <c r="B920" s="48"/>
      <c r="C920" s="133"/>
      <c r="D920" s="133"/>
      <c r="E920" s="133"/>
      <c r="F920" s="133"/>
      <c r="G920" s="133"/>
      <c r="H920" s="133"/>
      <c r="I920" s="133"/>
      <c r="J920" s="133"/>
      <c r="K920" s="133"/>
      <c r="L920" s="133"/>
      <c r="NW920" s="6"/>
      <c r="NX920" s="6"/>
      <c r="NY920" s="6"/>
      <c r="NZ920" s="6"/>
      <c r="OA920" s="6"/>
      <c r="OB920" s="46"/>
      <c r="OC920" s="4"/>
      <c r="OD920" s="6"/>
    </row>
    <row r="921" spans="1:394" x14ac:dyDescent="0.25">
      <c r="A921" s="47"/>
      <c r="B921" s="48"/>
      <c r="C921" s="133"/>
      <c r="D921" s="133"/>
      <c r="E921" s="133"/>
      <c r="F921" s="133"/>
      <c r="G921" s="133"/>
      <c r="H921" s="133"/>
      <c r="I921" s="133"/>
      <c r="J921" s="133"/>
      <c r="K921" s="133"/>
      <c r="L921" s="133"/>
      <c r="NW921" s="6"/>
      <c r="NX921" s="6"/>
      <c r="NY921" s="6"/>
      <c r="NZ921" s="6"/>
      <c r="OA921" s="6"/>
      <c r="OB921" s="46"/>
      <c r="OC921" s="4"/>
      <c r="OD921" s="6"/>
    </row>
    <row r="922" spans="1:394" x14ac:dyDescent="0.25">
      <c r="A922" s="47"/>
      <c r="B922" s="48"/>
      <c r="C922" s="133"/>
      <c r="D922" s="133"/>
      <c r="E922" s="133"/>
      <c r="F922" s="133"/>
      <c r="G922" s="133"/>
      <c r="H922" s="133"/>
      <c r="I922" s="133"/>
      <c r="J922" s="133"/>
      <c r="K922" s="133"/>
      <c r="L922" s="133"/>
      <c r="NW922" s="6"/>
      <c r="NX922" s="6"/>
      <c r="NY922" s="6"/>
      <c r="NZ922" s="6"/>
      <c r="OA922" s="6"/>
      <c r="OB922" s="46"/>
      <c r="OC922" s="4"/>
      <c r="OD922" s="6"/>
    </row>
    <row r="923" spans="1:394" x14ac:dyDescent="0.25">
      <c r="A923" s="47"/>
      <c r="B923" s="48"/>
      <c r="C923" s="133"/>
      <c r="D923" s="133"/>
      <c r="E923" s="133"/>
      <c r="F923" s="133"/>
      <c r="G923" s="133"/>
      <c r="H923" s="133"/>
      <c r="I923" s="133"/>
      <c r="J923" s="133"/>
      <c r="K923" s="133"/>
      <c r="L923" s="133"/>
      <c r="NW923" s="6"/>
      <c r="NX923" s="6"/>
      <c r="NY923" s="6"/>
      <c r="NZ923" s="6"/>
      <c r="OA923" s="6"/>
      <c r="OB923" s="46"/>
      <c r="OC923" s="4"/>
      <c r="OD923" s="6"/>
    </row>
    <row r="924" spans="1:394" x14ac:dyDescent="0.25">
      <c r="A924" s="47"/>
      <c r="B924" s="48"/>
      <c r="C924" s="133"/>
      <c r="D924" s="133"/>
      <c r="E924" s="133"/>
      <c r="F924" s="133"/>
      <c r="G924" s="133"/>
      <c r="H924" s="133"/>
      <c r="I924" s="133"/>
      <c r="J924" s="133"/>
      <c r="K924" s="133"/>
      <c r="L924" s="133"/>
      <c r="NW924" s="6"/>
      <c r="NX924" s="6"/>
      <c r="NY924" s="6"/>
      <c r="NZ924" s="6"/>
      <c r="OA924" s="6"/>
      <c r="OB924" s="46"/>
      <c r="OC924" s="4"/>
      <c r="OD924" s="6"/>
    </row>
    <row r="925" spans="1:394" x14ac:dyDescent="0.25">
      <c r="A925" s="47"/>
      <c r="B925" s="48"/>
      <c r="C925" s="133"/>
      <c r="D925" s="133"/>
      <c r="E925" s="133"/>
      <c r="F925" s="133"/>
      <c r="G925" s="133"/>
      <c r="H925" s="133"/>
      <c r="I925" s="133"/>
      <c r="J925" s="133"/>
      <c r="K925" s="133"/>
      <c r="L925" s="133"/>
      <c r="NW925" s="6"/>
      <c r="NX925" s="6"/>
      <c r="NY925" s="6"/>
      <c r="NZ925" s="6"/>
      <c r="OA925" s="6"/>
      <c r="OB925" s="46"/>
      <c r="OC925" s="4"/>
      <c r="OD925" s="6"/>
    </row>
    <row r="926" spans="1:394" x14ac:dyDescent="0.25">
      <c r="A926" s="47"/>
      <c r="B926" s="48"/>
      <c r="C926" s="133"/>
      <c r="D926" s="133"/>
      <c r="E926" s="133"/>
      <c r="F926" s="133"/>
      <c r="G926" s="133"/>
      <c r="H926" s="133"/>
      <c r="I926" s="133"/>
      <c r="J926" s="133"/>
      <c r="K926" s="133"/>
      <c r="L926" s="133"/>
      <c r="NW926" s="6"/>
      <c r="NX926" s="6"/>
      <c r="NY926" s="6"/>
      <c r="NZ926" s="6"/>
      <c r="OA926" s="6"/>
      <c r="OB926" s="46"/>
      <c r="OC926" s="4"/>
      <c r="OD926" s="6"/>
    </row>
    <row r="927" spans="1:394" x14ac:dyDescent="0.25">
      <c r="A927" s="47"/>
      <c r="B927" s="48"/>
      <c r="C927" s="133"/>
      <c r="D927" s="133"/>
      <c r="E927" s="133"/>
      <c r="F927" s="133"/>
      <c r="G927" s="133"/>
      <c r="H927" s="133"/>
      <c r="I927" s="133"/>
      <c r="J927" s="133"/>
      <c r="K927" s="133"/>
      <c r="L927" s="133"/>
      <c r="NW927" s="6"/>
      <c r="NX927" s="6"/>
      <c r="NY927" s="6"/>
      <c r="NZ927" s="6"/>
      <c r="OA927" s="6"/>
      <c r="OB927" s="46"/>
      <c r="OC927" s="4"/>
      <c r="OD927" s="6"/>
    </row>
    <row r="928" spans="1:394" x14ac:dyDescent="0.25">
      <c r="A928" s="47"/>
      <c r="B928" s="48"/>
      <c r="C928" s="133"/>
      <c r="D928" s="133"/>
      <c r="E928" s="133"/>
      <c r="F928" s="133"/>
      <c r="G928" s="133"/>
      <c r="H928" s="133"/>
      <c r="I928" s="133"/>
      <c r="J928" s="133"/>
      <c r="K928" s="133"/>
      <c r="L928" s="133"/>
      <c r="NW928" s="6"/>
      <c r="NX928" s="6"/>
      <c r="NY928" s="6"/>
      <c r="NZ928" s="6"/>
      <c r="OA928" s="6"/>
      <c r="OB928" s="46"/>
      <c r="OC928" s="4"/>
      <c r="OD928" s="6"/>
    </row>
    <row r="929" spans="1:394" x14ac:dyDescent="0.25">
      <c r="A929" s="47"/>
      <c r="B929" s="48"/>
      <c r="C929" s="133"/>
      <c r="D929" s="133"/>
      <c r="E929" s="133"/>
      <c r="F929" s="133"/>
      <c r="G929" s="133"/>
      <c r="H929" s="133"/>
      <c r="I929" s="133"/>
      <c r="J929" s="133"/>
      <c r="K929" s="133"/>
      <c r="L929" s="133"/>
      <c r="NW929" s="6"/>
      <c r="NX929" s="6"/>
      <c r="NY929" s="6"/>
      <c r="NZ929" s="6"/>
      <c r="OA929" s="6"/>
      <c r="OB929" s="46"/>
      <c r="OC929" s="4"/>
      <c r="OD929" s="6"/>
    </row>
    <row r="930" spans="1:394" x14ac:dyDescent="0.25">
      <c r="A930" s="47"/>
      <c r="B930" s="48"/>
      <c r="C930" s="133"/>
      <c r="D930" s="133"/>
      <c r="E930" s="133"/>
      <c r="F930" s="133"/>
      <c r="G930" s="133"/>
      <c r="H930" s="133"/>
      <c r="I930" s="133"/>
      <c r="J930" s="133"/>
      <c r="K930" s="133"/>
      <c r="L930" s="133"/>
      <c r="NW930" s="6"/>
      <c r="NX930" s="6"/>
      <c r="NY930" s="6"/>
      <c r="NZ930" s="6"/>
      <c r="OA930" s="6"/>
      <c r="OB930" s="46"/>
      <c r="OC930" s="4"/>
      <c r="OD930" s="6"/>
    </row>
    <row r="931" spans="1:394" x14ac:dyDescent="0.25">
      <c r="A931" s="47"/>
      <c r="B931" s="48"/>
      <c r="C931" s="133"/>
      <c r="D931" s="133"/>
      <c r="E931" s="133"/>
      <c r="F931" s="133"/>
      <c r="G931" s="133"/>
      <c r="H931" s="133"/>
      <c r="I931" s="133"/>
      <c r="J931" s="133"/>
      <c r="K931" s="133"/>
      <c r="L931" s="133"/>
      <c r="NW931" s="6"/>
      <c r="NX931" s="6"/>
      <c r="NY931" s="6"/>
      <c r="NZ931" s="6"/>
      <c r="OA931" s="6"/>
      <c r="OB931" s="46"/>
      <c r="OC931" s="4"/>
      <c r="OD931" s="6"/>
    </row>
    <row r="932" spans="1:394" x14ac:dyDescent="0.25">
      <c r="A932" s="47"/>
      <c r="B932" s="48"/>
      <c r="C932" s="133"/>
      <c r="D932" s="133"/>
      <c r="E932" s="133"/>
      <c r="F932" s="133"/>
      <c r="G932" s="133"/>
      <c r="H932" s="133"/>
      <c r="I932" s="133"/>
      <c r="J932" s="133"/>
      <c r="K932" s="133"/>
      <c r="L932" s="133"/>
      <c r="NW932" s="6"/>
      <c r="NX932" s="6"/>
      <c r="NY932" s="6"/>
      <c r="NZ932" s="6"/>
      <c r="OA932" s="6"/>
      <c r="OB932" s="46"/>
      <c r="OC932" s="4"/>
      <c r="OD932" s="6"/>
    </row>
    <row r="933" spans="1:394" x14ac:dyDescent="0.25">
      <c r="A933" s="47"/>
      <c r="B933" s="48"/>
      <c r="C933" s="133"/>
      <c r="D933" s="133"/>
      <c r="E933" s="133"/>
      <c r="F933" s="133"/>
      <c r="G933" s="133"/>
      <c r="H933" s="133"/>
      <c r="I933" s="133"/>
      <c r="J933" s="133"/>
      <c r="K933" s="133"/>
      <c r="L933" s="133"/>
      <c r="NW933" s="6"/>
      <c r="NX933" s="6"/>
      <c r="NY933" s="6"/>
      <c r="NZ933" s="6"/>
      <c r="OA933" s="6"/>
      <c r="OB933" s="46"/>
      <c r="OC933" s="4"/>
      <c r="OD933" s="6"/>
    </row>
    <row r="934" spans="1:394" x14ac:dyDescent="0.25">
      <c r="A934" s="47"/>
      <c r="B934" s="48"/>
      <c r="C934" s="133"/>
      <c r="D934" s="133"/>
      <c r="E934" s="133"/>
      <c r="F934" s="133"/>
      <c r="G934" s="133"/>
      <c r="H934" s="133"/>
      <c r="I934" s="133"/>
      <c r="J934" s="133"/>
      <c r="K934" s="133"/>
      <c r="L934" s="133"/>
      <c r="NW934" s="6"/>
      <c r="NX934" s="6"/>
      <c r="NY934" s="6"/>
      <c r="NZ934" s="6"/>
      <c r="OA934" s="6"/>
      <c r="OB934" s="46"/>
      <c r="OC934" s="4"/>
      <c r="OD934" s="6"/>
    </row>
    <row r="935" spans="1:394" x14ac:dyDescent="0.25">
      <c r="A935" s="47"/>
      <c r="B935" s="48"/>
      <c r="C935" s="133"/>
      <c r="D935" s="133"/>
      <c r="E935" s="133"/>
      <c r="F935" s="133"/>
      <c r="G935" s="133"/>
      <c r="H935" s="133"/>
      <c r="I935" s="133"/>
      <c r="J935" s="133"/>
      <c r="K935" s="133"/>
      <c r="L935" s="133"/>
      <c r="NW935" s="6"/>
      <c r="NX935" s="6"/>
      <c r="NY935" s="6"/>
      <c r="NZ935" s="6"/>
      <c r="OA935" s="6"/>
      <c r="OB935" s="46"/>
      <c r="OC935" s="4"/>
      <c r="OD935" s="6"/>
    </row>
    <row r="936" spans="1:394" x14ac:dyDescent="0.25">
      <c r="A936" s="47"/>
      <c r="B936" s="48"/>
      <c r="C936" s="133"/>
      <c r="D936" s="133"/>
      <c r="E936" s="133"/>
      <c r="F936" s="133"/>
      <c r="G936" s="133"/>
      <c r="H936" s="133"/>
      <c r="I936" s="133"/>
      <c r="J936" s="133"/>
      <c r="K936" s="133"/>
      <c r="L936" s="133"/>
      <c r="NW936" s="6"/>
      <c r="NX936" s="6"/>
      <c r="NY936" s="6"/>
      <c r="NZ936" s="6"/>
      <c r="OA936" s="6"/>
      <c r="OB936" s="46"/>
      <c r="OC936" s="4"/>
      <c r="OD936" s="6"/>
    </row>
    <row r="937" spans="1:394" x14ac:dyDescent="0.25">
      <c r="A937" s="47"/>
      <c r="B937" s="48"/>
      <c r="C937" s="133"/>
      <c r="D937" s="133"/>
      <c r="E937" s="133"/>
      <c r="F937" s="133"/>
      <c r="G937" s="133"/>
      <c r="H937" s="133"/>
      <c r="I937" s="133"/>
      <c r="J937" s="133"/>
      <c r="K937" s="133"/>
      <c r="L937" s="133"/>
      <c r="NW937" s="6"/>
      <c r="NX937" s="6"/>
      <c r="NY937" s="6"/>
      <c r="NZ937" s="6"/>
      <c r="OA937" s="6"/>
      <c r="OB937" s="46"/>
      <c r="OC937" s="4"/>
      <c r="OD937" s="6"/>
    </row>
    <row r="938" spans="1:394" x14ac:dyDescent="0.25">
      <c r="A938" s="47"/>
      <c r="B938" s="48"/>
      <c r="C938" s="133"/>
      <c r="D938" s="133"/>
      <c r="E938" s="133"/>
      <c r="F938" s="133"/>
      <c r="G938" s="133"/>
      <c r="H938" s="133"/>
      <c r="I938" s="133"/>
      <c r="J938" s="133"/>
      <c r="K938" s="133"/>
      <c r="L938" s="133"/>
      <c r="NW938" s="6"/>
      <c r="NX938" s="6"/>
      <c r="NY938" s="6"/>
      <c r="NZ938" s="6"/>
      <c r="OA938" s="6"/>
      <c r="OB938" s="46"/>
      <c r="OC938" s="4"/>
      <c r="OD938" s="6"/>
    </row>
    <row r="939" spans="1:394" x14ac:dyDescent="0.25">
      <c r="A939" s="47"/>
      <c r="B939" s="48"/>
      <c r="C939" s="133"/>
      <c r="D939" s="133"/>
      <c r="E939" s="133"/>
      <c r="F939" s="133"/>
      <c r="G939" s="133"/>
      <c r="H939" s="133"/>
      <c r="I939" s="133"/>
      <c r="J939" s="133"/>
      <c r="K939" s="133"/>
      <c r="L939" s="133"/>
      <c r="NW939" s="6"/>
      <c r="NX939" s="6"/>
      <c r="NY939" s="6"/>
      <c r="NZ939" s="6"/>
      <c r="OA939" s="6"/>
      <c r="OB939" s="46"/>
      <c r="OC939" s="4"/>
      <c r="OD939" s="6"/>
    </row>
    <row r="940" spans="1:394" x14ac:dyDescent="0.25">
      <c r="A940" s="47"/>
      <c r="B940" s="48"/>
      <c r="C940" s="133"/>
      <c r="D940" s="133"/>
      <c r="E940" s="133"/>
      <c r="F940" s="133"/>
      <c r="G940" s="133"/>
      <c r="H940" s="133"/>
      <c r="I940" s="133"/>
      <c r="J940" s="133"/>
      <c r="K940" s="133"/>
      <c r="L940" s="133"/>
      <c r="NW940" s="6"/>
      <c r="NX940" s="6"/>
      <c r="NY940" s="6"/>
      <c r="NZ940" s="6"/>
      <c r="OA940" s="6"/>
      <c r="OB940" s="46"/>
      <c r="OC940" s="4"/>
      <c r="OD940" s="6"/>
    </row>
    <row r="941" spans="1:394" x14ac:dyDescent="0.25">
      <c r="A941" s="47"/>
      <c r="B941" s="48"/>
      <c r="C941" s="133"/>
      <c r="D941" s="133"/>
      <c r="E941" s="133"/>
      <c r="F941" s="133"/>
      <c r="G941" s="133"/>
      <c r="H941" s="133"/>
      <c r="I941" s="133"/>
      <c r="J941" s="133"/>
      <c r="K941" s="133"/>
      <c r="L941" s="133"/>
      <c r="NW941" s="6"/>
      <c r="NX941" s="6"/>
      <c r="NY941" s="6"/>
      <c r="NZ941" s="6"/>
      <c r="OA941" s="6"/>
      <c r="OB941" s="46"/>
      <c r="OC941" s="4"/>
      <c r="OD941" s="6"/>
    </row>
    <row r="942" spans="1:394" x14ac:dyDescent="0.25">
      <c r="A942" s="47"/>
      <c r="B942" s="48"/>
      <c r="C942" s="133"/>
      <c r="D942" s="133"/>
      <c r="E942" s="133"/>
      <c r="F942" s="133"/>
      <c r="G942" s="133"/>
      <c r="H942" s="133"/>
      <c r="I942" s="133"/>
      <c r="J942" s="133"/>
      <c r="K942" s="133"/>
      <c r="L942" s="133"/>
      <c r="NW942" s="6"/>
      <c r="NX942" s="6"/>
      <c r="NY942" s="6"/>
      <c r="NZ942" s="6"/>
      <c r="OA942" s="6"/>
      <c r="OB942" s="46"/>
      <c r="OC942" s="4"/>
      <c r="OD942" s="6"/>
    </row>
    <row r="943" spans="1:394" x14ac:dyDescent="0.25">
      <c r="A943" s="47"/>
      <c r="B943" s="48"/>
      <c r="C943" s="133"/>
      <c r="D943" s="133"/>
      <c r="E943" s="133"/>
      <c r="F943" s="133"/>
      <c r="G943" s="133"/>
      <c r="H943" s="133"/>
      <c r="I943" s="133"/>
      <c r="J943" s="133"/>
      <c r="K943" s="133"/>
      <c r="L943" s="133"/>
      <c r="NW943" s="6"/>
      <c r="NX943" s="6"/>
      <c r="NY943" s="6"/>
      <c r="NZ943" s="6"/>
      <c r="OA943" s="6"/>
      <c r="OB943" s="46"/>
      <c r="OC943" s="4"/>
      <c r="OD943" s="6"/>
    </row>
    <row r="944" spans="1:394" x14ac:dyDescent="0.25">
      <c r="A944" s="47"/>
      <c r="B944" s="48"/>
      <c r="C944" s="133"/>
      <c r="D944" s="133"/>
      <c r="E944" s="133"/>
      <c r="F944" s="133"/>
      <c r="G944" s="133"/>
      <c r="H944" s="133"/>
      <c r="I944" s="133"/>
      <c r="J944" s="133"/>
      <c r="K944" s="133"/>
      <c r="L944" s="133"/>
      <c r="NW944" s="6"/>
      <c r="NX944" s="6"/>
      <c r="NY944" s="6"/>
      <c r="NZ944" s="6"/>
      <c r="OA944" s="6"/>
      <c r="OB944" s="46"/>
      <c r="OC944" s="4"/>
      <c r="OD944" s="6"/>
    </row>
    <row r="945" spans="1:394" x14ac:dyDescent="0.25">
      <c r="A945" s="47"/>
      <c r="B945" s="48"/>
      <c r="C945" s="133"/>
      <c r="D945" s="133"/>
      <c r="E945" s="133"/>
      <c r="F945" s="133"/>
      <c r="G945" s="133"/>
      <c r="H945" s="133"/>
      <c r="I945" s="133"/>
      <c r="J945" s="133"/>
      <c r="K945" s="133"/>
      <c r="L945" s="133"/>
      <c r="NW945" s="6"/>
      <c r="NX945" s="6"/>
      <c r="NY945" s="6"/>
      <c r="NZ945" s="6"/>
      <c r="OA945" s="6"/>
      <c r="OB945" s="46"/>
      <c r="OC945" s="4"/>
      <c r="OD945" s="6"/>
    </row>
    <row r="946" spans="1:394" x14ac:dyDescent="0.25">
      <c r="A946" s="47"/>
      <c r="B946" s="48"/>
      <c r="C946" s="133"/>
      <c r="D946" s="133"/>
      <c r="E946" s="133"/>
      <c r="F946" s="133"/>
      <c r="G946" s="133"/>
      <c r="H946" s="133"/>
      <c r="I946" s="133"/>
      <c r="J946" s="133"/>
      <c r="K946" s="133"/>
      <c r="L946" s="133"/>
      <c r="NW946" s="6"/>
      <c r="NX946" s="6"/>
      <c r="NY946" s="6"/>
      <c r="NZ946" s="6"/>
      <c r="OA946" s="6"/>
      <c r="OB946" s="46"/>
      <c r="OC946" s="4"/>
      <c r="OD946" s="6"/>
    </row>
    <row r="947" spans="1:394" x14ac:dyDescent="0.25">
      <c r="A947" s="47"/>
      <c r="B947" s="48"/>
      <c r="C947" s="133"/>
      <c r="D947" s="133"/>
      <c r="E947" s="133"/>
      <c r="F947" s="133"/>
      <c r="G947" s="133"/>
      <c r="H947" s="133"/>
      <c r="I947" s="133"/>
      <c r="J947" s="133"/>
      <c r="K947" s="133"/>
      <c r="L947" s="133"/>
      <c r="NW947" s="6"/>
      <c r="NX947" s="6"/>
      <c r="NY947" s="6"/>
      <c r="NZ947" s="6"/>
      <c r="OA947" s="6"/>
      <c r="OB947" s="46"/>
      <c r="OC947" s="4"/>
      <c r="OD947" s="6"/>
    </row>
    <row r="948" spans="1:394" x14ac:dyDescent="0.25">
      <c r="A948" s="47"/>
      <c r="B948" s="48"/>
      <c r="C948" s="133"/>
      <c r="D948" s="133"/>
      <c r="E948" s="133"/>
      <c r="F948" s="133"/>
      <c r="G948" s="133"/>
      <c r="H948" s="133"/>
      <c r="I948" s="133"/>
      <c r="J948" s="133"/>
      <c r="K948" s="133"/>
      <c r="L948" s="133"/>
      <c r="NW948" s="6"/>
      <c r="NX948" s="6"/>
      <c r="NY948" s="6"/>
      <c r="NZ948" s="6"/>
      <c r="OA948" s="6"/>
      <c r="OB948" s="46"/>
      <c r="OC948" s="4"/>
      <c r="OD948" s="6"/>
    </row>
    <row r="949" spans="1:394" x14ac:dyDescent="0.25">
      <c r="A949" s="47"/>
      <c r="B949" s="48"/>
      <c r="C949" s="133"/>
      <c r="D949" s="133"/>
      <c r="E949" s="133"/>
      <c r="F949" s="133"/>
      <c r="G949" s="133"/>
      <c r="H949" s="133"/>
      <c r="I949" s="133"/>
      <c r="J949" s="133"/>
      <c r="K949" s="133"/>
      <c r="L949" s="133"/>
      <c r="NW949" s="6"/>
      <c r="NX949" s="6"/>
      <c r="NY949" s="6"/>
      <c r="NZ949" s="6"/>
      <c r="OA949" s="6"/>
      <c r="OB949" s="46"/>
      <c r="OC949" s="4"/>
      <c r="OD949" s="6"/>
    </row>
    <row r="950" spans="1:394" x14ac:dyDescent="0.25">
      <c r="A950" s="47"/>
      <c r="B950" s="48"/>
      <c r="C950" s="133"/>
      <c r="D950" s="133"/>
      <c r="E950" s="133"/>
      <c r="F950" s="133"/>
      <c r="G950" s="133"/>
      <c r="H950" s="133"/>
      <c r="I950" s="133"/>
      <c r="J950" s="133"/>
      <c r="K950" s="133"/>
      <c r="L950" s="133"/>
      <c r="NW950" s="6"/>
      <c r="NX950" s="6"/>
      <c r="NY950" s="6"/>
      <c r="NZ950" s="6"/>
      <c r="OA950" s="6"/>
      <c r="OB950" s="46"/>
      <c r="OC950" s="4"/>
      <c r="OD950" s="6"/>
    </row>
    <row r="951" spans="1:394" x14ac:dyDescent="0.25">
      <c r="A951" s="47"/>
      <c r="B951" s="48"/>
      <c r="C951" s="133"/>
      <c r="D951" s="133"/>
      <c r="E951" s="133"/>
      <c r="F951" s="133"/>
      <c r="G951" s="133"/>
      <c r="H951" s="133"/>
      <c r="I951" s="133"/>
      <c r="J951" s="133"/>
      <c r="K951" s="133"/>
      <c r="L951" s="133"/>
      <c r="NW951" s="6"/>
      <c r="NX951" s="6"/>
      <c r="NY951" s="6"/>
      <c r="NZ951" s="6"/>
      <c r="OA951" s="6"/>
      <c r="OB951" s="46"/>
      <c r="OC951" s="4"/>
      <c r="OD951" s="6"/>
    </row>
    <row r="952" spans="1:394" x14ac:dyDescent="0.25">
      <c r="A952" s="47"/>
      <c r="B952" s="48"/>
      <c r="C952" s="133"/>
      <c r="D952" s="133"/>
      <c r="E952" s="133"/>
      <c r="F952" s="133"/>
      <c r="G952" s="133"/>
      <c r="H952" s="133"/>
      <c r="I952" s="133"/>
      <c r="J952" s="133"/>
      <c r="K952" s="133"/>
      <c r="L952" s="133"/>
      <c r="NW952" s="6"/>
      <c r="NX952" s="6"/>
      <c r="NY952" s="6"/>
      <c r="NZ952" s="6"/>
      <c r="OA952" s="6"/>
      <c r="OB952" s="46"/>
      <c r="OC952" s="4"/>
      <c r="OD952" s="6"/>
    </row>
    <row r="953" spans="1:394" x14ac:dyDescent="0.25">
      <c r="A953" s="47"/>
      <c r="B953" s="48"/>
      <c r="C953" s="133"/>
      <c r="D953" s="133"/>
      <c r="E953" s="133"/>
      <c r="F953" s="133"/>
      <c r="G953" s="133"/>
      <c r="H953" s="133"/>
      <c r="I953" s="133"/>
      <c r="J953" s="133"/>
      <c r="K953" s="133"/>
      <c r="L953" s="133"/>
      <c r="NW953" s="6"/>
      <c r="NX953" s="6"/>
      <c r="NY953" s="6"/>
      <c r="NZ953" s="6"/>
      <c r="OA953" s="6"/>
      <c r="OB953" s="46"/>
      <c r="OC953" s="4"/>
      <c r="OD953" s="6"/>
    </row>
    <row r="954" spans="1:394" x14ac:dyDescent="0.25">
      <c r="A954" s="47"/>
      <c r="B954" s="48"/>
      <c r="C954" s="133"/>
      <c r="D954" s="133"/>
      <c r="E954" s="133"/>
      <c r="F954" s="133"/>
      <c r="G954" s="133"/>
      <c r="H954" s="133"/>
      <c r="I954" s="133"/>
      <c r="J954" s="133"/>
      <c r="K954" s="133"/>
      <c r="L954" s="133"/>
      <c r="NW954" s="6"/>
      <c r="NX954" s="6"/>
      <c r="NY954" s="6"/>
      <c r="NZ954" s="6"/>
      <c r="OA954" s="6"/>
      <c r="OB954" s="46"/>
      <c r="OC954" s="4"/>
      <c r="OD954" s="6"/>
    </row>
    <row r="955" spans="1:394" x14ac:dyDescent="0.25">
      <c r="A955" s="47"/>
      <c r="B955" s="48"/>
      <c r="C955" s="133"/>
      <c r="D955" s="133"/>
      <c r="E955" s="133"/>
      <c r="F955" s="133"/>
      <c r="G955" s="133"/>
      <c r="H955" s="133"/>
      <c r="I955" s="133"/>
      <c r="J955" s="133"/>
      <c r="K955" s="133"/>
      <c r="L955" s="133"/>
      <c r="NW955" s="6"/>
      <c r="NX955" s="6"/>
      <c r="NY955" s="6"/>
      <c r="NZ955" s="6"/>
      <c r="OA955" s="6"/>
      <c r="OB955" s="46"/>
      <c r="OC955" s="4"/>
      <c r="OD955" s="6"/>
    </row>
    <row r="956" spans="1:394" x14ac:dyDescent="0.25">
      <c r="A956" s="47"/>
      <c r="B956" s="48"/>
      <c r="C956" s="133"/>
      <c r="D956" s="133"/>
      <c r="E956" s="133"/>
      <c r="F956" s="133"/>
      <c r="G956" s="133"/>
      <c r="H956" s="133"/>
      <c r="I956" s="133"/>
      <c r="J956" s="133"/>
      <c r="K956" s="133"/>
      <c r="L956" s="133"/>
      <c r="NW956" s="6"/>
      <c r="NX956" s="6"/>
      <c r="NY956" s="6"/>
      <c r="NZ956" s="6"/>
      <c r="OA956" s="6"/>
      <c r="OB956" s="46"/>
      <c r="OC956" s="4"/>
      <c r="OD956" s="6"/>
    </row>
    <row r="957" spans="1:394" x14ac:dyDescent="0.25">
      <c r="A957" s="47"/>
      <c r="B957" s="48"/>
      <c r="C957" s="133"/>
      <c r="D957" s="133"/>
      <c r="E957" s="133"/>
      <c r="F957" s="133"/>
      <c r="G957" s="133"/>
      <c r="H957" s="133"/>
      <c r="I957" s="133"/>
      <c r="J957" s="133"/>
      <c r="K957" s="133"/>
      <c r="L957" s="133"/>
      <c r="NW957" s="6"/>
      <c r="NX957" s="6"/>
      <c r="NY957" s="6"/>
      <c r="NZ957" s="6"/>
      <c r="OA957" s="6"/>
      <c r="OB957" s="46"/>
      <c r="OC957" s="4"/>
      <c r="OD957" s="6"/>
    </row>
    <row r="958" spans="1:394" x14ac:dyDescent="0.25">
      <c r="A958" s="47"/>
      <c r="B958" s="48"/>
      <c r="C958" s="133"/>
      <c r="D958" s="133"/>
      <c r="E958" s="133"/>
      <c r="F958" s="133"/>
      <c r="G958" s="133"/>
      <c r="H958" s="133"/>
      <c r="I958" s="133"/>
      <c r="J958" s="133"/>
      <c r="K958" s="133"/>
      <c r="L958" s="133"/>
      <c r="NW958" s="6"/>
      <c r="NX958" s="6"/>
      <c r="NY958" s="6"/>
      <c r="NZ958" s="6"/>
      <c r="OA958" s="6"/>
      <c r="OB958" s="46"/>
      <c r="OC958" s="4"/>
      <c r="OD958" s="6"/>
    </row>
    <row r="959" spans="1:394" x14ac:dyDescent="0.25">
      <c r="A959" s="47"/>
      <c r="B959" s="48"/>
      <c r="C959" s="133"/>
      <c r="D959" s="133"/>
      <c r="E959" s="133"/>
      <c r="F959" s="133"/>
      <c r="G959" s="133"/>
      <c r="H959" s="133"/>
      <c r="I959" s="133"/>
      <c r="J959" s="133"/>
      <c r="K959" s="133"/>
      <c r="L959" s="133"/>
      <c r="NW959" s="6"/>
      <c r="NX959" s="6"/>
      <c r="NY959" s="6"/>
      <c r="NZ959" s="6"/>
      <c r="OA959" s="6"/>
      <c r="OB959" s="46"/>
      <c r="OC959" s="4"/>
      <c r="OD959" s="6"/>
    </row>
    <row r="960" spans="1:394" x14ac:dyDescent="0.25">
      <c r="A960" s="47"/>
      <c r="B960" s="48"/>
      <c r="C960" s="133"/>
      <c r="D960" s="133"/>
      <c r="E960" s="133"/>
      <c r="F960" s="133"/>
      <c r="G960" s="133"/>
      <c r="H960" s="133"/>
      <c r="I960" s="133"/>
      <c r="J960" s="133"/>
      <c r="K960" s="133"/>
      <c r="L960" s="133"/>
      <c r="NW960" s="6"/>
      <c r="NX960" s="6"/>
      <c r="NY960" s="6"/>
      <c r="NZ960" s="6"/>
      <c r="OA960" s="6"/>
      <c r="OB960" s="46"/>
      <c r="OC960" s="4"/>
      <c r="OD960" s="6"/>
    </row>
    <row r="961" spans="1:394" x14ac:dyDescent="0.25">
      <c r="A961" s="47"/>
      <c r="B961" s="48"/>
      <c r="C961" s="133"/>
      <c r="D961" s="133"/>
      <c r="E961" s="133"/>
      <c r="F961" s="133"/>
      <c r="G961" s="133"/>
      <c r="H961" s="133"/>
      <c r="I961" s="133"/>
      <c r="J961" s="133"/>
      <c r="K961" s="133"/>
      <c r="L961" s="133"/>
      <c r="NW961" s="6"/>
      <c r="NX961" s="6"/>
      <c r="NY961" s="6"/>
      <c r="NZ961" s="6"/>
      <c r="OA961" s="6"/>
      <c r="OB961" s="46"/>
      <c r="OC961" s="4"/>
      <c r="OD961" s="6"/>
    </row>
    <row r="962" spans="1:394" x14ac:dyDescent="0.25">
      <c r="A962" s="47"/>
      <c r="B962" s="48"/>
      <c r="C962" s="133"/>
      <c r="D962" s="133"/>
      <c r="E962" s="133"/>
      <c r="F962" s="133"/>
      <c r="G962" s="133"/>
      <c r="H962" s="133"/>
      <c r="I962" s="133"/>
      <c r="J962" s="133"/>
      <c r="K962" s="133"/>
      <c r="L962" s="133"/>
      <c r="NW962" s="6"/>
      <c r="NX962" s="6"/>
      <c r="NY962" s="6"/>
      <c r="NZ962" s="6"/>
      <c r="OA962" s="6"/>
      <c r="OB962" s="46"/>
      <c r="OC962" s="4"/>
      <c r="OD962" s="6"/>
    </row>
    <row r="963" spans="1:394" x14ac:dyDescent="0.25">
      <c r="A963" s="47"/>
      <c r="B963" s="48"/>
      <c r="C963" s="133"/>
      <c r="D963" s="133"/>
      <c r="E963" s="133"/>
      <c r="F963" s="133"/>
      <c r="G963" s="133"/>
      <c r="H963" s="133"/>
      <c r="I963" s="133"/>
      <c r="J963" s="133"/>
      <c r="K963" s="133"/>
      <c r="L963" s="133"/>
      <c r="NW963" s="6"/>
      <c r="NX963" s="6"/>
      <c r="NY963" s="6"/>
      <c r="NZ963" s="6"/>
      <c r="OA963" s="6"/>
      <c r="OB963" s="46"/>
      <c r="OC963" s="4"/>
      <c r="OD963" s="6"/>
    </row>
    <row r="964" spans="1:394" x14ac:dyDescent="0.25">
      <c r="A964" s="47"/>
      <c r="B964" s="48"/>
      <c r="C964" s="133"/>
      <c r="D964" s="133"/>
      <c r="E964" s="133"/>
      <c r="F964" s="133"/>
      <c r="G964" s="133"/>
      <c r="H964" s="133"/>
      <c r="I964" s="133"/>
      <c r="J964" s="133"/>
      <c r="K964" s="133"/>
      <c r="L964" s="133"/>
      <c r="NW964" s="6"/>
      <c r="NX964" s="6"/>
      <c r="NY964" s="6"/>
      <c r="NZ964" s="6"/>
      <c r="OA964" s="6"/>
      <c r="OB964" s="46"/>
      <c r="OC964" s="4"/>
      <c r="OD964" s="6"/>
    </row>
    <row r="965" spans="1:394" x14ac:dyDescent="0.25">
      <c r="A965" s="47"/>
      <c r="B965" s="48"/>
      <c r="C965" s="133"/>
      <c r="D965" s="133"/>
      <c r="E965" s="133"/>
      <c r="F965" s="133"/>
      <c r="G965" s="133"/>
      <c r="H965" s="133"/>
      <c r="I965" s="133"/>
      <c r="J965" s="133"/>
      <c r="K965" s="133"/>
      <c r="L965" s="133"/>
      <c r="NW965" s="6"/>
      <c r="NX965" s="6"/>
      <c r="NY965" s="6"/>
      <c r="NZ965" s="6"/>
      <c r="OA965" s="6"/>
      <c r="OB965" s="46"/>
      <c r="OC965" s="4"/>
      <c r="OD965" s="6"/>
    </row>
    <row r="966" spans="1:394" x14ac:dyDescent="0.25">
      <c r="A966" s="47"/>
      <c r="B966" s="48"/>
      <c r="C966" s="133"/>
      <c r="D966" s="133"/>
      <c r="E966" s="133"/>
      <c r="F966" s="133"/>
      <c r="G966" s="133"/>
      <c r="H966" s="133"/>
      <c r="I966" s="133"/>
      <c r="J966" s="133"/>
      <c r="K966" s="133"/>
      <c r="L966" s="133"/>
      <c r="NW966" s="6"/>
      <c r="NX966" s="6"/>
      <c r="NY966" s="6"/>
      <c r="NZ966" s="6"/>
      <c r="OA966" s="6"/>
      <c r="OB966" s="46"/>
      <c r="OC966" s="4"/>
      <c r="OD966" s="6"/>
    </row>
    <row r="967" spans="1:394" x14ac:dyDescent="0.25">
      <c r="A967" s="47"/>
      <c r="B967" s="48"/>
      <c r="C967" s="133"/>
      <c r="D967" s="133"/>
      <c r="E967" s="133"/>
      <c r="F967" s="133"/>
      <c r="G967" s="133"/>
      <c r="H967" s="133"/>
      <c r="I967" s="133"/>
      <c r="J967" s="133"/>
      <c r="K967" s="133"/>
      <c r="L967" s="133"/>
      <c r="NW967" s="6"/>
      <c r="NX967" s="6"/>
      <c r="NY967" s="6"/>
      <c r="NZ967" s="6"/>
      <c r="OA967" s="6"/>
      <c r="OB967" s="46"/>
      <c r="OC967" s="4"/>
      <c r="OD967" s="6"/>
    </row>
    <row r="968" spans="1:394" x14ac:dyDescent="0.25">
      <c r="A968" s="47"/>
      <c r="B968" s="48"/>
      <c r="C968" s="133"/>
      <c r="D968" s="133"/>
      <c r="E968" s="133"/>
      <c r="F968" s="133"/>
      <c r="G968" s="133"/>
      <c r="H968" s="133"/>
      <c r="I968" s="133"/>
      <c r="J968" s="133"/>
      <c r="K968" s="133"/>
      <c r="L968" s="133"/>
      <c r="NW968" s="6"/>
      <c r="NX968" s="6"/>
      <c r="NY968" s="6"/>
      <c r="NZ968" s="6"/>
      <c r="OA968" s="6"/>
      <c r="OB968" s="46"/>
      <c r="OC968" s="4"/>
      <c r="OD968" s="6"/>
    </row>
    <row r="969" spans="1:394" x14ac:dyDescent="0.25">
      <c r="A969" s="47"/>
      <c r="B969" s="48"/>
      <c r="C969" s="133"/>
      <c r="D969" s="133"/>
      <c r="E969" s="133"/>
      <c r="F969" s="133"/>
      <c r="G969" s="133"/>
      <c r="H969" s="133"/>
      <c r="I969" s="133"/>
      <c r="J969" s="133"/>
      <c r="K969" s="133"/>
      <c r="L969" s="133"/>
      <c r="NW969" s="6"/>
      <c r="NX969" s="6"/>
      <c r="NY969" s="6"/>
      <c r="NZ969" s="6"/>
      <c r="OA969" s="6"/>
      <c r="OB969" s="46"/>
      <c r="OC969" s="4"/>
      <c r="OD969" s="6"/>
    </row>
    <row r="970" spans="1:394" x14ac:dyDescent="0.25">
      <c r="A970" s="47"/>
      <c r="B970" s="48"/>
      <c r="C970" s="133"/>
      <c r="D970" s="133"/>
      <c r="E970" s="133"/>
      <c r="F970" s="133"/>
      <c r="G970" s="133"/>
      <c r="H970" s="133"/>
      <c r="I970" s="133"/>
      <c r="J970" s="133"/>
      <c r="K970" s="133"/>
      <c r="L970" s="133"/>
      <c r="NW970" s="6"/>
      <c r="NX970" s="6"/>
      <c r="NY970" s="6"/>
      <c r="NZ970" s="6"/>
      <c r="OA970" s="6"/>
      <c r="OB970" s="46"/>
      <c r="OC970" s="4"/>
      <c r="OD970" s="6"/>
    </row>
    <row r="971" spans="1:394" x14ac:dyDescent="0.25">
      <c r="A971" s="47"/>
      <c r="B971" s="48"/>
      <c r="C971" s="133"/>
      <c r="D971" s="133"/>
      <c r="E971" s="133"/>
      <c r="F971" s="133"/>
      <c r="G971" s="133"/>
      <c r="H971" s="133"/>
      <c r="I971" s="133"/>
      <c r="J971" s="133"/>
      <c r="K971" s="133"/>
      <c r="L971" s="133"/>
      <c r="NW971" s="6"/>
      <c r="NX971" s="6"/>
      <c r="NY971" s="6"/>
      <c r="NZ971" s="6"/>
      <c r="OA971" s="6"/>
      <c r="OB971" s="46"/>
      <c r="OC971" s="4"/>
      <c r="OD971" s="6"/>
    </row>
    <row r="972" spans="1:394" x14ac:dyDescent="0.25">
      <c r="A972" s="47"/>
      <c r="B972" s="48"/>
      <c r="C972" s="133"/>
      <c r="D972" s="133"/>
      <c r="E972" s="133"/>
      <c r="F972" s="133"/>
      <c r="G972" s="133"/>
      <c r="H972" s="133"/>
      <c r="I972" s="133"/>
      <c r="J972" s="133"/>
      <c r="K972" s="133"/>
      <c r="L972" s="133"/>
      <c r="NW972" s="6"/>
      <c r="NX972" s="6"/>
      <c r="NY972" s="6"/>
      <c r="NZ972" s="6"/>
      <c r="OA972" s="6"/>
      <c r="OB972" s="46"/>
      <c r="OC972" s="4"/>
      <c r="OD972" s="6"/>
    </row>
    <row r="973" spans="1:394" x14ac:dyDescent="0.25">
      <c r="A973" s="47"/>
      <c r="B973" s="48"/>
      <c r="C973" s="133"/>
      <c r="D973" s="133"/>
      <c r="E973" s="133"/>
      <c r="F973" s="133"/>
      <c r="G973" s="133"/>
      <c r="H973" s="133"/>
      <c r="I973" s="133"/>
      <c r="J973" s="133"/>
      <c r="K973" s="133"/>
      <c r="L973" s="133"/>
      <c r="NW973" s="6"/>
      <c r="NX973" s="6"/>
      <c r="NY973" s="6"/>
      <c r="NZ973" s="6"/>
      <c r="OA973" s="6"/>
      <c r="OB973" s="46"/>
      <c r="OC973" s="4"/>
      <c r="OD973" s="6"/>
    </row>
    <row r="974" spans="1:394" x14ac:dyDescent="0.25">
      <c r="A974" s="47"/>
      <c r="B974" s="48"/>
      <c r="C974" s="133"/>
      <c r="D974" s="133"/>
      <c r="E974" s="133"/>
      <c r="F974" s="133"/>
      <c r="G974" s="133"/>
      <c r="H974" s="133"/>
      <c r="I974" s="133"/>
      <c r="J974" s="133"/>
      <c r="K974" s="133"/>
      <c r="L974" s="133"/>
      <c r="NW974" s="6"/>
      <c r="NX974" s="6"/>
      <c r="NY974" s="6"/>
      <c r="NZ974" s="6"/>
      <c r="OA974" s="6"/>
      <c r="OB974" s="46"/>
      <c r="OC974" s="4"/>
      <c r="OD974" s="6"/>
    </row>
    <row r="975" spans="1:394" x14ac:dyDescent="0.25">
      <c r="A975" s="47"/>
      <c r="B975" s="48"/>
      <c r="C975" s="133"/>
      <c r="D975" s="133"/>
      <c r="E975" s="133"/>
      <c r="F975" s="133"/>
      <c r="G975" s="133"/>
      <c r="H975" s="133"/>
      <c r="I975" s="133"/>
      <c r="J975" s="133"/>
      <c r="K975" s="133"/>
      <c r="L975" s="133"/>
      <c r="NW975" s="6"/>
      <c r="NX975" s="6"/>
      <c r="NY975" s="6"/>
      <c r="NZ975" s="6"/>
      <c r="OA975" s="6"/>
      <c r="OB975" s="46"/>
      <c r="OC975" s="4"/>
      <c r="OD975" s="6"/>
    </row>
    <row r="976" spans="1:394" x14ac:dyDescent="0.25">
      <c r="A976" s="47"/>
      <c r="B976" s="48"/>
      <c r="C976" s="133"/>
      <c r="D976" s="133"/>
      <c r="E976" s="133"/>
      <c r="F976" s="133"/>
      <c r="G976" s="133"/>
      <c r="H976" s="133"/>
      <c r="I976" s="133"/>
      <c r="J976" s="133"/>
      <c r="K976" s="133"/>
      <c r="L976" s="133"/>
      <c r="NW976" s="6"/>
      <c r="NX976" s="6"/>
      <c r="NY976" s="6"/>
      <c r="NZ976" s="6"/>
      <c r="OA976" s="6"/>
      <c r="OB976" s="46"/>
      <c r="OC976" s="4"/>
      <c r="OD976" s="6"/>
    </row>
    <row r="977" spans="1:394" x14ac:dyDescent="0.25">
      <c r="A977" s="47"/>
      <c r="B977" s="48"/>
      <c r="C977" s="133"/>
      <c r="D977" s="133"/>
      <c r="E977" s="133"/>
      <c r="F977" s="133"/>
      <c r="G977" s="133"/>
      <c r="H977" s="133"/>
      <c r="I977" s="133"/>
      <c r="J977" s="133"/>
      <c r="K977" s="133"/>
      <c r="L977" s="133"/>
      <c r="NW977" s="6"/>
      <c r="NX977" s="6"/>
      <c r="NY977" s="6"/>
      <c r="NZ977" s="6"/>
      <c r="OA977" s="6"/>
      <c r="OB977" s="46"/>
      <c r="OC977" s="4"/>
      <c r="OD977" s="6"/>
    </row>
    <row r="978" spans="1:394" x14ac:dyDescent="0.25">
      <c r="A978" s="47"/>
      <c r="B978" s="48"/>
      <c r="C978" s="133"/>
      <c r="D978" s="133"/>
      <c r="E978" s="133"/>
      <c r="F978" s="133"/>
      <c r="G978" s="133"/>
      <c r="H978" s="133"/>
      <c r="I978" s="133"/>
      <c r="J978" s="133"/>
      <c r="K978" s="133"/>
      <c r="L978" s="133"/>
      <c r="NW978" s="6"/>
      <c r="NX978" s="6"/>
      <c r="NY978" s="6"/>
      <c r="NZ978" s="6"/>
      <c r="OA978" s="6"/>
      <c r="OB978" s="46"/>
      <c r="OC978" s="4"/>
      <c r="OD978" s="6"/>
    </row>
    <row r="979" spans="1:394" x14ac:dyDescent="0.25">
      <c r="A979" s="47"/>
      <c r="B979" s="48"/>
      <c r="C979" s="133"/>
      <c r="D979" s="133"/>
      <c r="E979" s="133"/>
      <c r="F979" s="133"/>
      <c r="G979" s="133"/>
      <c r="H979" s="133"/>
      <c r="I979" s="133"/>
      <c r="J979" s="133"/>
      <c r="K979" s="133"/>
      <c r="L979" s="133"/>
      <c r="NW979" s="6"/>
      <c r="NX979" s="6"/>
      <c r="NY979" s="6"/>
      <c r="NZ979" s="6"/>
      <c r="OA979" s="6"/>
      <c r="OB979" s="46"/>
      <c r="OC979" s="4"/>
      <c r="OD979" s="6"/>
    </row>
    <row r="980" spans="1:394" x14ac:dyDescent="0.25">
      <c r="A980" s="47"/>
      <c r="B980" s="48"/>
      <c r="C980" s="133"/>
      <c r="D980" s="133"/>
      <c r="E980" s="133"/>
      <c r="F980" s="133"/>
      <c r="G980" s="133"/>
      <c r="H980" s="133"/>
      <c r="I980" s="133"/>
      <c r="J980" s="133"/>
      <c r="K980" s="133"/>
      <c r="L980" s="133"/>
      <c r="NW980" s="6"/>
      <c r="NX980" s="6"/>
      <c r="NY980" s="6"/>
      <c r="NZ980" s="6"/>
      <c r="OA980" s="6"/>
      <c r="OB980" s="46"/>
      <c r="OC980" s="4"/>
      <c r="OD980" s="6"/>
    </row>
    <row r="981" spans="1:394" x14ac:dyDescent="0.25">
      <c r="A981" s="47"/>
      <c r="B981" s="48"/>
      <c r="C981" s="133"/>
      <c r="D981" s="133"/>
      <c r="E981" s="133"/>
      <c r="F981" s="133"/>
      <c r="G981" s="133"/>
      <c r="H981" s="133"/>
      <c r="I981" s="133"/>
      <c r="J981" s="133"/>
      <c r="K981" s="133"/>
      <c r="L981" s="133"/>
      <c r="NW981" s="6"/>
      <c r="NX981" s="6"/>
      <c r="NY981" s="6"/>
      <c r="NZ981" s="6"/>
      <c r="OA981" s="6"/>
      <c r="OB981" s="46"/>
      <c r="OC981" s="4"/>
      <c r="OD981" s="6"/>
    </row>
    <row r="982" spans="1:394" x14ac:dyDescent="0.25">
      <c r="A982" s="47"/>
      <c r="B982" s="48"/>
      <c r="C982" s="133"/>
      <c r="D982" s="133"/>
      <c r="E982" s="133"/>
      <c r="F982" s="133"/>
      <c r="G982" s="133"/>
      <c r="H982" s="133"/>
      <c r="I982" s="133"/>
      <c r="J982" s="133"/>
      <c r="K982" s="133"/>
      <c r="L982" s="133"/>
      <c r="NW982" s="6"/>
      <c r="NX982" s="6"/>
      <c r="NY982" s="6"/>
      <c r="NZ982" s="6"/>
      <c r="OA982" s="6"/>
      <c r="OB982" s="46"/>
      <c r="OC982" s="4"/>
      <c r="OD982" s="6"/>
    </row>
    <row r="983" spans="1:394" x14ac:dyDescent="0.25">
      <c r="A983" s="47"/>
      <c r="B983" s="48"/>
      <c r="C983" s="133"/>
      <c r="D983" s="133"/>
      <c r="E983" s="133"/>
      <c r="F983" s="133"/>
      <c r="G983" s="133"/>
      <c r="H983" s="133"/>
      <c r="I983" s="133"/>
      <c r="J983" s="133"/>
      <c r="K983" s="133"/>
      <c r="L983" s="133"/>
      <c r="NW983" s="6"/>
      <c r="NX983" s="6"/>
      <c r="NY983" s="6"/>
      <c r="NZ983" s="6"/>
      <c r="OA983" s="6"/>
      <c r="OB983" s="46"/>
      <c r="OC983" s="4"/>
      <c r="OD983" s="6"/>
    </row>
    <row r="984" spans="1:394" x14ac:dyDescent="0.25">
      <c r="A984" s="47"/>
      <c r="B984" s="48"/>
      <c r="C984" s="133"/>
      <c r="D984" s="133"/>
      <c r="E984" s="133"/>
      <c r="F984" s="133"/>
      <c r="G984" s="133"/>
      <c r="H984" s="133"/>
      <c r="I984" s="133"/>
      <c r="J984" s="133"/>
      <c r="K984" s="133"/>
      <c r="L984" s="133"/>
      <c r="NW984" s="6"/>
      <c r="NX984" s="6"/>
      <c r="NY984" s="6"/>
      <c r="NZ984" s="6"/>
      <c r="OA984" s="6"/>
      <c r="OB984" s="46"/>
      <c r="OC984" s="4"/>
      <c r="OD984" s="6"/>
    </row>
    <row r="985" spans="1:394" x14ac:dyDescent="0.25">
      <c r="A985" s="47"/>
      <c r="B985" s="48"/>
      <c r="C985" s="133"/>
      <c r="D985" s="133"/>
      <c r="E985" s="133"/>
      <c r="F985" s="133"/>
      <c r="G985" s="133"/>
      <c r="H985" s="133"/>
      <c r="I985" s="133"/>
      <c r="J985" s="133"/>
      <c r="K985" s="133"/>
      <c r="L985" s="133"/>
      <c r="NW985" s="6"/>
      <c r="NX985" s="6"/>
      <c r="NY985" s="6"/>
      <c r="NZ985" s="6"/>
      <c r="OA985" s="6"/>
      <c r="OB985" s="46"/>
      <c r="OC985" s="4"/>
      <c r="OD985" s="6"/>
    </row>
    <row r="986" spans="1:394" x14ac:dyDescent="0.25">
      <c r="A986" s="47"/>
      <c r="B986" s="48"/>
      <c r="C986" s="133"/>
      <c r="D986" s="133"/>
      <c r="E986" s="133"/>
      <c r="F986" s="133"/>
      <c r="G986" s="133"/>
      <c r="H986" s="133"/>
      <c r="I986" s="133"/>
      <c r="J986" s="133"/>
      <c r="K986" s="133"/>
      <c r="L986" s="133"/>
      <c r="NW986" s="6"/>
      <c r="NX986" s="6"/>
      <c r="NY986" s="6"/>
      <c r="NZ986" s="6"/>
      <c r="OA986" s="6"/>
      <c r="OB986" s="46"/>
      <c r="OC986" s="4"/>
      <c r="OD986" s="6"/>
    </row>
    <row r="987" spans="1:394" x14ac:dyDescent="0.25">
      <c r="A987" s="47"/>
      <c r="B987" s="48"/>
      <c r="C987" s="133"/>
      <c r="D987" s="133"/>
      <c r="E987" s="133"/>
      <c r="F987" s="133"/>
      <c r="G987" s="133"/>
      <c r="H987" s="133"/>
      <c r="I987" s="133"/>
      <c r="J987" s="133"/>
      <c r="K987" s="133"/>
      <c r="L987" s="133"/>
      <c r="NW987" s="6"/>
      <c r="NX987" s="6"/>
      <c r="NY987" s="6"/>
      <c r="NZ987" s="6"/>
      <c r="OA987" s="6"/>
      <c r="OB987" s="46"/>
      <c r="OC987" s="4"/>
      <c r="OD987" s="6"/>
    </row>
    <row r="988" spans="1:394" x14ac:dyDescent="0.25">
      <c r="A988" s="47"/>
      <c r="B988" s="48"/>
      <c r="C988" s="133"/>
      <c r="D988" s="133"/>
      <c r="E988" s="133"/>
      <c r="F988" s="133"/>
      <c r="G988" s="133"/>
      <c r="H988" s="133"/>
      <c r="I988" s="133"/>
      <c r="J988" s="133"/>
      <c r="K988" s="133"/>
      <c r="L988" s="133"/>
      <c r="NW988" s="6"/>
      <c r="NX988" s="6"/>
      <c r="NY988" s="6"/>
      <c r="NZ988" s="6"/>
      <c r="OA988" s="6"/>
      <c r="OB988" s="46"/>
      <c r="OC988" s="4"/>
      <c r="OD988" s="6"/>
    </row>
    <row r="989" spans="1:394" x14ac:dyDescent="0.25">
      <c r="A989" s="47"/>
      <c r="B989" s="48"/>
      <c r="C989" s="133"/>
      <c r="D989" s="133"/>
      <c r="E989" s="133"/>
      <c r="F989" s="133"/>
      <c r="G989" s="133"/>
      <c r="H989" s="133"/>
      <c r="I989" s="133"/>
      <c r="J989" s="133"/>
      <c r="K989" s="133"/>
      <c r="L989" s="133"/>
      <c r="NW989" s="6"/>
      <c r="NX989" s="6"/>
      <c r="NY989" s="6"/>
      <c r="NZ989" s="6"/>
      <c r="OA989" s="6"/>
      <c r="OB989" s="46"/>
      <c r="OC989" s="4"/>
      <c r="OD989" s="6"/>
    </row>
    <row r="990" spans="1:394" x14ac:dyDescent="0.25">
      <c r="A990" s="47"/>
      <c r="B990" s="48"/>
      <c r="C990" s="133"/>
      <c r="D990" s="133"/>
      <c r="E990" s="133"/>
      <c r="F990" s="133"/>
      <c r="G990" s="133"/>
      <c r="H990" s="133"/>
      <c r="I990" s="133"/>
      <c r="J990" s="133"/>
      <c r="K990" s="133"/>
      <c r="L990" s="133"/>
      <c r="NW990" s="6"/>
      <c r="NX990" s="6"/>
      <c r="NY990" s="6"/>
      <c r="NZ990" s="6"/>
      <c r="OA990" s="6"/>
      <c r="OB990" s="46"/>
      <c r="OC990" s="4"/>
      <c r="OD990" s="6"/>
    </row>
    <row r="991" spans="1:394" x14ac:dyDescent="0.25">
      <c r="A991" s="47"/>
      <c r="B991" s="48"/>
      <c r="C991" s="133"/>
      <c r="D991" s="133"/>
      <c r="E991" s="133"/>
      <c r="F991" s="133"/>
      <c r="G991" s="133"/>
      <c r="H991" s="133"/>
      <c r="I991" s="133"/>
      <c r="J991" s="133"/>
      <c r="K991" s="133"/>
      <c r="L991" s="133"/>
      <c r="NW991" s="6"/>
      <c r="NX991" s="6"/>
      <c r="NY991" s="6"/>
      <c r="NZ991" s="6"/>
      <c r="OA991" s="6"/>
      <c r="OB991" s="46"/>
      <c r="OC991" s="4"/>
      <c r="OD991" s="6"/>
    </row>
    <row r="992" spans="1:394" x14ac:dyDescent="0.25">
      <c r="A992" s="47"/>
      <c r="B992" s="48"/>
      <c r="C992" s="133"/>
      <c r="D992" s="133"/>
      <c r="E992" s="133"/>
      <c r="F992" s="133"/>
      <c r="G992" s="133"/>
      <c r="H992" s="133"/>
      <c r="I992" s="133"/>
      <c r="J992" s="133"/>
      <c r="K992" s="133"/>
      <c r="L992" s="133"/>
      <c r="NW992" s="6"/>
      <c r="NX992" s="6"/>
      <c r="NY992" s="6"/>
      <c r="NZ992" s="6"/>
      <c r="OA992" s="6"/>
      <c r="OB992" s="46"/>
      <c r="OC992" s="4"/>
      <c r="OD992" s="6"/>
    </row>
    <row r="993" spans="1:394" x14ac:dyDescent="0.25">
      <c r="A993" s="47"/>
      <c r="B993" s="48"/>
      <c r="C993" s="133"/>
      <c r="D993" s="133"/>
      <c r="E993" s="133"/>
      <c r="F993" s="133"/>
      <c r="G993" s="133"/>
      <c r="H993" s="133"/>
      <c r="I993" s="133"/>
      <c r="J993" s="133"/>
      <c r="K993" s="133"/>
      <c r="L993" s="133"/>
      <c r="NW993" s="6"/>
      <c r="NX993" s="6"/>
      <c r="NY993" s="6"/>
      <c r="NZ993" s="6"/>
      <c r="OA993" s="6"/>
      <c r="OB993" s="46"/>
      <c r="OC993" s="4"/>
      <c r="OD993" s="6"/>
    </row>
    <row r="994" spans="1:394" x14ac:dyDescent="0.25">
      <c r="A994" s="47"/>
      <c r="B994" s="48"/>
      <c r="C994" s="133"/>
      <c r="D994" s="133"/>
      <c r="E994" s="133"/>
      <c r="F994" s="133"/>
      <c r="G994" s="133"/>
      <c r="H994" s="133"/>
      <c r="I994" s="133"/>
      <c r="J994" s="133"/>
      <c r="K994" s="133"/>
      <c r="L994" s="133"/>
      <c r="NW994" s="6"/>
      <c r="NX994" s="6"/>
      <c r="NY994" s="6"/>
      <c r="NZ994" s="6"/>
      <c r="OA994" s="6"/>
      <c r="OB994" s="46"/>
      <c r="OC994" s="4"/>
      <c r="OD994" s="6"/>
    </row>
    <row r="995" spans="1:394" x14ac:dyDescent="0.25">
      <c r="A995" s="47"/>
      <c r="B995" s="48"/>
      <c r="C995" s="133"/>
      <c r="D995" s="133"/>
      <c r="E995" s="133"/>
      <c r="F995" s="133"/>
      <c r="G995" s="133"/>
      <c r="H995" s="133"/>
      <c r="I995" s="133"/>
      <c r="J995" s="133"/>
      <c r="K995" s="133"/>
      <c r="L995" s="133"/>
      <c r="NW995" s="6"/>
      <c r="NX995" s="6"/>
      <c r="NY995" s="6"/>
      <c r="NZ995" s="6"/>
      <c r="OA995" s="6"/>
      <c r="OB995" s="46"/>
      <c r="OC995" s="4"/>
      <c r="OD995" s="6"/>
    </row>
    <row r="996" spans="1:394" x14ac:dyDescent="0.25">
      <c r="A996" s="47"/>
      <c r="B996" s="48"/>
      <c r="C996" s="133"/>
      <c r="D996" s="133"/>
      <c r="E996" s="133"/>
      <c r="F996" s="133"/>
      <c r="G996" s="133"/>
      <c r="H996" s="133"/>
      <c r="I996" s="133"/>
      <c r="J996" s="133"/>
      <c r="K996" s="133"/>
      <c r="L996" s="133"/>
      <c r="NW996" s="6"/>
      <c r="NX996" s="6"/>
      <c r="NY996" s="6"/>
      <c r="NZ996" s="6"/>
      <c r="OA996" s="6"/>
      <c r="OB996" s="46"/>
      <c r="OC996" s="4"/>
      <c r="OD996" s="6"/>
    </row>
    <row r="997" spans="1:394" x14ac:dyDescent="0.25">
      <c r="A997" s="47"/>
      <c r="B997" s="48"/>
      <c r="C997" s="133"/>
      <c r="D997" s="133"/>
      <c r="E997" s="133"/>
      <c r="F997" s="133"/>
      <c r="G997" s="133"/>
      <c r="H997" s="133"/>
      <c r="I997" s="133"/>
      <c r="J997" s="133"/>
      <c r="K997" s="133"/>
      <c r="L997" s="133"/>
      <c r="NW997" s="6"/>
      <c r="NX997" s="6"/>
      <c r="NY997" s="6"/>
      <c r="NZ997" s="6"/>
      <c r="OA997" s="6"/>
      <c r="OB997" s="46"/>
      <c r="OC997" s="4"/>
      <c r="OD997" s="6"/>
    </row>
    <row r="998" spans="1:394" x14ac:dyDescent="0.25">
      <c r="A998" s="47"/>
      <c r="B998" s="48"/>
      <c r="C998" s="133"/>
      <c r="D998" s="133"/>
      <c r="E998" s="133"/>
      <c r="F998" s="133"/>
      <c r="G998" s="133"/>
      <c r="H998" s="133"/>
      <c r="I998" s="133"/>
      <c r="J998" s="133"/>
      <c r="K998" s="133"/>
      <c r="L998" s="133"/>
      <c r="NW998" s="6"/>
      <c r="NX998" s="6"/>
      <c r="NY998" s="6"/>
      <c r="NZ998" s="6"/>
      <c r="OA998" s="6"/>
      <c r="OB998" s="46"/>
      <c r="OC998" s="4"/>
      <c r="OD998" s="6"/>
    </row>
    <row r="999" spans="1:394" x14ac:dyDescent="0.25">
      <c r="A999" s="47"/>
      <c r="B999" s="48"/>
      <c r="C999" s="133"/>
      <c r="D999" s="133"/>
      <c r="E999" s="133"/>
      <c r="F999" s="133"/>
      <c r="G999" s="133"/>
      <c r="H999" s="133"/>
      <c r="I999" s="133"/>
      <c r="J999" s="133"/>
      <c r="K999" s="133"/>
      <c r="L999" s="133"/>
      <c r="NW999" s="6"/>
      <c r="NX999" s="6"/>
      <c r="NY999" s="6"/>
      <c r="NZ999" s="6"/>
      <c r="OA999" s="6"/>
      <c r="OB999" s="46"/>
      <c r="OC999" s="4"/>
      <c r="OD999" s="6"/>
    </row>
    <row r="1000" spans="1:394" x14ac:dyDescent="0.25">
      <c r="A1000" s="47"/>
      <c r="B1000" s="48"/>
      <c r="C1000" s="133"/>
      <c r="D1000" s="133"/>
      <c r="E1000" s="133"/>
      <c r="F1000" s="133"/>
      <c r="G1000" s="133"/>
      <c r="H1000" s="133"/>
      <c r="I1000" s="133"/>
      <c r="J1000" s="133"/>
      <c r="K1000" s="133"/>
      <c r="L1000" s="133"/>
      <c r="NW1000" s="6"/>
      <c r="NX1000" s="6"/>
      <c r="NY1000" s="6"/>
      <c r="NZ1000" s="6"/>
      <c r="OA1000" s="6"/>
      <c r="OB1000" s="46"/>
      <c r="OC1000" s="4"/>
      <c r="OD1000" s="6"/>
    </row>
    <row r="1001" spans="1:394" x14ac:dyDescent="0.25">
      <c r="A1001" s="47"/>
      <c r="B1001" s="48"/>
      <c r="C1001" s="133"/>
      <c r="D1001" s="133"/>
      <c r="E1001" s="133"/>
      <c r="F1001" s="133"/>
      <c r="G1001" s="133"/>
      <c r="H1001" s="133"/>
      <c r="I1001" s="133"/>
      <c r="J1001" s="133"/>
      <c r="K1001" s="133"/>
      <c r="L1001" s="133"/>
      <c r="NW1001" s="6"/>
      <c r="NX1001" s="6"/>
      <c r="NY1001" s="6"/>
      <c r="NZ1001" s="6"/>
      <c r="OA1001" s="6"/>
      <c r="OB1001" s="46"/>
      <c r="OC1001" s="4"/>
      <c r="OD1001" s="6"/>
    </row>
    <row r="1002" spans="1:394" x14ac:dyDescent="0.25">
      <c r="A1002" s="47"/>
      <c r="B1002" s="48"/>
      <c r="C1002" s="133"/>
      <c r="D1002" s="133"/>
      <c r="E1002" s="133"/>
      <c r="F1002" s="133"/>
      <c r="G1002" s="133"/>
      <c r="H1002" s="133"/>
      <c r="I1002" s="133"/>
      <c r="J1002" s="133"/>
      <c r="K1002" s="133"/>
      <c r="L1002" s="133"/>
      <c r="NW1002" s="6"/>
      <c r="NX1002" s="6"/>
      <c r="NY1002" s="6"/>
      <c r="NZ1002" s="6"/>
      <c r="OA1002" s="6"/>
      <c r="OB1002" s="46"/>
      <c r="OC1002" s="4"/>
      <c r="OD1002" s="6"/>
    </row>
    <row r="1003" spans="1:394" x14ac:dyDescent="0.25">
      <c r="A1003" s="47"/>
      <c r="B1003" s="48"/>
      <c r="C1003" s="133"/>
      <c r="D1003" s="133"/>
      <c r="E1003" s="133"/>
      <c r="F1003" s="133"/>
      <c r="G1003" s="133"/>
      <c r="H1003" s="133"/>
      <c r="I1003" s="133"/>
      <c r="J1003" s="133"/>
      <c r="K1003" s="133"/>
      <c r="L1003" s="133"/>
      <c r="NW1003" s="6"/>
      <c r="NX1003" s="6"/>
      <c r="NY1003" s="6"/>
      <c r="NZ1003" s="6"/>
      <c r="OA1003" s="6"/>
      <c r="OB1003" s="46"/>
      <c r="OC1003" s="4"/>
      <c r="OD1003" s="6"/>
    </row>
    <row r="1004" spans="1:394" x14ac:dyDescent="0.25">
      <c r="A1004" s="47"/>
      <c r="B1004" s="48"/>
      <c r="C1004" s="133"/>
      <c r="D1004" s="133"/>
      <c r="E1004" s="133"/>
      <c r="F1004" s="133"/>
      <c r="G1004" s="133"/>
      <c r="H1004" s="133"/>
      <c r="I1004" s="133"/>
      <c r="J1004" s="133"/>
      <c r="K1004" s="133"/>
      <c r="L1004" s="133"/>
      <c r="NW1004" s="6"/>
      <c r="NX1004" s="6"/>
      <c r="NY1004" s="6"/>
      <c r="NZ1004" s="6"/>
      <c r="OA1004" s="6"/>
      <c r="OB1004" s="46"/>
      <c r="OC1004" s="4"/>
      <c r="OD1004" s="6"/>
    </row>
    <row r="1005" spans="1:394" x14ac:dyDescent="0.25">
      <c r="A1005" s="47"/>
      <c r="B1005" s="48"/>
      <c r="C1005" s="133"/>
      <c r="D1005" s="133"/>
      <c r="E1005" s="133"/>
      <c r="F1005" s="133"/>
      <c r="G1005" s="133"/>
      <c r="H1005" s="133"/>
      <c r="I1005" s="133"/>
      <c r="J1005" s="133"/>
      <c r="K1005" s="133"/>
      <c r="L1005" s="133"/>
      <c r="NW1005" s="6"/>
      <c r="NX1005" s="6"/>
      <c r="NY1005" s="6"/>
      <c r="NZ1005" s="6"/>
      <c r="OA1005" s="6"/>
      <c r="OB1005" s="46"/>
      <c r="OC1005" s="4"/>
      <c r="OD1005" s="6"/>
    </row>
    <row r="1006" spans="1:394" x14ac:dyDescent="0.25">
      <c r="A1006" s="47"/>
      <c r="B1006" s="48"/>
      <c r="C1006" s="133"/>
      <c r="D1006" s="133"/>
      <c r="E1006" s="133"/>
      <c r="F1006" s="133"/>
      <c r="G1006" s="133"/>
      <c r="H1006" s="133"/>
      <c r="I1006" s="133"/>
      <c r="J1006" s="133"/>
      <c r="K1006" s="133"/>
      <c r="L1006" s="133"/>
      <c r="NW1006" s="6"/>
      <c r="NX1006" s="6"/>
      <c r="NY1006" s="6"/>
      <c r="NZ1006" s="6"/>
      <c r="OA1006" s="6"/>
      <c r="OB1006" s="46"/>
      <c r="OC1006" s="4"/>
      <c r="OD1006" s="6"/>
    </row>
    <row r="1007" spans="1:394" x14ac:dyDescent="0.25">
      <c r="A1007" s="47"/>
      <c r="B1007" s="48"/>
      <c r="C1007" s="133"/>
      <c r="D1007" s="133"/>
      <c r="E1007" s="133"/>
      <c r="F1007" s="133"/>
      <c r="G1007" s="133"/>
      <c r="H1007" s="133"/>
      <c r="I1007" s="133"/>
      <c r="J1007" s="133"/>
      <c r="K1007" s="133"/>
      <c r="L1007" s="133"/>
      <c r="NW1007" s="6"/>
      <c r="NX1007" s="6"/>
      <c r="NY1007" s="6"/>
      <c r="NZ1007" s="6"/>
      <c r="OA1007" s="6"/>
      <c r="OB1007" s="46"/>
      <c r="OC1007" s="4"/>
      <c r="OD1007" s="6"/>
    </row>
    <row r="1008" spans="1:394" x14ac:dyDescent="0.25">
      <c r="A1008" s="47"/>
      <c r="B1008" s="48"/>
      <c r="C1008" s="133"/>
      <c r="D1008" s="133"/>
      <c r="E1008" s="133"/>
      <c r="F1008" s="133"/>
      <c r="G1008" s="133"/>
      <c r="H1008" s="133"/>
      <c r="I1008" s="133"/>
      <c r="J1008" s="133"/>
      <c r="K1008" s="133"/>
      <c r="L1008" s="133"/>
      <c r="NW1008" s="6"/>
      <c r="NX1008" s="6"/>
      <c r="NY1008" s="6"/>
      <c r="NZ1008" s="6"/>
      <c r="OA1008" s="6"/>
      <c r="OB1008" s="46"/>
      <c r="OC1008" s="4"/>
      <c r="OD1008" s="6"/>
    </row>
    <row r="1009" spans="1:394" x14ac:dyDescent="0.25">
      <c r="A1009" s="47"/>
      <c r="B1009" s="48"/>
      <c r="C1009" s="133"/>
      <c r="D1009" s="133"/>
      <c r="E1009" s="133"/>
      <c r="F1009" s="133"/>
      <c r="G1009" s="133"/>
      <c r="H1009" s="133"/>
      <c r="I1009" s="133"/>
      <c r="J1009" s="133"/>
      <c r="K1009" s="133"/>
      <c r="L1009" s="133"/>
      <c r="NW1009" s="6"/>
      <c r="NX1009" s="6"/>
      <c r="NY1009" s="6"/>
      <c r="NZ1009" s="6"/>
      <c r="OA1009" s="6"/>
      <c r="OB1009" s="46"/>
      <c r="OC1009" s="4"/>
      <c r="OD1009" s="6"/>
    </row>
    <row r="1010" spans="1:394" x14ac:dyDescent="0.25">
      <c r="A1010" s="47"/>
      <c r="B1010" s="48"/>
      <c r="C1010" s="133"/>
      <c r="D1010" s="133"/>
      <c r="E1010" s="133"/>
      <c r="F1010" s="133"/>
      <c r="G1010" s="133"/>
      <c r="H1010" s="133"/>
      <c r="I1010" s="133"/>
      <c r="J1010" s="133"/>
      <c r="K1010" s="133"/>
      <c r="L1010" s="133"/>
      <c r="NW1010" s="6"/>
      <c r="NX1010" s="6"/>
      <c r="NY1010" s="6"/>
      <c r="NZ1010" s="6"/>
      <c r="OA1010" s="6"/>
      <c r="OB1010" s="46"/>
      <c r="OC1010" s="4"/>
      <c r="OD1010" s="6"/>
    </row>
    <row r="1011" spans="1:394" x14ac:dyDescent="0.25">
      <c r="A1011" s="47"/>
      <c r="B1011" s="48"/>
      <c r="C1011" s="133"/>
      <c r="D1011" s="133"/>
      <c r="E1011" s="133"/>
      <c r="F1011" s="133"/>
      <c r="G1011" s="133"/>
      <c r="H1011" s="133"/>
      <c r="I1011" s="133"/>
      <c r="J1011" s="133"/>
      <c r="K1011" s="133"/>
      <c r="L1011" s="133"/>
      <c r="NW1011" s="6"/>
      <c r="NX1011" s="6"/>
      <c r="NY1011" s="6"/>
      <c r="NZ1011" s="6"/>
      <c r="OA1011" s="6"/>
      <c r="OB1011" s="46"/>
      <c r="OC1011" s="4"/>
      <c r="OD1011" s="6"/>
    </row>
    <row r="1012" spans="1:394" x14ac:dyDescent="0.25">
      <c r="A1012" s="47"/>
      <c r="B1012" s="48"/>
      <c r="C1012" s="133"/>
      <c r="D1012" s="133"/>
      <c r="E1012" s="133"/>
      <c r="F1012" s="133"/>
      <c r="G1012" s="133"/>
      <c r="H1012" s="133"/>
      <c r="I1012" s="133"/>
      <c r="J1012" s="133"/>
      <c r="K1012" s="133"/>
      <c r="L1012" s="133"/>
      <c r="NW1012" s="6"/>
      <c r="NX1012" s="6"/>
      <c r="NY1012" s="6"/>
      <c r="NZ1012" s="6"/>
      <c r="OA1012" s="6"/>
      <c r="OB1012" s="46"/>
      <c r="OC1012" s="4"/>
      <c r="OD1012" s="6"/>
    </row>
    <row r="1013" spans="1:394" x14ac:dyDescent="0.25">
      <c r="A1013" s="47"/>
      <c r="B1013" s="48"/>
      <c r="C1013" s="133"/>
      <c r="D1013" s="133"/>
      <c r="E1013" s="133"/>
      <c r="F1013" s="133"/>
      <c r="G1013" s="133"/>
      <c r="H1013" s="133"/>
      <c r="I1013" s="133"/>
      <c r="J1013" s="133"/>
      <c r="K1013" s="133"/>
      <c r="L1013" s="133"/>
      <c r="NW1013" s="6"/>
      <c r="NX1013" s="6"/>
      <c r="NY1013" s="6"/>
      <c r="NZ1013" s="6"/>
      <c r="OA1013" s="6"/>
      <c r="OB1013" s="46"/>
      <c r="OC1013" s="4"/>
      <c r="OD1013" s="6"/>
    </row>
    <row r="1014" spans="1:394" x14ac:dyDescent="0.25">
      <c r="A1014" s="47"/>
      <c r="B1014" s="48"/>
      <c r="C1014" s="133"/>
      <c r="D1014" s="133"/>
      <c r="E1014" s="133"/>
      <c r="F1014" s="133"/>
      <c r="G1014" s="133"/>
      <c r="H1014" s="133"/>
      <c r="I1014" s="133"/>
      <c r="J1014" s="133"/>
      <c r="K1014" s="133"/>
      <c r="L1014" s="133"/>
      <c r="NW1014" s="6"/>
      <c r="NX1014" s="6"/>
      <c r="NY1014" s="6"/>
      <c r="NZ1014" s="6"/>
      <c r="OA1014" s="6"/>
      <c r="OB1014" s="46"/>
      <c r="OC1014" s="4"/>
      <c r="OD1014" s="6"/>
    </row>
    <row r="1015" spans="1:394" x14ac:dyDescent="0.25">
      <c r="A1015" s="47"/>
      <c r="B1015" s="48"/>
      <c r="C1015" s="133"/>
      <c r="D1015" s="133"/>
      <c r="E1015" s="133"/>
      <c r="F1015" s="133"/>
      <c r="G1015" s="133"/>
      <c r="H1015" s="133"/>
      <c r="I1015" s="133"/>
      <c r="J1015" s="133"/>
      <c r="K1015" s="133"/>
      <c r="L1015" s="133"/>
      <c r="NW1015" s="6"/>
      <c r="NX1015" s="6"/>
      <c r="NY1015" s="6"/>
      <c r="NZ1015" s="6"/>
      <c r="OA1015" s="6"/>
      <c r="OB1015" s="46"/>
      <c r="OC1015" s="4"/>
      <c r="OD1015" s="6"/>
    </row>
    <row r="1016" spans="1:394" x14ac:dyDescent="0.25">
      <c r="A1016" s="47"/>
      <c r="B1016" s="48"/>
      <c r="C1016" s="133"/>
      <c r="D1016" s="133"/>
      <c r="E1016" s="133"/>
      <c r="F1016" s="133"/>
      <c r="G1016" s="133"/>
      <c r="H1016" s="133"/>
      <c r="I1016" s="133"/>
      <c r="J1016" s="133"/>
      <c r="K1016" s="133"/>
      <c r="L1016" s="133"/>
      <c r="NW1016" s="6"/>
      <c r="NX1016" s="6"/>
      <c r="NY1016" s="6"/>
      <c r="NZ1016" s="6"/>
      <c r="OA1016" s="6"/>
      <c r="OB1016" s="46"/>
      <c r="OC1016" s="4"/>
      <c r="OD1016" s="6"/>
    </row>
    <row r="1017" spans="1:394" x14ac:dyDescent="0.25">
      <c r="A1017" s="47"/>
      <c r="B1017" s="48"/>
      <c r="C1017" s="133"/>
      <c r="D1017" s="133"/>
      <c r="E1017" s="133"/>
      <c r="F1017" s="133"/>
      <c r="G1017" s="133"/>
      <c r="H1017" s="133"/>
      <c r="I1017" s="133"/>
      <c r="J1017" s="133"/>
      <c r="K1017" s="133"/>
      <c r="L1017" s="133"/>
      <c r="NW1017" s="6"/>
      <c r="NX1017" s="6"/>
      <c r="NY1017" s="6"/>
      <c r="NZ1017" s="6"/>
      <c r="OA1017" s="6"/>
      <c r="OB1017" s="46"/>
      <c r="OC1017" s="4"/>
      <c r="OD1017" s="6"/>
    </row>
    <row r="1018" spans="1:394" x14ac:dyDescent="0.25">
      <c r="A1018" s="47"/>
      <c r="B1018" s="48"/>
      <c r="C1018" s="133"/>
      <c r="D1018" s="133"/>
      <c r="E1018" s="133"/>
      <c r="F1018" s="133"/>
      <c r="G1018" s="133"/>
      <c r="H1018" s="133"/>
      <c r="I1018" s="133"/>
      <c r="J1018" s="133"/>
      <c r="K1018" s="133"/>
      <c r="L1018" s="133"/>
      <c r="NW1018" s="6"/>
      <c r="NX1018" s="6"/>
      <c r="NY1018" s="6"/>
      <c r="NZ1018" s="6"/>
      <c r="OA1018" s="6"/>
      <c r="OB1018" s="46"/>
      <c r="OC1018" s="4"/>
      <c r="OD1018" s="6"/>
    </row>
    <row r="1019" spans="1:394" x14ac:dyDescent="0.25">
      <c r="A1019" s="47"/>
      <c r="B1019" s="48"/>
      <c r="C1019" s="133"/>
      <c r="D1019" s="133"/>
      <c r="E1019" s="133"/>
      <c r="F1019" s="133"/>
      <c r="G1019" s="133"/>
      <c r="H1019" s="133"/>
      <c r="I1019" s="133"/>
      <c r="J1019" s="133"/>
      <c r="K1019" s="133"/>
      <c r="L1019" s="133"/>
      <c r="NW1019" s="6"/>
      <c r="NX1019" s="6"/>
      <c r="NY1019" s="6"/>
      <c r="NZ1019" s="6"/>
      <c r="OA1019" s="6"/>
      <c r="OB1019" s="46"/>
      <c r="OC1019" s="4"/>
      <c r="OD1019" s="6"/>
    </row>
    <row r="1020" spans="1:394" x14ac:dyDescent="0.25">
      <c r="A1020" s="47"/>
      <c r="B1020" s="48"/>
      <c r="C1020" s="133"/>
      <c r="D1020" s="133"/>
      <c r="E1020" s="133"/>
      <c r="F1020" s="133"/>
      <c r="G1020" s="133"/>
      <c r="H1020" s="133"/>
      <c r="I1020" s="133"/>
      <c r="J1020" s="133"/>
      <c r="K1020" s="133"/>
      <c r="L1020" s="133"/>
      <c r="NW1020" s="6"/>
      <c r="NX1020" s="6"/>
      <c r="NY1020" s="6"/>
      <c r="NZ1020" s="6"/>
      <c r="OA1020" s="6"/>
      <c r="OB1020" s="46"/>
      <c r="OC1020" s="4"/>
      <c r="OD1020" s="6"/>
    </row>
    <row r="1021" spans="1:394" x14ac:dyDescent="0.25">
      <c r="A1021" s="47"/>
      <c r="B1021" s="48"/>
      <c r="C1021" s="133"/>
      <c r="D1021" s="133"/>
      <c r="E1021" s="133"/>
      <c r="F1021" s="133"/>
      <c r="G1021" s="133"/>
      <c r="H1021" s="133"/>
      <c r="I1021" s="133"/>
      <c r="J1021" s="133"/>
      <c r="K1021" s="133"/>
      <c r="L1021" s="133"/>
      <c r="NW1021" s="6"/>
      <c r="NX1021" s="6"/>
      <c r="NY1021" s="6"/>
      <c r="NZ1021" s="6"/>
      <c r="OA1021" s="6"/>
      <c r="OB1021" s="46"/>
      <c r="OC1021" s="4"/>
      <c r="OD1021" s="6"/>
    </row>
    <row r="1022" spans="1:394" x14ac:dyDescent="0.25">
      <c r="A1022" s="47"/>
      <c r="B1022" s="48"/>
      <c r="C1022" s="133"/>
      <c r="D1022" s="133"/>
      <c r="E1022" s="133"/>
      <c r="F1022" s="133"/>
      <c r="G1022" s="133"/>
      <c r="H1022" s="133"/>
      <c r="I1022" s="133"/>
      <c r="J1022" s="133"/>
      <c r="K1022" s="133"/>
      <c r="L1022" s="133"/>
      <c r="NW1022" s="6"/>
      <c r="NX1022" s="6"/>
      <c r="NY1022" s="6"/>
      <c r="NZ1022" s="6"/>
      <c r="OA1022" s="6"/>
      <c r="OB1022" s="46"/>
      <c r="OC1022" s="4"/>
      <c r="OD1022" s="6"/>
    </row>
    <row r="1023" spans="1:394" x14ac:dyDescent="0.25">
      <c r="A1023" s="47"/>
      <c r="B1023" s="48"/>
      <c r="C1023" s="133"/>
      <c r="D1023" s="133"/>
      <c r="E1023" s="133"/>
      <c r="F1023" s="133"/>
      <c r="G1023" s="133"/>
      <c r="H1023" s="133"/>
      <c r="I1023" s="133"/>
      <c r="J1023" s="133"/>
      <c r="K1023" s="133"/>
      <c r="L1023" s="133"/>
      <c r="NW1023" s="6"/>
      <c r="NX1023" s="6"/>
      <c r="NY1023" s="6"/>
      <c r="NZ1023" s="6"/>
      <c r="OA1023" s="6"/>
      <c r="OB1023" s="46"/>
      <c r="OC1023" s="4"/>
      <c r="OD1023" s="6"/>
    </row>
    <row r="1024" spans="1:394" x14ac:dyDescent="0.25">
      <c r="A1024" s="47"/>
      <c r="B1024" s="48"/>
      <c r="C1024" s="133"/>
      <c r="D1024" s="133"/>
      <c r="E1024" s="133"/>
      <c r="F1024" s="133"/>
      <c r="G1024" s="133"/>
      <c r="H1024" s="133"/>
      <c r="I1024" s="133"/>
      <c r="J1024" s="133"/>
      <c r="K1024" s="133"/>
      <c r="L1024" s="133"/>
      <c r="NW1024" s="6"/>
      <c r="NX1024" s="6"/>
      <c r="NY1024" s="6"/>
      <c r="NZ1024" s="6"/>
      <c r="OA1024" s="6"/>
      <c r="OB1024" s="46"/>
      <c r="OC1024" s="4"/>
      <c r="OD1024" s="6"/>
    </row>
    <row r="1025" spans="1:394" x14ac:dyDescent="0.25">
      <c r="A1025" s="47"/>
      <c r="B1025" s="48"/>
      <c r="C1025" s="133"/>
      <c r="D1025" s="133"/>
      <c r="E1025" s="133"/>
      <c r="F1025" s="133"/>
      <c r="G1025" s="133"/>
      <c r="H1025" s="133"/>
      <c r="I1025" s="133"/>
      <c r="J1025" s="133"/>
      <c r="K1025" s="133"/>
      <c r="L1025" s="133"/>
      <c r="NW1025" s="6"/>
      <c r="NX1025" s="6"/>
      <c r="NY1025" s="6"/>
      <c r="NZ1025" s="6"/>
      <c r="OA1025" s="6"/>
      <c r="OB1025" s="46"/>
      <c r="OC1025" s="4"/>
      <c r="OD1025" s="6"/>
    </row>
    <row r="1026" spans="1:394" x14ac:dyDescent="0.25">
      <c r="A1026" s="47"/>
      <c r="B1026" s="48"/>
      <c r="C1026" s="133"/>
      <c r="D1026" s="133"/>
      <c r="E1026" s="133"/>
      <c r="F1026" s="133"/>
      <c r="G1026" s="133"/>
      <c r="H1026" s="133"/>
      <c r="I1026" s="133"/>
      <c r="J1026" s="133"/>
      <c r="K1026" s="133"/>
      <c r="L1026" s="133"/>
      <c r="NW1026" s="6"/>
      <c r="NX1026" s="6"/>
      <c r="NY1026" s="6"/>
      <c r="NZ1026" s="6"/>
      <c r="OA1026" s="6"/>
      <c r="OB1026" s="46"/>
      <c r="OC1026" s="4"/>
      <c r="OD1026" s="6"/>
    </row>
    <row r="1027" spans="1:394" x14ac:dyDescent="0.25">
      <c r="A1027" s="47"/>
      <c r="B1027" s="48"/>
      <c r="C1027" s="133"/>
      <c r="D1027" s="133"/>
      <c r="E1027" s="133"/>
      <c r="F1027" s="133"/>
      <c r="G1027" s="133"/>
      <c r="H1027" s="133"/>
      <c r="I1027" s="133"/>
      <c r="J1027" s="133"/>
      <c r="K1027" s="133"/>
      <c r="L1027" s="133"/>
      <c r="NW1027" s="6"/>
      <c r="NX1027" s="6"/>
      <c r="NY1027" s="6"/>
      <c r="NZ1027" s="6"/>
      <c r="OA1027" s="6"/>
      <c r="OB1027" s="46"/>
      <c r="OC1027" s="4"/>
      <c r="OD1027" s="6"/>
    </row>
    <row r="1028" spans="1:394" x14ac:dyDescent="0.25">
      <c r="A1028" s="47"/>
      <c r="B1028" s="48"/>
      <c r="C1028" s="133"/>
      <c r="D1028" s="133"/>
      <c r="E1028" s="133"/>
      <c r="F1028" s="133"/>
      <c r="G1028" s="133"/>
      <c r="H1028" s="133"/>
      <c r="I1028" s="133"/>
      <c r="J1028" s="133"/>
      <c r="K1028" s="133"/>
      <c r="L1028" s="133"/>
      <c r="NW1028" s="6"/>
      <c r="NX1028" s="6"/>
      <c r="NY1028" s="6"/>
      <c r="NZ1028" s="6"/>
      <c r="OA1028" s="6"/>
      <c r="OB1028" s="46"/>
      <c r="OC1028" s="4"/>
      <c r="OD1028" s="6"/>
    </row>
    <row r="1029" spans="1:394" x14ac:dyDescent="0.25">
      <c r="A1029" s="47"/>
      <c r="B1029" s="48"/>
      <c r="C1029" s="133"/>
      <c r="D1029" s="133"/>
      <c r="E1029" s="133"/>
      <c r="F1029" s="133"/>
      <c r="G1029" s="133"/>
      <c r="H1029" s="133"/>
      <c r="I1029" s="133"/>
      <c r="J1029" s="133"/>
      <c r="K1029" s="133"/>
      <c r="L1029" s="133"/>
      <c r="NW1029" s="6"/>
      <c r="NX1029" s="6"/>
      <c r="NY1029" s="6"/>
      <c r="NZ1029" s="6"/>
      <c r="OA1029" s="6"/>
      <c r="OB1029" s="46"/>
      <c r="OC1029" s="4"/>
      <c r="OD1029" s="6"/>
    </row>
    <row r="1030" spans="1:394" x14ac:dyDescent="0.25">
      <c r="A1030" s="47"/>
      <c r="B1030" s="48"/>
      <c r="C1030" s="133"/>
      <c r="D1030" s="133"/>
      <c r="E1030" s="133"/>
      <c r="F1030" s="133"/>
      <c r="G1030" s="133"/>
      <c r="H1030" s="133"/>
      <c r="I1030" s="133"/>
      <c r="J1030" s="133"/>
      <c r="K1030" s="133"/>
      <c r="L1030" s="133"/>
      <c r="NW1030" s="6"/>
      <c r="NX1030" s="6"/>
      <c r="NY1030" s="6"/>
      <c r="NZ1030" s="6"/>
      <c r="OA1030" s="6"/>
      <c r="OB1030" s="46"/>
      <c r="OC1030" s="4"/>
      <c r="OD1030" s="6"/>
    </row>
    <row r="1031" spans="1:394" x14ac:dyDescent="0.25">
      <c r="A1031" s="47"/>
      <c r="B1031" s="48"/>
      <c r="C1031" s="133"/>
      <c r="D1031" s="133"/>
      <c r="E1031" s="133"/>
      <c r="F1031" s="133"/>
      <c r="G1031" s="133"/>
      <c r="H1031" s="133"/>
      <c r="I1031" s="133"/>
      <c r="J1031" s="133"/>
      <c r="K1031" s="133"/>
      <c r="L1031" s="133"/>
      <c r="NW1031" s="6"/>
      <c r="NX1031" s="6"/>
      <c r="NY1031" s="6"/>
      <c r="NZ1031" s="6"/>
      <c r="OA1031" s="6"/>
      <c r="OB1031" s="46"/>
      <c r="OC1031" s="4"/>
      <c r="OD1031" s="6"/>
    </row>
    <row r="1032" spans="1:394" x14ac:dyDescent="0.25">
      <c r="A1032" s="47"/>
      <c r="B1032" s="48"/>
      <c r="C1032" s="133"/>
      <c r="D1032" s="133"/>
      <c r="E1032" s="133"/>
      <c r="F1032" s="133"/>
      <c r="G1032" s="133"/>
      <c r="H1032" s="133"/>
      <c r="I1032" s="133"/>
      <c r="J1032" s="133"/>
      <c r="K1032" s="133"/>
      <c r="L1032" s="133"/>
      <c r="NW1032" s="6"/>
      <c r="NX1032" s="6"/>
      <c r="NY1032" s="6"/>
      <c r="NZ1032" s="6"/>
      <c r="OA1032" s="6"/>
      <c r="OB1032" s="46"/>
      <c r="OC1032" s="4"/>
      <c r="OD1032" s="6"/>
    </row>
    <row r="1033" spans="1:394" x14ac:dyDescent="0.25">
      <c r="A1033" s="47"/>
      <c r="B1033" s="48"/>
      <c r="C1033" s="133"/>
      <c r="D1033" s="133"/>
      <c r="E1033" s="133"/>
      <c r="F1033" s="133"/>
      <c r="G1033" s="133"/>
      <c r="H1033" s="133"/>
      <c r="I1033" s="133"/>
      <c r="J1033" s="133"/>
      <c r="K1033" s="133"/>
      <c r="L1033" s="133"/>
      <c r="NW1033" s="6"/>
      <c r="NX1033" s="6"/>
      <c r="NY1033" s="6"/>
      <c r="NZ1033" s="6"/>
      <c r="OA1033" s="6"/>
      <c r="OB1033" s="46"/>
      <c r="OC1033" s="4"/>
      <c r="OD1033" s="6"/>
    </row>
    <row r="1034" spans="1:394" x14ac:dyDescent="0.25">
      <c r="A1034" s="47"/>
      <c r="B1034" s="48"/>
      <c r="C1034" s="133"/>
      <c r="D1034" s="133"/>
      <c r="E1034" s="133"/>
      <c r="F1034" s="133"/>
      <c r="G1034" s="133"/>
      <c r="H1034" s="133"/>
      <c r="I1034" s="133"/>
      <c r="J1034" s="133"/>
      <c r="K1034" s="133"/>
      <c r="L1034" s="133"/>
      <c r="NW1034" s="6"/>
      <c r="NX1034" s="6"/>
      <c r="NY1034" s="6"/>
      <c r="NZ1034" s="6"/>
      <c r="OA1034" s="6"/>
      <c r="OB1034" s="46"/>
      <c r="OC1034" s="4"/>
      <c r="OD1034" s="6"/>
    </row>
    <row r="1035" spans="1:394" x14ac:dyDescent="0.25">
      <c r="A1035" s="47"/>
      <c r="B1035" s="48"/>
      <c r="C1035" s="133"/>
      <c r="D1035" s="133"/>
      <c r="E1035" s="133"/>
      <c r="F1035" s="133"/>
      <c r="G1035" s="133"/>
      <c r="H1035" s="133"/>
      <c r="I1035" s="133"/>
      <c r="J1035" s="133"/>
      <c r="K1035" s="133"/>
      <c r="L1035" s="133"/>
      <c r="NW1035" s="6"/>
      <c r="NX1035" s="6"/>
      <c r="NY1035" s="6"/>
      <c r="NZ1035" s="6"/>
      <c r="OA1035" s="6"/>
      <c r="OB1035" s="46"/>
      <c r="OC1035" s="4"/>
      <c r="OD1035" s="6"/>
    </row>
    <row r="1036" spans="1:394" x14ac:dyDescent="0.25">
      <c r="A1036" s="47"/>
      <c r="B1036" s="48"/>
      <c r="C1036" s="133"/>
      <c r="D1036" s="133"/>
      <c r="E1036" s="133"/>
      <c r="F1036" s="133"/>
      <c r="G1036" s="133"/>
      <c r="H1036" s="133"/>
      <c r="I1036" s="133"/>
      <c r="J1036" s="133"/>
      <c r="K1036" s="133"/>
      <c r="L1036" s="133"/>
      <c r="NW1036" s="6"/>
      <c r="NX1036" s="6"/>
      <c r="NY1036" s="6"/>
      <c r="NZ1036" s="6"/>
      <c r="OA1036" s="6"/>
      <c r="OB1036" s="46"/>
      <c r="OC1036" s="4"/>
      <c r="OD1036" s="6"/>
    </row>
    <row r="1037" spans="1:394" x14ac:dyDescent="0.25">
      <c r="A1037" s="47"/>
      <c r="B1037" s="48"/>
      <c r="C1037" s="133"/>
      <c r="D1037" s="133"/>
      <c r="E1037" s="133"/>
      <c r="F1037" s="133"/>
      <c r="G1037" s="133"/>
      <c r="H1037" s="133"/>
      <c r="I1037" s="133"/>
      <c r="J1037" s="133"/>
      <c r="K1037" s="133"/>
      <c r="L1037" s="133"/>
      <c r="NW1037" s="6"/>
      <c r="NX1037" s="6"/>
      <c r="NY1037" s="6"/>
      <c r="NZ1037" s="6"/>
      <c r="OA1037" s="6"/>
      <c r="OB1037" s="46"/>
      <c r="OC1037" s="4"/>
      <c r="OD1037" s="6"/>
    </row>
    <row r="1038" spans="1:394" x14ac:dyDescent="0.25">
      <c r="A1038" s="47"/>
      <c r="B1038" s="48"/>
      <c r="C1038" s="133"/>
      <c r="D1038" s="133"/>
      <c r="E1038" s="133"/>
      <c r="F1038" s="133"/>
      <c r="G1038" s="133"/>
      <c r="H1038" s="133"/>
      <c r="I1038" s="133"/>
      <c r="J1038" s="133"/>
      <c r="K1038" s="133"/>
      <c r="L1038" s="133"/>
      <c r="NW1038" s="6"/>
      <c r="NX1038" s="6"/>
      <c r="NY1038" s="6"/>
      <c r="NZ1038" s="6"/>
      <c r="OA1038" s="6"/>
      <c r="OB1038" s="46"/>
      <c r="OC1038" s="4"/>
      <c r="OD1038" s="6"/>
    </row>
    <row r="1039" spans="1:394" x14ac:dyDescent="0.25">
      <c r="A1039" s="47"/>
      <c r="B1039" s="48"/>
      <c r="C1039" s="133"/>
      <c r="D1039" s="133"/>
      <c r="E1039" s="133"/>
      <c r="F1039" s="133"/>
      <c r="G1039" s="133"/>
      <c r="H1039" s="133"/>
      <c r="I1039" s="133"/>
      <c r="J1039" s="133"/>
      <c r="K1039" s="133"/>
      <c r="L1039" s="133"/>
      <c r="NW1039" s="6"/>
      <c r="NX1039" s="6"/>
      <c r="NY1039" s="6"/>
      <c r="NZ1039" s="6"/>
      <c r="OA1039" s="6"/>
      <c r="OB1039" s="46"/>
      <c r="OC1039" s="4"/>
      <c r="OD1039" s="6"/>
    </row>
    <row r="1040" spans="1:394" x14ac:dyDescent="0.25">
      <c r="A1040" s="47"/>
      <c r="B1040" s="48"/>
      <c r="C1040" s="133"/>
      <c r="D1040" s="133"/>
      <c r="E1040" s="133"/>
      <c r="F1040" s="133"/>
      <c r="G1040" s="133"/>
      <c r="H1040" s="133"/>
      <c r="I1040" s="133"/>
      <c r="J1040" s="133"/>
      <c r="K1040" s="133"/>
      <c r="L1040" s="133"/>
      <c r="NW1040" s="6"/>
      <c r="NX1040" s="6"/>
      <c r="NY1040" s="6"/>
      <c r="NZ1040" s="6"/>
      <c r="OA1040" s="6"/>
      <c r="OB1040" s="46"/>
      <c r="OC1040" s="4"/>
      <c r="OD1040" s="6"/>
    </row>
    <row r="1041" spans="1:394" x14ac:dyDescent="0.25">
      <c r="A1041" s="47"/>
      <c r="B1041" s="48"/>
      <c r="C1041" s="133"/>
      <c r="D1041" s="133"/>
      <c r="E1041" s="133"/>
      <c r="F1041" s="133"/>
      <c r="G1041" s="133"/>
      <c r="H1041" s="133"/>
      <c r="I1041" s="133"/>
      <c r="J1041" s="133"/>
      <c r="K1041" s="133"/>
      <c r="L1041" s="133"/>
      <c r="NW1041" s="6"/>
      <c r="NX1041" s="6"/>
      <c r="NY1041" s="6"/>
      <c r="NZ1041" s="6"/>
      <c r="OA1041" s="6"/>
      <c r="OB1041" s="46"/>
      <c r="OC1041" s="4"/>
      <c r="OD1041" s="6"/>
    </row>
    <row r="1042" spans="1:394" x14ac:dyDescent="0.25">
      <c r="A1042" s="47"/>
      <c r="B1042" s="48"/>
      <c r="C1042" s="133"/>
      <c r="D1042" s="133"/>
      <c r="E1042" s="133"/>
      <c r="F1042" s="133"/>
      <c r="G1042" s="133"/>
      <c r="H1042" s="133"/>
      <c r="I1042" s="133"/>
      <c r="J1042" s="133"/>
      <c r="K1042" s="133"/>
      <c r="L1042" s="133"/>
      <c r="NW1042" s="6"/>
      <c r="NX1042" s="6"/>
      <c r="NY1042" s="6"/>
      <c r="NZ1042" s="6"/>
      <c r="OA1042" s="6"/>
      <c r="OB1042" s="46"/>
      <c r="OC1042" s="4"/>
      <c r="OD1042" s="6"/>
    </row>
    <row r="1043" spans="1:394" x14ac:dyDescent="0.25">
      <c r="A1043" s="47"/>
      <c r="B1043" s="48"/>
      <c r="C1043" s="133"/>
      <c r="D1043" s="133"/>
      <c r="E1043" s="133"/>
      <c r="F1043" s="133"/>
      <c r="G1043" s="133"/>
      <c r="H1043" s="133"/>
      <c r="I1043" s="133"/>
      <c r="J1043" s="133"/>
      <c r="K1043" s="133"/>
      <c r="L1043" s="133"/>
      <c r="NW1043" s="6"/>
      <c r="NX1043" s="6"/>
      <c r="NY1043" s="6"/>
      <c r="NZ1043" s="6"/>
      <c r="OA1043" s="6"/>
      <c r="OB1043" s="46"/>
      <c r="OC1043" s="4"/>
      <c r="OD1043" s="6"/>
    </row>
    <row r="1044" spans="1:394" x14ac:dyDescent="0.25">
      <c r="A1044" s="47"/>
      <c r="B1044" s="48"/>
      <c r="C1044" s="133"/>
      <c r="D1044" s="133"/>
      <c r="E1044" s="133"/>
      <c r="F1044" s="133"/>
      <c r="G1044" s="133"/>
      <c r="H1044" s="133"/>
      <c r="I1044" s="133"/>
      <c r="J1044" s="133"/>
      <c r="K1044" s="133"/>
      <c r="L1044" s="133"/>
      <c r="NW1044" s="6"/>
      <c r="NX1044" s="6"/>
      <c r="NY1044" s="6"/>
      <c r="NZ1044" s="6"/>
      <c r="OA1044" s="6"/>
      <c r="OB1044" s="46"/>
      <c r="OC1044" s="4"/>
      <c r="OD1044" s="6"/>
    </row>
    <row r="1045" spans="1:394" x14ac:dyDescent="0.25">
      <c r="A1045" s="47"/>
      <c r="B1045" s="48"/>
      <c r="C1045" s="133"/>
      <c r="D1045" s="133"/>
      <c r="E1045" s="133"/>
      <c r="F1045" s="133"/>
      <c r="G1045" s="133"/>
      <c r="H1045" s="133"/>
      <c r="I1045" s="133"/>
      <c r="J1045" s="133"/>
      <c r="K1045" s="133"/>
      <c r="L1045" s="133"/>
      <c r="NW1045" s="6"/>
      <c r="NX1045" s="6"/>
      <c r="NY1045" s="6"/>
      <c r="NZ1045" s="6"/>
      <c r="OA1045" s="6"/>
      <c r="OB1045" s="46"/>
      <c r="OC1045" s="4"/>
      <c r="OD1045" s="6"/>
    </row>
    <row r="1046" spans="1:394" x14ac:dyDescent="0.25">
      <c r="A1046" s="47"/>
      <c r="B1046" s="48"/>
      <c r="C1046" s="133"/>
      <c r="D1046" s="133"/>
      <c r="E1046" s="133"/>
      <c r="F1046" s="133"/>
      <c r="G1046" s="133"/>
      <c r="H1046" s="133"/>
      <c r="I1046" s="133"/>
      <c r="J1046" s="133"/>
      <c r="K1046" s="133"/>
      <c r="L1046" s="133"/>
      <c r="NW1046" s="6"/>
      <c r="NX1046" s="6"/>
      <c r="NY1046" s="6"/>
      <c r="NZ1046" s="6"/>
      <c r="OA1046" s="6"/>
      <c r="OB1046" s="46"/>
      <c r="OC1046" s="4"/>
      <c r="OD1046" s="6"/>
    </row>
    <row r="1047" spans="1:394" x14ac:dyDescent="0.25">
      <c r="A1047" s="47"/>
      <c r="B1047" s="48"/>
      <c r="C1047" s="133"/>
      <c r="D1047" s="133"/>
      <c r="E1047" s="133"/>
      <c r="F1047" s="133"/>
      <c r="G1047" s="133"/>
      <c r="H1047" s="133"/>
      <c r="I1047" s="133"/>
      <c r="J1047" s="133"/>
      <c r="K1047" s="133"/>
      <c r="L1047" s="133"/>
      <c r="NW1047" s="6"/>
      <c r="NX1047" s="6"/>
      <c r="NY1047" s="6"/>
      <c r="NZ1047" s="6"/>
      <c r="OA1047" s="6"/>
      <c r="OB1047" s="46"/>
      <c r="OC1047" s="4"/>
      <c r="OD1047" s="6"/>
    </row>
    <row r="1048" spans="1:394" x14ac:dyDescent="0.25">
      <c r="A1048" s="47"/>
      <c r="B1048" s="48"/>
      <c r="C1048" s="133"/>
      <c r="D1048" s="133"/>
      <c r="E1048" s="133"/>
      <c r="F1048" s="133"/>
      <c r="G1048" s="133"/>
      <c r="H1048" s="133"/>
      <c r="I1048" s="133"/>
      <c r="J1048" s="133"/>
      <c r="K1048" s="133"/>
      <c r="L1048" s="133"/>
      <c r="NW1048" s="6"/>
      <c r="NX1048" s="6"/>
      <c r="NY1048" s="6"/>
      <c r="NZ1048" s="6"/>
      <c r="OA1048" s="6"/>
      <c r="OB1048" s="46"/>
      <c r="OC1048" s="4"/>
      <c r="OD1048" s="6"/>
    </row>
    <row r="1049" spans="1:394" x14ac:dyDescent="0.25">
      <c r="A1049" s="47"/>
      <c r="B1049" s="48"/>
      <c r="C1049" s="133"/>
      <c r="D1049" s="133"/>
      <c r="E1049" s="133"/>
      <c r="F1049" s="133"/>
      <c r="G1049" s="133"/>
      <c r="H1049" s="133"/>
      <c r="I1049" s="133"/>
      <c r="J1049" s="133"/>
      <c r="K1049" s="133"/>
      <c r="L1049" s="133"/>
      <c r="NW1049" s="6"/>
      <c r="NX1049" s="6"/>
      <c r="NY1049" s="6"/>
      <c r="NZ1049" s="6"/>
      <c r="OA1049" s="6"/>
      <c r="OB1049" s="46"/>
      <c r="OC1049" s="4"/>
      <c r="OD1049" s="6"/>
    </row>
    <row r="1050" spans="1:394" x14ac:dyDescent="0.25">
      <c r="A1050" s="47"/>
      <c r="B1050" s="48"/>
      <c r="C1050" s="133"/>
      <c r="D1050" s="133"/>
      <c r="E1050" s="133"/>
      <c r="F1050" s="133"/>
      <c r="G1050" s="133"/>
      <c r="H1050" s="133"/>
      <c r="I1050" s="133"/>
      <c r="J1050" s="133"/>
      <c r="K1050" s="133"/>
      <c r="L1050" s="133"/>
      <c r="NW1050" s="6"/>
      <c r="NX1050" s="6"/>
      <c r="NY1050" s="6"/>
      <c r="NZ1050" s="6"/>
      <c r="OA1050" s="6"/>
      <c r="OB1050" s="46"/>
      <c r="OC1050" s="4"/>
      <c r="OD1050" s="6"/>
    </row>
    <row r="1051" spans="1:394" x14ac:dyDescent="0.25">
      <c r="A1051" s="47"/>
      <c r="B1051" s="48"/>
      <c r="C1051" s="133"/>
      <c r="D1051" s="133"/>
      <c r="E1051" s="133"/>
      <c r="F1051" s="133"/>
      <c r="G1051" s="133"/>
      <c r="H1051" s="133"/>
      <c r="I1051" s="133"/>
      <c r="J1051" s="133"/>
      <c r="K1051" s="133"/>
      <c r="L1051" s="133"/>
      <c r="NW1051" s="6"/>
      <c r="NX1051" s="6"/>
      <c r="NY1051" s="6"/>
      <c r="NZ1051" s="6"/>
      <c r="OA1051" s="6"/>
      <c r="OB1051" s="46"/>
      <c r="OC1051" s="4"/>
      <c r="OD1051" s="6"/>
    </row>
    <row r="1052" spans="1:394" x14ac:dyDescent="0.25">
      <c r="A1052" s="47"/>
      <c r="B1052" s="48"/>
      <c r="C1052" s="133"/>
      <c r="D1052" s="133"/>
      <c r="E1052" s="133"/>
      <c r="F1052" s="133"/>
      <c r="G1052" s="133"/>
      <c r="H1052" s="133"/>
      <c r="I1052" s="133"/>
      <c r="J1052" s="133"/>
      <c r="K1052" s="133"/>
      <c r="L1052" s="133"/>
      <c r="NW1052" s="6"/>
      <c r="NX1052" s="6"/>
      <c r="NY1052" s="6"/>
      <c r="NZ1052" s="6"/>
      <c r="OA1052" s="6"/>
      <c r="OB1052" s="46"/>
      <c r="OC1052" s="4"/>
      <c r="OD1052" s="6"/>
    </row>
    <row r="1053" spans="1:394" x14ac:dyDescent="0.25">
      <c r="A1053" s="47"/>
      <c r="B1053" s="48"/>
      <c r="C1053" s="133"/>
      <c r="D1053" s="133"/>
      <c r="E1053" s="133"/>
      <c r="F1053" s="133"/>
      <c r="G1053" s="133"/>
      <c r="H1053" s="133"/>
      <c r="I1053" s="133"/>
      <c r="J1053" s="133"/>
      <c r="K1053" s="133"/>
      <c r="L1053" s="133"/>
      <c r="NW1053" s="6"/>
      <c r="NX1053" s="6"/>
      <c r="NY1053" s="6"/>
      <c r="NZ1053" s="6"/>
      <c r="OA1053" s="6"/>
      <c r="OB1053" s="46"/>
      <c r="OC1053" s="4"/>
      <c r="OD1053" s="6"/>
    </row>
    <row r="1054" spans="1:394" x14ac:dyDescent="0.25">
      <c r="A1054" s="47"/>
      <c r="B1054" s="48"/>
      <c r="C1054" s="133"/>
      <c r="D1054" s="133"/>
      <c r="E1054" s="133"/>
      <c r="F1054" s="133"/>
      <c r="G1054" s="133"/>
      <c r="H1054" s="133"/>
      <c r="I1054" s="133"/>
      <c r="J1054" s="133"/>
      <c r="K1054" s="133"/>
      <c r="L1054" s="133"/>
      <c r="NW1054" s="6"/>
      <c r="NX1054" s="6"/>
      <c r="NY1054" s="6"/>
      <c r="NZ1054" s="6"/>
      <c r="OA1054" s="6"/>
      <c r="OB1054" s="46"/>
      <c r="OC1054" s="4"/>
      <c r="OD1054" s="6"/>
    </row>
    <row r="1055" spans="1:394" x14ac:dyDescent="0.25">
      <c r="A1055" s="47"/>
      <c r="B1055" s="48"/>
      <c r="C1055" s="133"/>
      <c r="D1055" s="133"/>
      <c r="E1055" s="133"/>
      <c r="F1055" s="133"/>
      <c r="G1055" s="133"/>
      <c r="H1055" s="133"/>
      <c r="I1055" s="133"/>
      <c r="J1055" s="133"/>
      <c r="K1055" s="133"/>
      <c r="L1055" s="133"/>
      <c r="NW1055" s="6"/>
      <c r="NX1055" s="6"/>
      <c r="NY1055" s="6"/>
      <c r="NZ1055" s="6"/>
      <c r="OA1055" s="6"/>
      <c r="OB1055" s="46"/>
      <c r="OC1055" s="4"/>
      <c r="OD1055" s="6"/>
    </row>
    <row r="1056" spans="1:394" x14ac:dyDescent="0.25">
      <c r="A1056" s="47"/>
      <c r="B1056" s="48"/>
      <c r="C1056" s="133"/>
      <c r="D1056" s="133"/>
      <c r="E1056" s="133"/>
      <c r="F1056" s="133"/>
      <c r="G1056" s="133"/>
      <c r="H1056" s="133"/>
      <c r="I1056" s="133"/>
      <c r="J1056" s="133"/>
      <c r="K1056" s="133"/>
      <c r="L1056" s="133"/>
      <c r="NW1056" s="6"/>
      <c r="NX1056" s="6"/>
      <c r="NY1056" s="6"/>
      <c r="NZ1056" s="6"/>
      <c r="OA1056" s="6"/>
      <c r="OB1056" s="46"/>
      <c r="OC1056" s="4"/>
      <c r="OD1056" s="6"/>
    </row>
    <row r="1057" spans="1:394" x14ac:dyDescent="0.25">
      <c r="A1057" s="47"/>
      <c r="B1057" s="48"/>
      <c r="C1057" s="133"/>
      <c r="D1057" s="133"/>
      <c r="E1057" s="133"/>
      <c r="F1057" s="133"/>
      <c r="G1057" s="133"/>
      <c r="H1057" s="133"/>
      <c r="I1057" s="133"/>
      <c r="J1057" s="133"/>
      <c r="K1057" s="133"/>
      <c r="L1057" s="133"/>
      <c r="NW1057" s="6"/>
      <c r="NX1057" s="6"/>
      <c r="NY1057" s="6"/>
      <c r="NZ1057" s="6"/>
      <c r="OA1057" s="6"/>
      <c r="OB1057" s="46"/>
      <c r="OC1057" s="4"/>
      <c r="OD1057" s="6"/>
    </row>
    <row r="1058" spans="1:394" x14ac:dyDescent="0.25">
      <c r="A1058" s="47"/>
      <c r="B1058" s="48"/>
      <c r="C1058" s="133"/>
      <c r="D1058" s="133"/>
      <c r="E1058" s="133"/>
      <c r="F1058" s="133"/>
      <c r="G1058" s="133"/>
      <c r="H1058" s="133"/>
      <c r="I1058" s="133"/>
      <c r="J1058" s="133"/>
      <c r="K1058" s="133"/>
      <c r="L1058" s="133"/>
      <c r="NW1058" s="6"/>
      <c r="NX1058" s="6"/>
      <c r="NY1058" s="6"/>
      <c r="NZ1058" s="6"/>
      <c r="OA1058" s="6"/>
      <c r="OB1058" s="46"/>
      <c r="OC1058" s="4"/>
      <c r="OD1058" s="6"/>
    </row>
    <row r="1059" spans="1:394" x14ac:dyDescent="0.25">
      <c r="A1059" s="47"/>
      <c r="B1059" s="48"/>
      <c r="C1059" s="133"/>
      <c r="D1059" s="133"/>
      <c r="E1059" s="133"/>
      <c r="F1059" s="133"/>
      <c r="G1059" s="133"/>
      <c r="H1059" s="133"/>
      <c r="I1059" s="133"/>
      <c r="J1059" s="133"/>
      <c r="K1059" s="133"/>
      <c r="L1059" s="133"/>
      <c r="NW1059" s="6"/>
      <c r="NX1059" s="6"/>
      <c r="NY1059" s="6"/>
      <c r="NZ1059" s="6"/>
      <c r="OA1059" s="6"/>
      <c r="OB1059" s="46"/>
      <c r="OC1059" s="4"/>
      <c r="OD1059" s="6"/>
    </row>
    <row r="1060" spans="1:394" x14ac:dyDescent="0.25">
      <c r="A1060" s="47"/>
      <c r="B1060" s="48"/>
      <c r="C1060" s="133"/>
      <c r="D1060" s="133"/>
      <c r="E1060" s="133"/>
      <c r="F1060" s="133"/>
      <c r="G1060" s="133"/>
      <c r="H1060" s="133"/>
      <c r="I1060" s="133"/>
      <c r="J1060" s="133"/>
      <c r="K1060" s="133"/>
      <c r="L1060" s="133"/>
      <c r="NW1060" s="6"/>
      <c r="NX1060" s="6"/>
      <c r="NY1060" s="6"/>
      <c r="NZ1060" s="6"/>
      <c r="OA1060" s="6"/>
      <c r="OB1060" s="46"/>
      <c r="OC1060" s="4"/>
      <c r="OD1060" s="6"/>
    </row>
    <row r="1061" spans="1:394" x14ac:dyDescent="0.25">
      <c r="A1061" s="47"/>
      <c r="B1061" s="48"/>
      <c r="C1061" s="133"/>
      <c r="D1061" s="133"/>
      <c r="E1061" s="133"/>
      <c r="F1061" s="133"/>
      <c r="G1061" s="133"/>
      <c r="H1061" s="133"/>
      <c r="I1061" s="133"/>
      <c r="J1061" s="133"/>
      <c r="K1061" s="133"/>
      <c r="L1061" s="133"/>
      <c r="NW1061" s="6"/>
      <c r="NX1061" s="6"/>
      <c r="NY1061" s="6"/>
      <c r="NZ1061" s="6"/>
      <c r="OA1061" s="6"/>
      <c r="OB1061" s="46"/>
      <c r="OC1061" s="4"/>
      <c r="OD1061" s="6"/>
    </row>
    <row r="1062" spans="1:394" x14ac:dyDescent="0.25">
      <c r="A1062" s="47"/>
      <c r="B1062" s="48"/>
      <c r="C1062" s="133"/>
      <c r="D1062" s="133"/>
      <c r="E1062" s="133"/>
      <c r="F1062" s="133"/>
      <c r="G1062" s="133"/>
      <c r="H1062" s="133"/>
      <c r="I1062" s="133"/>
      <c r="J1062" s="133"/>
      <c r="K1062" s="133"/>
      <c r="L1062" s="133"/>
      <c r="NW1062" s="6"/>
      <c r="NX1062" s="6"/>
      <c r="NY1062" s="6"/>
      <c r="NZ1062" s="6"/>
      <c r="OA1062" s="6"/>
      <c r="OB1062" s="46"/>
      <c r="OC1062" s="4"/>
      <c r="OD1062" s="6"/>
    </row>
    <row r="1063" spans="1:394" x14ac:dyDescent="0.25">
      <c r="A1063" s="47"/>
      <c r="B1063" s="48"/>
      <c r="C1063" s="133"/>
      <c r="D1063" s="133"/>
      <c r="E1063" s="133"/>
      <c r="F1063" s="133"/>
      <c r="G1063" s="133"/>
      <c r="H1063" s="133"/>
      <c r="I1063" s="133"/>
      <c r="J1063" s="133"/>
      <c r="K1063" s="133"/>
      <c r="L1063" s="133"/>
      <c r="NW1063" s="6"/>
      <c r="NX1063" s="6"/>
      <c r="NY1063" s="6"/>
      <c r="NZ1063" s="6"/>
      <c r="OA1063" s="6"/>
      <c r="OB1063" s="46"/>
      <c r="OC1063" s="4"/>
      <c r="OD1063" s="6"/>
    </row>
    <row r="1064" spans="1:394" x14ac:dyDescent="0.25">
      <c r="A1064" s="47"/>
      <c r="B1064" s="48"/>
      <c r="C1064" s="133"/>
      <c r="D1064" s="133"/>
      <c r="E1064" s="133"/>
      <c r="F1064" s="133"/>
      <c r="G1064" s="133"/>
      <c r="H1064" s="133"/>
      <c r="I1064" s="133"/>
      <c r="J1064" s="133"/>
      <c r="K1064" s="133"/>
      <c r="L1064" s="133"/>
      <c r="NW1064" s="6"/>
      <c r="NX1064" s="6"/>
      <c r="NY1064" s="6"/>
      <c r="NZ1064" s="6"/>
      <c r="OA1064" s="6"/>
      <c r="OB1064" s="46"/>
      <c r="OC1064" s="4"/>
      <c r="OD1064" s="6"/>
    </row>
    <row r="1065" spans="1:394" x14ac:dyDescent="0.25">
      <c r="A1065" s="47"/>
      <c r="B1065" s="48"/>
      <c r="C1065" s="133"/>
      <c r="D1065" s="133"/>
      <c r="E1065" s="133"/>
      <c r="F1065" s="133"/>
      <c r="G1065" s="133"/>
      <c r="H1065" s="133"/>
      <c r="I1065" s="133"/>
      <c r="J1065" s="133"/>
      <c r="K1065" s="133"/>
      <c r="L1065" s="133"/>
      <c r="NW1065" s="6"/>
      <c r="NX1065" s="6"/>
      <c r="NY1065" s="6"/>
      <c r="NZ1065" s="6"/>
      <c r="OA1065" s="6"/>
      <c r="OB1065" s="46"/>
      <c r="OC1065" s="4"/>
      <c r="OD1065" s="6"/>
    </row>
    <row r="1066" spans="1:394" x14ac:dyDescent="0.25">
      <c r="A1066" s="47"/>
      <c r="B1066" s="48"/>
      <c r="C1066" s="133"/>
      <c r="D1066" s="133"/>
      <c r="E1066" s="133"/>
      <c r="F1066" s="133"/>
      <c r="G1066" s="133"/>
      <c r="H1066" s="133"/>
      <c r="I1066" s="133"/>
      <c r="J1066" s="133"/>
      <c r="K1066" s="133"/>
      <c r="L1066" s="133"/>
      <c r="NW1066" s="6"/>
      <c r="NX1066" s="6"/>
      <c r="NY1066" s="6"/>
      <c r="NZ1066" s="6"/>
      <c r="OA1066" s="6"/>
      <c r="OB1066" s="46"/>
      <c r="OC1066" s="4"/>
      <c r="OD1066" s="6"/>
    </row>
    <row r="1067" spans="1:394" x14ac:dyDescent="0.25">
      <c r="A1067" s="47"/>
      <c r="B1067" s="48"/>
      <c r="C1067" s="133"/>
      <c r="D1067" s="133"/>
      <c r="E1067" s="133"/>
      <c r="F1067" s="133"/>
      <c r="G1067" s="133"/>
      <c r="H1067" s="133"/>
      <c r="I1067" s="133"/>
      <c r="J1067" s="133"/>
      <c r="K1067" s="133"/>
      <c r="L1067" s="133"/>
      <c r="NW1067" s="6"/>
      <c r="NX1067" s="6"/>
      <c r="NY1067" s="6"/>
      <c r="NZ1067" s="6"/>
      <c r="OA1067" s="6"/>
      <c r="OB1067" s="46"/>
      <c r="OC1067" s="4"/>
      <c r="OD1067" s="6"/>
    </row>
    <row r="1068" spans="1:394" x14ac:dyDescent="0.25">
      <c r="A1068" s="47"/>
      <c r="B1068" s="48"/>
      <c r="C1068" s="133"/>
      <c r="D1068" s="133"/>
      <c r="E1068" s="133"/>
      <c r="F1068" s="133"/>
      <c r="G1068" s="133"/>
      <c r="H1068" s="133"/>
      <c r="I1068" s="133"/>
      <c r="J1068" s="133"/>
      <c r="K1068" s="133"/>
      <c r="L1068" s="133"/>
      <c r="NW1068" s="6"/>
      <c r="NX1068" s="6"/>
      <c r="NY1068" s="6"/>
      <c r="NZ1068" s="6"/>
      <c r="OA1068" s="6"/>
      <c r="OB1068" s="46"/>
      <c r="OC1068" s="4"/>
      <c r="OD1068" s="6"/>
    </row>
    <row r="1069" spans="1:394" x14ac:dyDescent="0.25">
      <c r="A1069" s="47"/>
      <c r="B1069" s="48"/>
      <c r="C1069" s="133"/>
      <c r="D1069" s="133"/>
      <c r="E1069" s="133"/>
      <c r="F1069" s="133"/>
      <c r="G1069" s="133"/>
      <c r="H1069" s="133"/>
      <c r="I1069" s="133"/>
      <c r="J1069" s="133"/>
      <c r="K1069" s="133"/>
      <c r="L1069" s="133"/>
      <c r="NW1069" s="6"/>
      <c r="NX1069" s="6"/>
      <c r="NY1069" s="6"/>
      <c r="NZ1069" s="6"/>
      <c r="OA1069" s="6"/>
      <c r="OB1069" s="46"/>
      <c r="OC1069" s="4"/>
      <c r="OD1069" s="6"/>
    </row>
    <row r="1070" spans="1:394" x14ac:dyDescent="0.25">
      <c r="A1070" s="47"/>
      <c r="B1070" s="48"/>
      <c r="C1070" s="133"/>
      <c r="D1070" s="133"/>
      <c r="E1070" s="133"/>
      <c r="F1070" s="133"/>
      <c r="G1070" s="133"/>
      <c r="H1070" s="133"/>
      <c r="I1070" s="133"/>
      <c r="J1070" s="133"/>
      <c r="K1070" s="133"/>
      <c r="L1070" s="133"/>
      <c r="NW1070" s="6"/>
      <c r="NX1070" s="6"/>
      <c r="NY1070" s="6"/>
      <c r="NZ1070" s="6"/>
      <c r="OA1070" s="6"/>
      <c r="OB1070" s="46"/>
      <c r="OC1070" s="4"/>
      <c r="OD1070" s="6"/>
    </row>
    <row r="1071" spans="1:394" x14ac:dyDescent="0.25">
      <c r="A1071" s="47"/>
      <c r="B1071" s="48"/>
      <c r="C1071" s="133"/>
      <c r="D1071" s="133"/>
      <c r="E1071" s="133"/>
      <c r="F1071" s="133"/>
      <c r="G1071" s="133"/>
      <c r="H1071" s="133"/>
      <c r="I1071" s="133"/>
      <c r="J1071" s="133"/>
      <c r="K1071" s="133"/>
      <c r="L1071" s="133"/>
      <c r="NW1071" s="6"/>
      <c r="NX1071" s="6"/>
      <c r="NY1071" s="6"/>
      <c r="NZ1071" s="6"/>
      <c r="OA1071" s="6"/>
      <c r="OB1071" s="46"/>
      <c r="OC1071" s="4"/>
      <c r="OD1071" s="6"/>
    </row>
    <row r="1072" spans="1:394" x14ac:dyDescent="0.25">
      <c r="A1072" s="47"/>
      <c r="B1072" s="48"/>
      <c r="C1072" s="133"/>
      <c r="D1072" s="133"/>
      <c r="E1072" s="133"/>
      <c r="F1072" s="133"/>
      <c r="G1072" s="133"/>
      <c r="H1072" s="133"/>
      <c r="I1072" s="133"/>
      <c r="J1072" s="133"/>
      <c r="K1072" s="133"/>
      <c r="L1072" s="133"/>
      <c r="NW1072" s="6"/>
      <c r="NX1072" s="6"/>
      <c r="NY1072" s="6"/>
      <c r="NZ1072" s="6"/>
      <c r="OA1072" s="6"/>
      <c r="OB1072" s="46"/>
      <c r="OC1072" s="4"/>
      <c r="OD1072" s="6"/>
    </row>
    <row r="1073" spans="1:394" x14ac:dyDescent="0.25">
      <c r="A1073" s="47"/>
      <c r="B1073" s="48"/>
      <c r="C1073" s="133"/>
      <c r="D1073" s="133"/>
      <c r="E1073" s="133"/>
      <c r="F1073" s="133"/>
      <c r="G1073" s="133"/>
      <c r="H1073" s="133"/>
      <c r="I1073" s="133"/>
      <c r="J1073" s="133"/>
      <c r="K1073" s="133"/>
      <c r="L1073" s="133"/>
      <c r="NW1073" s="6"/>
      <c r="NX1073" s="6"/>
      <c r="NY1073" s="6"/>
      <c r="NZ1073" s="6"/>
      <c r="OA1073" s="6"/>
      <c r="OB1073" s="46"/>
      <c r="OC1073" s="4"/>
      <c r="OD1073" s="6"/>
    </row>
    <row r="1074" spans="1:394" x14ac:dyDescent="0.25">
      <c r="A1074" s="47"/>
      <c r="B1074" s="48"/>
      <c r="C1074" s="133"/>
      <c r="D1074" s="133"/>
      <c r="E1074" s="133"/>
      <c r="F1074" s="133"/>
      <c r="G1074" s="133"/>
      <c r="H1074" s="133"/>
      <c r="I1074" s="133"/>
      <c r="J1074" s="133"/>
      <c r="K1074" s="133"/>
      <c r="L1074" s="133"/>
      <c r="NW1074" s="6"/>
      <c r="NX1074" s="6"/>
      <c r="NY1074" s="6"/>
      <c r="NZ1074" s="6"/>
      <c r="OA1074" s="6"/>
      <c r="OB1074" s="46"/>
      <c r="OC1074" s="4"/>
      <c r="OD1074" s="6"/>
    </row>
    <row r="1075" spans="1:394" x14ac:dyDescent="0.25">
      <c r="A1075" s="47"/>
      <c r="B1075" s="48"/>
      <c r="C1075" s="133"/>
      <c r="D1075" s="133"/>
      <c r="E1075" s="133"/>
      <c r="F1075" s="133"/>
      <c r="G1075" s="133"/>
      <c r="H1075" s="133"/>
      <c r="I1075" s="133"/>
      <c r="J1075" s="133"/>
      <c r="K1075" s="133"/>
      <c r="L1075" s="133"/>
      <c r="NW1075" s="6"/>
      <c r="NX1075" s="6"/>
      <c r="NY1075" s="6"/>
      <c r="NZ1075" s="6"/>
      <c r="OA1075" s="6"/>
      <c r="OB1075" s="46"/>
      <c r="OC1075" s="4"/>
      <c r="OD1075" s="6"/>
    </row>
    <row r="1076" spans="1:394" x14ac:dyDescent="0.25">
      <c r="A1076" s="47"/>
      <c r="B1076" s="48"/>
      <c r="C1076" s="133"/>
      <c r="D1076" s="133"/>
      <c r="E1076" s="133"/>
      <c r="F1076" s="133"/>
      <c r="G1076" s="133"/>
      <c r="H1076" s="133"/>
      <c r="I1076" s="133"/>
      <c r="J1076" s="133"/>
      <c r="K1076" s="133"/>
      <c r="L1076" s="133"/>
      <c r="NW1076" s="6"/>
      <c r="NX1076" s="6"/>
      <c r="NY1076" s="6"/>
      <c r="NZ1076" s="6"/>
      <c r="OA1076" s="6"/>
      <c r="OB1076" s="46"/>
      <c r="OC1076" s="4"/>
      <c r="OD1076" s="6"/>
    </row>
    <row r="1077" spans="1:394" x14ac:dyDescent="0.25">
      <c r="A1077" s="47"/>
      <c r="B1077" s="48"/>
      <c r="C1077" s="133"/>
      <c r="D1077" s="133"/>
      <c r="E1077" s="133"/>
      <c r="F1077" s="133"/>
      <c r="G1077" s="133"/>
      <c r="H1077" s="133"/>
      <c r="I1077" s="133"/>
      <c r="J1077" s="133"/>
      <c r="K1077" s="133"/>
      <c r="L1077" s="133"/>
      <c r="NW1077" s="6"/>
      <c r="NX1077" s="6"/>
      <c r="NY1077" s="6"/>
      <c r="NZ1077" s="6"/>
      <c r="OA1077" s="6"/>
      <c r="OB1077" s="46"/>
      <c r="OC1077" s="4"/>
      <c r="OD1077" s="6"/>
    </row>
    <row r="1078" spans="1:394" x14ac:dyDescent="0.25">
      <c r="A1078" s="47"/>
      <c r="B1078" s="48"/>
      <c r="C1078" s="133"/>
      <c r="D1078" s="133"/>
      <c r="E1078" s="133"/>
      <c r="F1078" s="133"/>
      <c r="G1078" s="133"/>
      <c r="H1078" s="133"/>
      <c r="I1078" s="133"/>
      <c r="J1078" s="133"/>
      <c r="K1078" s="133"/>
      <c r="L1078" s="133"/>
      <c r="NW1078" s="6"/>
      <c r="NX1078" s="6"/>
      <c r="NY1078" s="6"/>
      <c r="NZ1078" s="6"/>
      <c r="OA1078" s="6"/>
      <c r="OB1078" s="46"/>
      <c r="OC1078" s="4"/>
      <c r="OD1078" s="6"/>
    </row>
    <row r="1079" spans="1:394" x14ac:dyDescent="0.25">
      <c r="A1079" s="47"/>
      <c r="B1079" s="48"/>
      <c r="C1079" s="133"/>
      <c r="D1079" s="133"/>
      <c r="E1079" s="133"/>
      <c r="F1079" s="133"/>
      <c r="G1079" s="133"/>
      <c r="H1079" s="133"/>
      <c r="I1079" s="133"/>
      <c r="J1079" s="133"/>
      <c r="K1079" s="133"/>
      <c r="L1079" s="133"/>
      <c r="NW1079" s="6"/>
      <c r="NX1079" s="6"/>
      <c r="NY1079" s="6"/>
      <c r="NZ1079" s="6"/>
      <c r="OA1079" s="6"/>
      <c r="OB1079" s="46"/>
      <c r="OC1079" s="4"/>
      <c r="OD1079" s="6"/>
    </row>
    <row r="1080" spans="1:394" x14ac:dyDescent="0.25">
      <c r="A1080" s="47"/>
      <c r="B1080" s="48"/>
      <c r="C1080" s="133"/>
      <c r="D1080" s="133"/>
      <c r="E1080" s="133"/>
      <c r="F1080" s="133"/>
      <c r="G1080" s="133"/>
      <c r="H1080" s="133"/>
      <c r="I1080" s="133"/>
      <c r="J1080" s="133"/>
      <c r="K1080" s="133"/>
      <c r="L1080" s="133"/>
      <c r="NW1080" s="6"/>
      <c r="NX1080" s="6"/>
      <c r="NY1080" s="6"/>
      <c r="NZ1080" s="6"/>
      <c r="OA1080" s="6"/>
      <c r="OB1080" s="46"/>
      <c r="OC1080" s="4"/>
      <c r="OD1080" s="6"/>
    </row>
    <row r="1081" spans="1:394" x14ac:dyDescent="0.25">
      <c r="A1081" s="47"/>
      <c r="B1081" s="48"/>
      <c r="C1081" s="133"/>
      <c r="D1081" s="133"/>
      <c r="E1081" s="133"/>
      <c r="F1081" s="133"/>
      <c r="G1081" s="133"/>
      <c r="H1081" s="133"/>
      <c r="I1081" s="133"/>
      <c r="J1081" s="133"/>
      <c r="K1081" s="133"/>
      <c r="L1081" s="133"/>
      <c r="NW1081" s="6"/>
      <c r="NX1081" s="6"/>
      <c r="NY1081" s="6"/>
      <c r="NZ1081" s="6"/>
      <c r="OA1081" s="6"/>
      <c r="OB1081" s="46"/>
      <c r="OC1081" s="4"/>
      <c r="OD1081" s="6"/>
    </row>
    <row r="1082" spans="1:394" x14ac:dyDescent="0.25">
      <c r="A1082" s="47"/>
      <c r="B1082" s="48"/>
      <c r="C1082" s="133"/>
      <c r="D1082" s="133"/>
      <c r="E1082" s="133"/>
      <c r="F1082" s="133"/>
      <c r="G1082" s="133"/>
      <c r="H1082" s="133"/>
      <c r="I1082" s="133"/>
      <c r="J1082" s="133"/>
      <c r="K1082" s="133"/>
      <c r="L1082" s="133"/>
      <c r="NW1082" s="6"/>
      <c r="NX1082" s="6"/>
      <c r="NY1082" s="6"/>
      <c r="NZ1082" s="6"/>
      <c r="OA1082" s="6"/>
      <c r="OB1082" s="46"/>
      <c r="OC1082" s="4"/>
      <c r="OD1082" s="6"/>
    </row>
    <row r="1083" spans="1:394" x14ac:dyDescent="0.25">
      <c r="A1083" s="47"/>
      <c r="B1083" s="48"/>
      <c r="C1083" s="133"/>
      <c r="D1083" s="133"/>
      <c r="E1083" s="133"/>
      <c r="F1083" s="133"/>
      <c r="G1083" s="133"/>
      <c r="H1083" s="133"/>
      <c r="I1083" s="133"/>
      <c r="J1083" s="133"/>
      <c r="K1083" s="133"/>
      <c r="L1083" s="133"/>
      <c r="NW1083" s="6"/>
      <c r="NX1083" s="6"/>
      <c r="NY1083" s="6"/>
      <c r="NZ1083" s="6"/>
      <c r="OA1083" s="6"/>
      <c r="OB1083" s="46"/>
      <c r="OC1083" s="4"/>
      <c r="OD1083" s="6"/>
    </row>
    <row r="1084" spans="1:394" x14ac:dyDescent="0.25">
      <c r="A1084" s="47"/>
      <c r="B1084" s="48"/>
      <c r="C1084" s="133"/>
      <c r="D1084" s="133"/>
      <c r="E1084" s="133"/>
      <c r="F1084" s="133"/>
      <c r="G1084" s="133"/>
      <c r="H1084" s="133"/>
      <c r="I1084" s="133"/>
      <c r="J1084" s="133"/>
      <c r="K1084" s="133"/>
      <c r="L1084" s="133"/>
      <c r="NW1084" s="6"/>
      <c r="NX1084" s="6"/>
      <c r="NY1084" s="6"/>
      <c r="NZ1084" s="6"/>
      <c r="OA1084" s="6"/>
      <c r="OB1084" s="46"/>
      <c r="OC1084" s="4"/>
      <c r="OD1084" s="6"/>
    </row>
    <row r="1085" spans="1:394" x14ac:dyDescent="0.25">
      <c r="A1085" s="47"/>
      <c r="B1085" s="48"/>
      <c r="C1085" s="133"/>
      <c r="D1085" s="133"/>
      <c r="E1085" s="133"/>
      <c r="F1085" s="133"/>
      <c r="G1085" s="133"/>
      <c r="H1085" s="133"/>
      <c r="I1085" s="133"/>
      <c r="J1085" s="133"/>
      <c r="K1085" s="133"/>
      <c r="L1085" s="133"/>
      <c r="NW1085" s="6"/>
      <c r="NX1085" s="6"/>
      <c r="NY1085" s="6"/>
      <c r="NZ1085" s="6"/>
      <c r="OA1085" s="6"/>
      <c r="OB1085" s="46"/>
      <c r="OC1085" s="4"/>
      <c r="OD1085" s="6"/>
    </row>
    <row r="1086" spans="1:394" x14ac:dyDescent="0.25">
      <c r="A1086" s="47"/>
      <c r="B1086" s="48"/>
      <c r="C1086" s="133"/>
      <c r="D1086" s="133"/>
      <c r="E1086" s="133"/>
      <c r="F1086" s="133"/>
      <c r="G1086" s="133"/>
      <c r="H1086" s="133"/>
      <c r="I1086" s="133"/>
      <c r="J1086" s="133"/>
      <c r="K1086" s="133"/>
      <c r="L1086" s="133"/>
      <c r="NW1086" s="6"/>
      <c r="NX1086" s="6"/>
      <c r="NY1086" s="6"/>
      <c r="NZ1086" s="6"/>
      <c r="OA1086" s="6"/>
      <c r="OB1086" s="46"/>
      <c r="OC1086" s="4"/>
      <c r="OD1086" s="6"/>
    </row>
    <row r="1087" spans="1:394" x14ac:dyDescent="0.25">
      <c r="A1087" s="47"/>
      <c r="B1087" s="48"/>
      <c r="C1087" s="133"/>
      <c r="D1087" s="133"/>
      <c r="E1087" s="133"/>
      <c r="F1087" s="133"/>
      <c r="G1087" s="133"/>
      <c r="H1087" s="133"/>
      <c r="I1087" s="133"/>
      <c r="J1087" s="133"/>
      <c r="K1087" s="133"/>
      <c r="L1087" s="133"/>
      <c r="NW1087" s="6"/>
      <c r="NX1087" s="6"/>
      <c r="NY1087" s="6"/>
      <c r="NZ1087" s="6"/>
      <c r="OA1087" s="6"/>
      <c r="OB1087" s="46"/>
      <c r="OC1087" s="4"/>
      <c r="OD1087" s="6"/>
    </row>
    <row r="1088" spans="1:394" x14ac:dyDescent="0.25">
      <c r="A1088" s="47"/>
      <c r="B1088" s="48"/>
      <c r="C1088" s="133"/>
      <c r="D1088" s="133"/>
      <c r="E1088" s="133"/>
      <c r="F1088" s="133"/>
      <c r="G1088" s="133"/>
      <c r="H1088" s="133"/>
      <c r="I1088" s="133"/>
      <c r="J1088" s="133"/>
      <c r="K1088" s="133"/>
      <c r="L1088" s="133"/>
      <c r="NW1088" s="6"/>
      <c r="NX1088" s="6"/>
      <c r="NY1088" s="6"/>
      <c r="NZ1088" s="6"/>
      <c r="OA1088" s="6"/>
      <c r="OB1088" s="46"/>
      <c r="OC1088" s="4"/>
      <c r="OD1088" s="6"/>
    </row>
    <row r="1089" spans="1:394" x14ac:dyDescent="0.25">
      <c r="A1089" s="47"/>
      <c r="B1089" s="48"/>
      <c r="C1089" s="133"/>
      <c r="D1089" s="133"/>
      <c r="E1089" s="133"/>
      <c r="F1089" s="133"/>
      <c r="G1089" s="133"/>
      <c r="H1089" s="133"/>
      <c r="I1089" s="133"/>
      <c r="J1089" s="133"/>
      <c r="K1089" s="133"/>
      <c r="L1089" s="133"/>
      <c r="NW1089" s="6"/>
      <c r="NX1089" s="6"/>
      <c r="NY1089" s="6"/>
      <c r="NZ1089" s="6"/>
      <c r="OA1089" s="6"/>
      <c r="OB1089" s="46"/>
      <c r="OC1089" s="4"/>
      <c r="OD1089" s="6"/>
    </row>
    <row r="1090" spans="1:394" x14ac:dyDescent="0.25">
      <c r="A1090" s="47"/>
      <c r="B1090" s="48"/>
      <c r="C1090" s="133"/>
      <c r="D1090" s="133"/>
      <c r="E1090" s="133"/>
      <c r="F1090" s="133"/>
      <c r="G1090" s="133"/>
      <c r="H1090" s="133"/>
      <c r="I1090" s="133"/>
      <c r="J1090" s="133"/>
      <c r="K1090" s="133"/>
      <c r="L1090" s="133"/>
      <c r="NW1090" s="6"/>
      <c r="NX1090" s="6"/>
      <c r="NY1090" s="6"/>
      <c r="NZ1090" s="6"/>
      <c r="OA1090" s="6"/>
      <c r="OB1090" s="46"/>
      <c r="OC1090" s="4"/>
      <c r="OD1090" s="6"/>
    </row>
    <row r="1091" spans="1:394" x14ac:dyDescent="0.25">
      <c r="A1091" s="47"/>
      <c r="B1091" s="48"/>
      <c r="C1091" s="133"/>
      <c r="D1091" s="133"/>
      <c r="E1091" s="133"/>
      <c r="F1091" s="133"/>
      <c r="G1091" s="133"/>
      <c r="H1091" s="133"/>
      <c r="I1091" s="133"/>
      <c r="J1091" s="133"/>
      <c r="K1091" s="133"/>
      <c r="L1091" s="133"/>
      <c r="NW1091" s="6"/>
      <c r="NX1091" s="6"/>
      <c r="NY1091" s="6"/>
      <c r="NZ1091" s="6"/>
      <c r="OA1091" s="6"/>
      <c r="OB1091" s="46"/>
      <c r="OC1091" s="4"/>
      <c r="OD1091" s="6"/>
    </row>
    <row r="1092" spans="1:394" x14ac:dyDescent="0.25">
      <c r="A1092" s="47"/>
      <c r="B1092" s="48"/>
      <c r="C1092" s="133"/>
      <c r="D1092" s="133"/>
      <c r="E1092" s="133"/>
      <c r="F1092" s="133"/>
      <c r="G1092" s="133"/>
      <c r="H1092" s="133"/>
      <c r="I1092" s="133"/>
      <c r="J1092" s="133"/>
      <c r="K1092" s="133"/>
      <c r="L1092" s="133"/>
      <c r="NW1092" s="6"/>
      <c r="NX1092" s="6"/>
      <c r="NY1092" s="6"/>
      <c r="NZ1092" s="6"/>
      <c r="OA1092" s="6"/>
      <c r="OB1092" s="46"/>
      <c r="OC1092" s="4"/>
      <c r="OD1092" s="6"/>
    </row>
    <row r="1093" spans="1:394" x14ac:dyDescent="0.25">
      <c r="A1093" s="47"/>
      <c r="B1093" s="48"/>
      <c r="C1093" s="133"/>
      <c r="D1093" s="133"/>
      <c r="E1093" s="133"/>
      <c r="F1093" s="133"/>
      <c r="G1093" s="133"/>
      <c r="H1093" s="133"/>
      <c r="I1093" s="133"/>
      <c r="J1093" s="133"/>
      <c r="K1093" s="133"/>
      <c r="L1093" s="133"/>
      <c r="NW1093" s="6"/>
      <c r="NX1093" s="6"/>
      <c r="NY1093" s="6"/>
      <c r="NZ1093" s="6"/>
      <c r="OA1093" s="6"/>
      <c r="OB1093" s="46"/>
      <c r="OC1093" s="4"/>
      <c r="OD1093" s="6"/>
    </row>
    <row r="1094" spans="1:394" x14ac:dyDescent="0.25">
      <c r="A1094" s="47"/>
      <c r="B1094" s="48"/>
      <c r="C1094" s="133"/>
      <c r="D1094" s="133"/>
      <c r="E1094" s="133"/>
      <c r="F1094" s="133"/>
      <c r="G1094" s="133"/>
      <c r="H1094" s="133"/>
      <c r="I1094" s="133"/>
      <c r="J1094" s="133"/>
      <c r="K1094" s="133"/>
      <c r="L1094" s="133"/>
      <c r="NW1094" s="6"/>
      <c r="NX1094" s="6"/>
      <c r="NY1094" s="6"/>
      <c r="NZ1094" s="6"/>
      <c r="OA1094" s="6"/>
      <c r="OB1094" s="46"/>
      <c r="OC1094" s="4"/>
      <c r="OD1094" s="6"/>
    </row>
    <row r="1095" spans="1:394" x14ac:dyDescent="0.25">
      <c r="A1095" s="47"/>
      <c r="B1095" s="48"/>
      <c r="C1095" s="133"/>
      <c r="D1095" s="133"/>
      <c r="E1095" s="133"/>
      <c r="F1095" s="133"/>
      <c r="G1095" s="133"/>
      <c r="H1095" s="133"/>
      <c r="I1095" s="133"/>
      <c r="J1095" s="133"/>
      <c r="K1095" s="133"/>
      <c r="L1095" s="133"/>
      <c r="NW1095" s="6"/>
      <c r="NX1095" s="6"/>
      <c r="NY1095" s="6"/>
      <c r="NZ1095" s="6"/>
      <c r="OA1095" s="6"/>
      <c r="OB1095" s="46"/>
      <c r="OC1095" s="4"/>
      <c r="OD1095" s="6"/>
    </row>
    <row r="1096" spans="1:394" x14ac:dyDescent="0.25">
      <c r="A1096" s="47"/>
      <c r="B1096" s="48"/>
      <c r="C1096" s="133"/>
      <c r="D1096" s="133"/>
      <c r="E1096" s="133"/>
      <c r="F1096" s="133"/>
      <c r="G1096" s="133"/>
      <c r="H1096" s="133"/>
      <c r="I1096" s="133"/>
      <c r="J1096" s="133"/>
      <c r="K1096" s="133"/>
      <c r="L1096" s="133"/>
      <c r="NW1096" s="6"/>
      <c r="NX1096" s="6"/>
      <c r="NY1096" s="6"/>
      <c r="NZ1096" s="6"/>
      <c r="OA1096" s="6"/>
      <c r="OB1096" s="46"/>
      <c r="OC1096" s="4"/>
      <c r="OD1096" s="6"/>
    </row>
    <row r="1097" spans="1:394" x14ac:dyDescent="0.25">
      <c r="A1097" s="47"/>
      <c r="B1097" s="48"/>
      <c r="C1097" s="133"/>
      <c r="D1097" s="133"/>
      <c r="E1097" s="133"/>
      <c r="F1097" s="133"/>
      <c r="G1097" s="133"/>
      <c r="H1097" s="133"/>
      <c r="I1097" s="133"/>
      <c r="J1097" s="133"/>
      <c r="K1097" s="133"/>
      <c r="L1097" s="133"/>
      <c r="NW1097" s="6"/>
      <c r="NX1097" s="6"/>
      <c r="NY1097" s="6"/>
      <c r="NZ1097" s="6"/>
      <c r="OA1097" s="6"/>
      <c r="OB1097" s="46"/>
      <c r="OC1097" s="4"/>
      <c r="OD1097" s="6"/>
    </row>
    <row r="1098" spans="1:394" x14ac:dyDescent="0.25">
      <c r="A1098" s="47"/>
      <c r="B1098" s="48"/>
      <c r="C1098" s="133"/>
      <c r="D1098" s="133"/>
      <c r="E1098" s="133"/>
      <c r="F1098" s="133"/>
      <c r="G1098" s="133"/>
      <c r="H1098" s="133"/>
      <c r="I1098" s="133"/>
      <c r="J1098" s="133"/>
      <c r="K1098" s="133"/>
      <c r="L1098" s="133"/>
      <c r="NW1098" s="6"/>
      <c r="NX1098" s="6"/>
      <c r="NY1098" s="6"/>
      <c r="NZ1098" s="6"/>
      <c r="OA1098" s="6"/>
      <c r="OB1098" s="46"/>
      <c r="OC1098" s="4"/>
      <c r="OD1098" s="6"/>
    </row>
    <row r="1099" spans="1:394" x14ac:dyDescent="0.25">
      <c r="A1099" s="47"/>
      <c r="B1099" s="48"/>
      <c r="C1099" s="133"/>
      <c r="D1099" s="133"/>
      <c r="E1099" s="133"/>
      <c r="F1099" s="133"/>
      <c r="G1099" s="133"/>
      <c r="H1099" s="133"/>
      <c r="I1099" s="133"/>
      <c r="J1099" s="133"/>
      <c r="K1099" s="133"/>
      <c r="L1099" s="133"/>
      <c r="NW1099" s="6"/>
      <c r="NX1099" s="6"/>
      <c r="NY1099" s="6"/>
      <c r="NZ1099" s="6"/>
      <c r="OA1099" s="6"/>
      <c r="OB1099" s="46"/>
      <c r="OC1099" s="4"/>
      <c r="OD1099" s="6"/>
    </row>
    <row r="1100" spans="1:394" x14ac:dyDescent="0.25">
      <c r="A1100" s="47"/>
      <c r="B1100" s="48"/>
      <c r="C1100" s="133"/>
      <c r="D1100" s="133"/>
      <c r="E1100" s="133"/>
      <c r="F1100" s="133"/>
      <c r="G1100" s="133"/>
      <c r="H1100" s="133"/>
      <c r="I1100" s="133"/>
      <c r="J1100" s="133"/>
      <c r="K1100" s="133"/>
      <c r="L1100" s="133"/>
      <c r="NW1100" s="6"/>
      <c r="NX1100" s="6"/>
      <c r="NY1100" s="6"/>
      <c r="NZ1100" s="6"/>
      <c r="OA1100" s="6"/>
      <c r="OB1100" s="46"/>
      <c r="OC1100" s="4"/>
      <c r="OD1100" s="6"/>
    </row>
    <row r="1101" spans="1:394" x14ac:dyDescent="0.25">
      <c r="A1101" s="47"/>
      <c r="B1101" s="48"/>
      <c r="C1101" s="133"/>
      <c r="D1101" s="133"/>
      <c r="E1101" s="133"/>
      <c r="F1101" s="133"/>
      <c r="G1101" s="133"/>
      <c r="H1101" s="133"/>
      <c r="I1101" s="133"/>
      <c r="J1101" s="133"/>
      <c r="K1101" s="133"/>
      <c r="L1101" s="133"/>
      <c r="NW1101" s="6"/>
      <c r="NX1101" s="6"/>
      <c r="NY1101" s="6"/>
      <c r="NZ1101" s="6"/>
      <c r="OA1101" s="6"/>
      <c r="OB1101" s="46"/>
      <c r="OC1101" s="4"/>
      <c r="OD1101" s="6"/>
    </row>
    <row r="1102" spans="1:394" x14ac:dyDescent="0.25">
      <c r="A1102" s="47"/>
      <c r="B1102" s="48"/>
      <c r="C1102" s="133"/>
      <c r="D1102" s="133"/>
      <c r="E1102" s="133"/>
      <c r="F1102" s="133"/>
      <c r="G1102" s="133"/>
      <c r="H1102" s="133"/>
      <c r="I1102" s="133"/>
      <c r="J1102" s="133"/>
      <c r="K1102" s="133"/>
      <c r="L1102" s="133"/>
      <c r="NW1102" s="6"/>
      <c r="NX1102" s="6"/>
      <c r="NY1102" s="6"/>
      <c r="NZ1102" s="6"/>
      <c r="OA1102" s="6"/>
      <c r="OB1102" s="46"/>
      <c r="OC1102" s="4"/>
      <c r="OD1102" s="6"/>
    </row>
    <row r="1103" spans="1:394" x14ac:dyDescent="0.25">
      <c r="A1103" s="47"/>
      <c r="B1103" s="48"/>
      <c r="C1103" s="133"/>
      <c r="D1103" s="133"/>
      <c r="E1103" s="133"/>
      <c r="F1103" s="133"/>
      <c r="G1103" s="133"/>
      <c r="H1103" s="133"/>
      <c r="I1103" s="133"/>
      <c r="J1103" s="133"/>
      <c r="K1103" s="133"/>
      <c r="L1103" s="133"/>
      <c r="NW1103" s="6"/>
      <c r="NX1103" s="6"/>
      <c r="NY1103" s="6"/>
      <c r="NZ1103" s="6"/>
      <c r="OA1103" s="6"/>
      <c r="OB1103" s="46"/>
      <c r="OC1103" s="4"/>
      <c r="OD1103" s="6"/>
    </row>
    <row r="1104" spans="1:394" x14ac:dyDescent="0.25">
      <c r="A1104" s="47"/>
      <c r="B1104" s="48"/>
      <c r="C1104" s="133"/>
      <c r="D1104" s="133"/>
      <c r="E1104" s="133"/>
      <c r="F1104" s="133"/>
      <c r="G1104" s="133"/>
      <c r="H1104" s="133"/>
      <c r="I1104" s="133"/>
      <c r="J1104" s="133"/>
      <c r="K1104" s="133"/>
      <c r="L1104" s="133"/>
      <c r="NW1104" s="6"/>
      <c r="NX1104" s="6"/>
      <c r="NY1104" s="6"/>
      <c r="NZ1104" s="6"/>
      <c r="OA1104" s="6"/>
      <c r="OB1104" s="46"/>
      <c r="OC1104" s="4"/>
      <c r="OD1104" s="6"/>
    </row>
    <row r="1105" spans="1:394" x14ac:dyDescent="0.25">
      <c r="A1105" s="47"/>
      <c r="B1105" s="48"/>
      <c r="C1105" s="133"/>
      <c r="D1105" s="133"/>
      <c r="E1105" s="133"/>
      <c r="F1105" s="133"/>
      <c r="G1105" s="133"/>
      <c r="H1105" s="133"/>
      <c r="I1105" s="133"/>
      <c r="J1105" s="133"/>
      <c r="K1105" s="133"/>
      <c r="L1105" s="133"/>
      <c r="NW1105" s="6"/>
      <c r="NX1105" s="6"/>
      <c r="NY1105" s="6"/>
      <c r="NZ1105" s="6"/>
      <c r="OA1105" s="6"/>
      <c r="OB1105" s="46"/>
      <c r="OC1105" s="4"/>
      <c r="OD1105" s="6"/>
    </row>
    <row r="1106" spans="1:394" x14ac:dyDescent="0.25">
      <c r="A1106" s="47"/>
      <c r="B1106" s="48"/>
      <c r="C1106" s="133"/>
      <c r="D1106" s="133"/>
      <c r="E1106" s="133"/>
      <c r="F1106" s="133"/>
      <c r="G1106" s="133"/>
      <c r="H1106" s="133"/>
      <c r="I1106" s="133"/>
      <c r="J1106" s="133"/>
      <c r="K1106" s="133"/>
      <c r="L1106" s="133"/>
      <c r="NW1106" s="6"/>
      <c r="NX1106" s="6"/>
      <c r="NY1106" s="6"/>
      <c r="NZ1106" s="6"/>
      <c r="OA1106" s="6"/>
      <c r="OB1106" s="46"/>
      <c r="OC1106" s="4"/>
      <c r="OD1106" s="6"/>
    </row>
    <row r="1107" spans="1:394" x14ac:dyDescent="0.25">
      <c r="A1107" s="47"/>
      <c r="B1107" s="48"/>
      <c r="C1107" s="133"/>
      <c r="D1107" s="133"/>
      <c r="E1107" s="133"/>
      <c r="F1107" s="133"/>
      <c r="G1107" s="133"/>
      <c r="H1107" s="133"/>
      <c r="I1107" s="133"/>
      <c r="J1107" s="133"/>
      <c r="K1107" s="133"/>
      <c r="L1107" s="133"/>
      <c r="NW1107" s="6"/>
      <c r="NX1107" s="6"/>
      <c r="NY1107" s="6"/>
      <c r="NZ1107" s="6"/>
      <c r="OA1107" s="6"/>
      <c r="OB1107" s="46"/>
      <c r="OC1107" s="4"/>
      <c r="OD1107" s="6"/>
    </row>
    <row r="1108" spans="1:394" x14ac:dyDescent="0.25">
      <c r="A1108" s="47"/>
      <c r="B1108" s="48"/>
      <c r="C1108" s="133"/>
      <c r="D1108" s="133"/>
      <c r="E1108" s="133"/>
      <c r="F1108" s="133"/>
      <c r="G1108" s="133"/>
      <c r="H1108" s="133"/>
      <c r="I1108" s="133"/>
      <c r="J1108" s="133"/>
      <c r="K1108" s="133"/>
      <c r="L1108" s="133"/>
      <c r="NW1108" s="6"/>
      <c r="NX1108" s="6"/>
      <c r="NY1108" s="6"/>
      <c r="NZ1108" s="6"/>
      <c r="OA1108" s="6"/>
      <c r="OB1108" s="46"/>
      <c r="OC1108" s="4"/>
      <c r="OD1108" s="6"/>
    </row>
    <row r="1109" spans="1:394" x14ac:dyDescent="0.25">
      <c r="A1109" s="47"/>
      <c r="B1109" s="48"/>
      <c r="C1109" s="133"/>
      <c r="D1109" s="133"/>
      <c r="E1109" s="133"/>
      <c r="F1109" s="133"/>
      <c r="G1109" s="133"/>
      <c r="H1109" s="133"/>
      <c r="I1109" s="133"/>
      <c r="J1109" s="133"/>
      <c r="K1109" s="133"/>
      <c r="L1109" s="133"/>
      <c r="NW1109" s="6"/>
      <c r="NX1109" s="6"/>
      <c r="NY1109" s="6"/>
      <c r="NZ1109" s="6"/>
      <c r="OA1109" s="6"/>
      <c r="OB1109" s="46"/>
      <c r="OC1109" s="4"/>
      <c r="OD1109" s="6"/>
    </row>
    <row r="1110" spans="1:394" x14ac:dyDescent="0.25">
      <c r="A1110" s="47"/>
      <c r="B1110" s="48"/>
      <c r="C1110" s="133"/>
      <c r="D1110" s="133"/>
      <c r="E1110" s="133"/>
      <c r="F1110" s="133"/>
      <c r="G1110" s="133"/>
      <c r="H1110" s="133"/>
      <c r="I1110" s="133"/>
      <c r="J1110" s="133"/>
      <c r="K1110" s="133"/>
      <c r="L1110" s="133"/>
      <c r="NW1110" s="6"/>
      <c r="NX1110" s="6"/>
      <c r="NY1110" s="6"/>
      <c r="NZ1110" s="6"/>
      <c r="OA1110" s="6"/>
      <c r="OB1110" s="46"/>
      <c r="OC1110" s="4"/>
      <c r="OD1110" s="6"/>
    </row>
    <row r="1111" spans="1:394" x14ac:dyDescent="0.25">
      <c r="A1111" s="47"/>
      <c r="B1111" s="48"/>
      <c r="C1111" s="133"/>
      <c r="D1111" s="133"/>
      <c r="E1111" s="133"/>
      <c r="F1111" s="133"/>
      <c r="G1111" s="133"/>
      <c r="H1111" s="133"/>
      <c r="I1111" s="133"/>
      <c r="J1111" s="133"/>
      <c r="K1111" s="133"/>
      <c r="L1111" s="133"/>
      <c r="NW1111" s="6"/>
      <c r="NX1111" s="6"/>
      <c r="NY1111" s="6"/>
      <c r="NZ1111" s="6"/>
      <c r="OA1111" s="6"/>
      <c r="OB1111" s="46"/>
      <c r="OC1111" s="4"/>
      <c r="OD1111" s="6"/>
    </row>
    <row r="1112" spans="1:394" x14ac:dyDescent="0.25">
      <c r="A1112" s="47"/>
      <c r="B1112" s="48"/>
      <c r="C1112" s="133"/>
      <c r="D1112" s="133"/>
      <c r="E1112" s="133"/>
      <c r="F1112" s="133"/>
      <c r="G1112" s="133"/>
      <c r="H1112" s="133"/>
      <c r="I1112" s="133"/>
      <c r="J1112" s="133"/>
      <c r="K1112" s="133"/>
      <c r="L1112" s="133"/>
      <c r="NW1112" s="6"/>
      <c r="NX1112" s="6"/>
      <c r="NY1112" s="6"/>
      <c r="NZ1112" s="6"/>
      <c r="OA1112" s="6"/>
      <c r="OB1112" s="46"/>
      <c r="OC1112" s="4"/>
      <c r="OD1112" s="6"/>
    </row>
    <row r="1113" spans="1:394" x14ac:dyDescent="0.25">
      <c r="A1113" s="47"/>
      <c r="B1113" s="48"/>
      <c r="C1113" s="133"/>
      <c r="D1113" s="133"/>
      <c r="E1113" s="133"/>
      <c r="F1113" s="133"/>
      <c r="G1113" s="133"/>
      <c r="H1113" s="133"/>
      <c r="I1113" s="133"/>
      <c r="J1113" s="133"/>
      <c r="K1113" s="133"/>
      <c r="L1113" s="133"/>
      <c r="NW1113" s="6"/>
      <c r="NX1113" s="6"/>
      <c r="NY1113" s="6"/>
      <c r="NZ1113" s="6"/>
      <c r="OA1113" s="6"/>
      <c r="OB1113" s="46"/>
      <c r="OC1113" s="4"/>
      <c r="OD1113" s="6"/>
    </row>
    <row r="1114" spans="1:394" x14ac:dyDescent="0.25">
      <c r="A1114" s="47"/>
      <c r="B1114" s="48"/>
      <c r="C1114" s="133"/>
      <c r="D1114" s="133"/>
      <c r="E1114" s="133"/>
      <c r="F1114" s="133"/>
      <c r="G1114" s="133"/>
      <c r="H1114" s="133"/>
      <c r="I1114" s="133"/>
      <c r="J1114" s="133"/>
      <c r="K1114" s="133"/>
      <c r="L1114" s="133"/>
      <c r="NW1114" s="6"/>
      <c r="NX1114" s="6"/>
      <c r="NY1114" s="6"/>
      <c r="NZ1114" s="6"/>
      <c r="OA1114" s="6"/>
      <c r="OB1114" s="46"/>
      <c r="OC1114" s="4"/>
      <c r="OD1114" s="6"/>
    </row>
    <row r="1115" spans="1:394" x14ac:dyDescent="0.25">
      <c r="A1115" s="47"/>
      <c r="B1115" s="48"/>
      <c r="C1115" s="133"/>
      <c r="D1115" s="133"/>
      <c r="E1115" s="133"/>
      <c r="F1115" s="133"/>
      <c r="G1115" s="133"/>
      <c r="H1115" s="133"/>
      <c r="I1115" s="133"/>
      <c r="J1115" s="133"/>
      <c r="K1115" s="133"/>
      <c r="L1115" s="133"/>
      <c r="NW1115" s="6"/>
      <c r="NX1115" s="6"/>
      <c r="NY1115" s="6"/>
      <c r="NZ1115" s="6"/>
      <c r="OA1115" s="6"/>
      <c r="OB1115" s="46"/>
      <c r="OC1115" s="4"/>
      <c r="OD1115" s="6"/>
    </row>
    <row r="1116" spans="1:394" x14ac:dyDescent="0.25">
      <c r="A1116" s="47"/>
      <c r="B1116" s="48"/>
      <c r="C1116" s="133"/>
      <c r="D1116" s="133"/>
      <c r="E1116" s="133"/>
      <c r="F1116" s="133"/>
      <c r="G1116" s="133"/>
      <c r="H1116" s="133"/>
      <c r="I1116" s="133"/>
      <c r="J1116" s="133"/>
      <c r="K1116" s="133"/>
      <c r="L1116" s="133"/>
      <c r="NW1116" s="6"/>
      <c r="NX1116" s="6"/>
      <c r="NY1116" s="6"/>
      <c r="NZ1116" s="6"/>
      <c r="OA1116" s="6"/>
      <c r="OB1116" s="46"/>
      <c r="OC1116" s="4"/>
      <c r="OD1116" s="6"/>
    </row>
    <row r="1117" spans="1:394" x14ac:dyDescent="0.25">
      <c r="A1117" s="47"/>
      <c r="B1117" s="48"/>
      <c r="C1117" s="133"/>
      <c r="D1117" s="133"/>
      <c r="E1117" s="133"/>
      <c r="F1117" s="133"/>
      <c r="G1117" s="133"/>
      <c r="H1117" s="133"/>
      <c r="I1117" s="133"/>
      <c r="J1117" s="133"/>
      <c r="K1117" s="133"/>
      <c r="L1117" s="133"/>
      <c r="NW1117" s="6"/>
      <c r="NX1117" s="6"/>
      <c r="NY1117" s="6"/>
      <c r="NZ1117" s="6"/>
      <c r="OA1117" s="6"/>
      <c r="OB1117" s="46"/>
      <c r="OC1117" s="4"/>
      <c r="OD1117" s="6"/>
    </row>
    <row r="1118" spans="1:394" x14ac:dyDescent="0.25">
      <c r="A1118" s="47"/>
      <c r="B1118" s="48"/>
      <c r="C1118" s="133"/>
      <c r="D1118" s="133"/>
      <c r="E1118" s="133"/>
      <c r="F1118" s="133"/>
      <c r="G1118" s="133"/>
      <c r="H1118" s="133"/>
      <c r="I1118" s="133"/>
      <c r="J1118" s="133"/>
      <c r="K1118" s="133"/>
      <c r="L1118" s="133"/>
      <c r="NW1118" s="6"/>
      <c r="NX1118" s="6"/>
      <c r="NY1118" s="6"/>
      <c r="NZ1118" s="6"/>
      <c r="OA1118" s="6"/>
      <c r="OB1118" s="46"/>
      <c r="OC1118" s="4"/>
      <c r="OD1118" s="6"/>
    </row>
    <row r="1119" spans="1:394" x14ac:dyDescent="0.25">
      <c r="A1119" s="47"/>
      <c r="B1119" s="48"/>
      <c r="C1119" s="133"/>
      <c r="D1119" s="133"/>
      <c r="E1119" s="133"/>
      <c r="F1119" s="133"/>
      <c r="G1119" s="133"/>
      <c r="H1119" s="133"/>
      <c r="I1119" s="133"/>
      <c r="J1119" s="133"/>
      <c r="K1119" s="133"/>
      <c r="L1119" s="133"/>
      <c r="NW1119" s="6"/>
      <c r="NX1119" s="6"/>
      <c r="NY1119" s="6"/>
      <c r="NZ1119" s="6"/>
      <c r="OA1119" s="6"/>
      <c r="OB1119" s="46"/>
      <c r="OC1119" s="4"/>
      <c r="OD1119" s="6"/>
    </row>
    <row r="1120" spans="1:394" x14ac:dyDescent="0.25">
      <c r="A1120" s="47"/>
      <c r="B1120" s="48"/>
      <c r="C1120" s="133"/>
      <c r="D1120" s="133"/>
      <c r="E1120" s="133"/>
      <c r="F1120" s="133"/>
      <c r="G1120" s="133"/>
      <c r="H1120" s="133"/>
      <c r="I1120" s="133"/>
      <c r="J1120" s="133"/>
      <c r="K1120" s="133"/>
      <c r="L1120" s="133"/>
      <c r="NW1120" s="6"/>
      <c r="NX1120" s="6"/>
      <c r="NY1120" s="6"/>
      <c r="NZ1120" s="6"/>
      <c r="OA1120" s="6"/>
      <c r="OB1120" s="46"/>
      <c r="OC1120" s="4"/>
      <c r="OD1120" s="6"/>
    </row>
    <row r="1121" spans="1:394" x14ac:dyDescent="0.25">
      <c r="A1121" s="47"/>
      <c r="B1121" s="48"/>
      <c r="C1121" s="133"/>
      <c r="D1121" s="133"/>
      <c r="E1121" s="133"/>
      <c r="F1121" s="133"/>
      <c r="G1121" s="133"/>
      <c r="H1121" s="133"/>
      <c r="I1121" s="133"/>
      <c r="J1121" s="133"/>
      <c r="K1121" s="133"/>
      <c r="L1121" s="133"/>
      <c r="NW1121" s="6"/>
      <c r="NX1121" s="6"/>
      <c r="NY1121" s="6"/>
      <c r="NZ1121" s="6"/>
      <c r="OA1121" s="6"/>
      <c r="OB1121" s="46"/>
      <c r="OC1121" s="4"/>
      <c r="OD1121" s="6"/>
    </row>
    <row r="1122" spans="1:394" x14ac:dyDescent="0.25">
      <c r="A1122" s="47"/>
      <c r="B1122" s="48"/>
      <c r="C1122" s="133"/>
      <c r="D1122" s="133"/>
      <c r="E1122" s="133"/>
      <c r="F1122" s="133"/>
      <c r="G1122" s="133"/>
      <c r="H1122" s="133"/>
      <c r="I1122" s="133"/>
      <c r="J1122" s="133"/>
      <c r="K1122" s="133"/>
      <c r="L1122" s="133"/>
      <c r="NW1122" s="6"/>
      <c r="NX1122" s="6"/>
      <c r="NY1122" s="6"/>
      <c r="NZ1122" s="6"/>
      <c r="OA1122" s="6"/>
      <c r="OB1122" s="46"/>
      <c r="OC1122" s="4"/>
      <c r="OD1122" s="6"/>
    </row>
    <row r="1123" spans="1:394" x14ac:dyDescent="0.25">
      <c r="A1123" s="47"/>
      <c r="B1123" s="48"/>
      <c r="C1123" s="133"/>
      <c r="D1123" s="133"/>
      <c r="E1123" s="133"/>
      <c r="F1123" s="133"/>
      <c r="G1123" s="133"/>
      <c r="H1123" s="133"/>
      <c r="I1123" s="133"/>
      <c r="J1123" s="133"/>
      <c r="K1123" s="133"/>
      <c r="L1123" s="133"/>
      <c r="NW1123" s="6"/>
      <c r="NX1123" s="6"/>
      <c r="NY1123" s="6"/>
      <c r="NZ1123" s="6"/>
      <c r="OA1123" s="6"/>
      <c r="OB1123" s="46"/>
      <c r="OC1123" s="4"/>
      <c r="OD1123" s="6"/>
    </row>
    <row r="1124" spans="1:394" x14ac:dyDescent="0.25">
      <c r="A1124" s="47"/>
      <c r="B1124" s="48"/>
      <c r="C1124" s="133"/>
      <c r="D1124" s="133"/>
      <c r="E1124" s="133"/>
      <c r="F1124" s="133"/>
      <c r="G1124" s="133"/>
      <c r="H1124" s="133"/>
      <c r="I1124" s="133"/>
      <c r="J1124" s="133"/>
      <c r="K1124" s="133"/>
      <c r="L1124" s="133"/>
      <c r="NW1124" s="6"/>
      <c r="NX1124" s="6"/>
      <c r="NY1124" s="6"/>
      <c r="NZ1124" s="6"/>
      <c r="OA1124" s="6"/>
      <c r="OB1124" s="46"/>
      <c r="OC1124" s="4"/>
      <c r="OD1124" s="6"/>
    </row>
    <row r="1125" spans="1:394" x14ac:dyDescent="0.25">
      <c r="A1125" s="47"/>
      <c r="B1125" s="48"/>
      <c r="C1125" s="133"/>
      <c r="D1125" s="133"/>
      <c r="E1125" s="133"/>
      <c r="F1125" s="133"/>
      <c r="G1125" s="133"/>
      <c r="H1125" s="133"/>
      <c r="I1125" s="133"/>
      <c r="J1125" s="133"/>
      <c r="K1125" s="133"/>
      <c r="L1125" s="133"/>
      <c r="NW1125" s="6"/>
      <c r="NX1125" s="6"/>
      <c r="NY1125" s="6"/>
      <c r="NZ1125" s="6"/>
      <c r="OA1125" s="6"/>
      <c r="OB1125" s="46"/>
      <c r="OC1125" s="4"/>
      <c r="OD1125" s="6"/>
    </row>
    <row r="1126" spans="1:394" x14ac:dyDescent="0.25">
      <c r="A1126" s="47"/>
      <c r="B1126" s="48"/>
      <c r="C1126" s="133"/>
      <c r="D1126" s="133"/>
      <c r="E1126" s="133"/>
      <c r="F1126" s="133"/>
      <c r="G1126" s="133"/>
      <c r="H1126" s="133"/>
      <c r="I1126" s="133"/>
      <c r="J1126" s="133"/>
      <c r="K1126" s="133"/>
      <c r="L1126" s="133"/>
      <c r="NW1126" s="6"/>
      <c r="NX1126" s="6"/>
      <c r="NY1126" s="6"/>
      <c r="NZ1126" s="6"/>
      <c r="OA1126" s="6"/>
      <c r="OB1126" s="46"/>
      <c r="OC1126" s="4"/>
      <c r="OD1126" s="6"/>
    </row>
    <row r="1127" spans="1:394" x14ac:dyDescent="0.25">
      <c r="A1127" s="47"/>
      <c r="B1127" s="48"/>
      <c r="C1127" s="133"/>
      <c r="D1127" s="133"/>
      <c r="E1127" s="133"/>
      <c r="F1127" s="133"/>
      <c r="G1127" s="133"/>
      <c r="H1127" s="133"/>
      <c r="I1127" s="133"/>
      <c r="J1127" s="133"/>
      <c r="K1127" s="133"/>
      <c r="L1127" s="133"/>
      <c r="NW1127" s="6"/>
      <c r="NX1127" s="6"/>
      <c r="NY1127" s="6"/>
      <c r="NZ1127" s="6"/>
      <c r="OA1127" s="6"/>
      <c r="OB1127" s="46"/>
      <c r="OC1127" s="4"/>
      <c r="OD1127" s="6"/>
    </row>
    <row r="1128" spans="1:394" x14ac:dyDescent="0.25">
      <c r="A1128" s="47"/>
      <c r="B1128" s="48"/>
      <c r="C1128" s="133"/>
      <c r="D1128" s="133"/>
      <c r="E1128" s="133"/>
      <c r="F1128" s="133"/>
      <c r="G1128" s="133"/>
      <c r="H1128" s="133"/>
      <c r="I1128" s="133"/>
      <c r="J1128" s="133"/>
      <c r="K1128" s="133"/>
      <c r="L1128" s="133"/>
      <c r="NW1128" s="6"/>
      <c r="NX1128" s="6"/>
      <c r="NY1128" s="6"/>
      <c r="NZ1128" s="6"/>
      <c r="OA1128" s="6"/>
      <c r="OB1128" s="46"/>
      <c r="OC1128" s="4"/>
      <c r="OD1128" s="6"/>
    </row>
    <row r="1129" spans="1:394" x14ac:dyDescent="0.25">
      <c r="A1129" s="47"/>
      <c r="B1129" s="48"/>
      <c r="C1129" s="133"/>
      <c r="D1129" s="133"/>
      <c r="E1129" s="133"/>
      <c r="F1129" s="133"/>
      <c r="G1129" s="133"/>
      <c r="H1129" s="133"/>
      <c r="I1129" s="133"/>
      <c r="J1129" s="133"/>
      <c r="K1129" s="133"/>
      <c r="L1129" s="133"/>
      <c r="NW1129" s="6"/>
      <c r="NX1129" s="6"/>
      <c r="NY1129" s="6"/>
      <c r="NZ1129" s="6"/>
      <c r="OA1129" s="6"/>
      <c r="OB1129" s="46"/>
      <c r="OC1129" s="4"/>
      <c r="OD1129" s="6"/>
    </row>
    <row r="1130" spans="1:394" x14ac:dyDescent="0.25">
      <c r="A1130" s="47"/>
      <c r="B1130" s="48"/>
      <c r="C1130" s="133"/>
      <c r="D1130" s="133"/>
      <c r="E1130" s="133"/>
      <c r="F1130" s="133"/>
      <c r="G1130" s="133"/>
      <c r="H1130" s="133"/>
      <c r="I1130" s="133"/>
      <c r="J1130" s="133"/>
      <c r="K1130" s="133"/>
      <c r="L1130" s="133"/>
      <c r="NW1130" s="6"/>
      <c r="NX1130" s="6"/>
      <c r="NY1130" s="6"/>
      <c r="NZ1130" s="6"/>
      <c r="OA1130" s="6"/>
      <c r="OB1130" s="46"/>
      <c r="OC1130" s="4"/>
      <c r="OD1130" s="6"/>
    </row>
    <row r="1131" spans="1:394" x14ac:dyDescent="0.25">
      <c r="A1131" s="47"/>
      <c r="B1131" s="48"/>
      <c r="C1131" s="133"/>
      <c r="D1131" s="133"/>
      <c r="E1131" s="133"/>
      <c r="F1131" s="133"/>
      <c r="G1131" s="133"/>
      <c r="H1131" s="133"/>
      <c r="I1131" s="133"/>
      <c r="J1131" s="133"/>
      <c r="K1131" s="133"/>
      <c r="L1131" s="133"/>
      <c r="NW1131" s="6"/>
      <c r="NX1131" s="6"/>
      <c r="NY1131" s="6"/>
      <c r="NZ1131" s="6"/>
      <c r="OA1131" s="6"/>
      <c r="OB1131" s="46"/>
      <c r="OC1131" s="4"/>
      <c r="OD1131" s="6"/>
    </row>
    <row r="1132" spans="1:394" x14ac:dyDescent="0.25">
      <c r="A1132" s="47"/>
      <c r="B1132" s="48"/>
      <c r="C1132" s="133"/>
      <c r="D1132" s="133"/>
      <c r="E1132" s="133"/>
      <c r="F1132" s="133"/>
      <c r="G1132" s="133"/>
      <c r="H1132" s="133"/>
      <c r="I1132" s="133"/>
      <c r="J1132" s="133"/>
      <c r="K1132" s="133"/>
      <c r="L1132" s="133"/>
      <c r="NW1132" s="6"/>
      <c r="NX1132" s="6"/>
      <c r="NY1132" s="6"/>
      <c r="NZ1132" s="6"/>
      <c r="OA1132" s="6"/>
      <c r="OB1132" s="46"/>
      <c r="OC1132" s="4"/>
      <c r="OD1132" s="6"/>
    </row>
    <row r="1133" spans="1:394" x14ac:dyDescent="0.25">
      <c r="A1133" s="47"/>
      <c r="B1133" s="48"/>
      <c r="C1133" s="133"/>
      <c r="D1133" s="133"/>
      <c r="E1133" s="133"/>
      <c r="F1133" s="133"/>
      <c r="G1133" s="133"/>
      <c r="H1133" s="133"/>
      <c r="I1133" s="133"/>
      <c r="J1133" s="133"/>
      <c r="K1133" s="133"/>
      <c r="L1133" s="133"/>
      <c r="NW1133" s="6"/>
      <c r="NX1133" s="6"/>
      <c r="NY1133" s="6"/>
      <c r="NZ1133" s="6"/>
      <c r="OA1133" s="6"/>
      <c r="OB1133" s="46"/>
      <c r="OC1133" s="4"/>
      <c r="OD1133" s="6"/>
    </row>
    <row r="1134" spans="1:394" x14ac:dyDescent="0.25">
      <c r="A1134" s="47"/>
      <c r="B1134" s="48"/>
      <c r="C1134" s="133"/>
      <c r="D1134" s="133"/>
      <c r="E1134" s="133"/>
      <c r="F1134" s="133"/>
      <c r="G1134" s="133"/>
      <c r="H1134" s="133"/>
      <c r="I1134" s="133"/>
      <c r="J1134" s="133"/>
      <c r="K1134" s="133"/>
      <c r="L1134" s="133"/>
      <c r="NW1134" s="6"/>
      <c r="NX1134" s="6"/>
      <c r="NY1134" s="6"/>
      <c r="NZ1134" s="6"/>
      <c r="OA1134" s="6"/>
      <c r="OB1134" s="46"/>
      <c r="OC1134" s="4"/>
      <c r="OD1134" s="6"/>
    </row>
    <row r="1135" spans="1:394" x14ac:dyDescent="0.25">
      <c r="A1135" s="47"/>
      <c r="B1135" s="48"/>
      <c r="C1135" s="133"/>
      <c r="D1135" s="133"/>
      <c r="E1135" s="133"/>
      <c r="F1135" s="133"/>
      <c r="G1135" s="133"/>
      <c r="H1135" s="133"/>
      <c r="I1135" s="133"/>
      <c r="J1135" s="133"/>
      <c r="K1135" s="133"/>
      <c r="L1135" s="133"/>
      <c r="NW1135" s="6"/>
      <c r="NX1135" s="6"/>
      <c r="NY1135" s="6"/>
      <c r="NZ1135" s="6"/>
      <c r="OA1135" s="6"/>
      <c r="OB1135" s="46"/>
      <c r="OC1135" s="4"/>
      <c r="OD1135" s="6"/>
    </row>
    <row r="1136" spans="1:394" x14ac:dyDescent="0.25">
      <c r="A1136" s="47"/>
      <c r="B1136" s="48"/>
      <c r="C1136" s="133"/>
      <c r="D1136" s="133"/>
      <c r="E1136" s="133"/>
      <c r="F1136" s="133"/>
      <c r="G1136" s="133"/>
      <c r="H1136" s="133"/>
      <c r="I1136" s="133"/>
      <c r="J1136" s="133"/>
      <c r="K1136" s="133"/>
      <c r="L1136" s="133"/>
      <c r="NW1136" s="6"/>
      <c r="NX1136" s="6"/>
      <c r="NY1136" s="6"/>
      <c r="NZ1136" s="6"/>
      <c r="OA1136" s="6"/>
      <c r="OB1136" s="46"/>
      <c r="OC1136" s="4"/>
      <c r="OD1136" s="6"/>
    </row>
    <row r="1137" spans="1:394" x14ac:dyDescent="0.25">
      <c r="A1137" s="47"/>
      <c r="B1137" s="48"/>
      <c r="C1137" s="133"/>
      <c r="D1137" s="133"/>
      <c r="E1137" s="133"/>
      <c r="F1137" s="133"/>
      <c r="G1137" s="133"/>
      <c r="H1137" s="133"/>
      <c r="I1137" s="133"/>
      <c r="J1137" s="133"/>
      <c r="K1137" s="133"/>
      <c r="L1137" s="133"/>
      <c r="NW1137" s="6"/>
      <c r="NX1137" s="6"/>
      <c r="NY1137" s="6"/>
      <c r="NZ1137" s="6"/>
      <c r="OA1137" s="6"/>
      <c r="OB1137" s="46"/>
      <c r="OC1137" s="4"/>
      <c r="OD1137" s="6"/>
    </row>
    <row r="1138" spans="1:394" x14ac:dyDescent="0.25">
      <c r="A1138" s="47"/>
      <c r="B1138" s="48"/>
      <c r="C1138" s="133"/>
      <c r="D1138" s="133"/>
      <c r="E1138" s="133"/>
      <c r="F1138" s="133"/>
      <c r="G1138" s="133"/>
      <c r="H1138" s="133"/>
      <c r="I1138" s="133"/>
      <c r="J1138" s="133"/>
      <c r="K1138" s="133"/>
      <c r="L1138" s="133"/>
      <c r="NW1138" s="6"/>
      <c r="NX1138" s="6"/>
      <c r="NY1138" s="6"/>
      <c r="NZ1138" s="6"/>
      <c r="OA1138" s="6"/>
      <c r="OB1138" s="46"/>
      <c r="OC1138" s="4"/>
      <c r="OD1138" s="6"/>
    </row>
    <row r="1139" spans="1:394" x14ac:dyDescent="0.25">
      <c r="A1139" s="47"/>
      <c r="B1139" s="48"/>
      <c r="C1139" s="133"/>
      <c r="D1139" s="133"/>
      <c r="E1139" s="133"/>
      <c r="F1139" s="133"/>
      <c r="G1139" s="133"/>
      <c r="H1139" s="133"/>
      <c r="I1139" s="133"/>
      <c r="J1139" s="133"/>
      <c r="K1139" s="133"/>
      <c r="L1139" s="133"/>
      <c r="NW1139" s="6"/>
      <c r="NX1139" s="6"/>
      <c r="NY1139" s="6"/>
      <c r="NZ1139" s="6"/>
      <c r="OA1139" s="6"/>
      <c r="OB1139" s="46"/>
      <c r="OC1139" s="4"/>
      <c r="OD1139" s="6"/>
    </row>
    <row r="1140" spans="1:394" x14ac:dyDescent="0.25">
      <c r="A1140" s="47"/>
      <c r="B1140" s="48"/>
      <c r="C1140" s="133"/>
      <c r="D1140" s="133"/>
      <c r="E1140" s="133"/>
      <c r="F1140" s="133"/>
      <c r="G1140" s="133"/>
      <c r="H1140" s="133"/>
      <c r="I1140" s="133"/>
      <c r="J1140" s="133"/>
      <c r="K1140" s="133"/>
      <c r="L1140" s="133"/>
      <c r="NW1140" s="6"/>
      <c r="NX1140" s="6"/>
      <c r="NY1140" s="6"/>
      <c r="NZ1140" s="6"/>
      <c r="OA1140" s="6"/>
      <c r="OB1140" s="46"/>
      <c r="OC1140" s="4"/>
      <c r="OD1140" s="6"/>
    </row>
    <row r="1141" spans="1:394" x14ac:dyDescent="0.25">
      <c r="A1141" s="47"/>
      <c r="B1141" s="48"/>
      <c r="C1141" s="133"/>
      <c r="D1141" s="133"/>
      <c r="E1141" s="133"/>
      <c r="F1141" s="133"/>
      <c r="G1141" s="133"/>
      <c r="H1141" s="133"/>
      <c r="I1141" s="133"/>
      <c r="J1141" s="133"/>
      <c r="K1141" s="133"/>
      <c r="L1141" s="133"/>
      <c r="NW1141" s="6"/>
      <c r="NX1141" s="6"/>
      <c r="NY1141" s="6"/>
      <c r="NZ1141" s="6"/>
      <c r="OA1141" s="6"/>
      <c r="OB1141" s="46"/>
      <c r="OC1141" s="4"/>
      <c r="OD1141" s="6"/>
    </row>
    <row r="1142" spans="1:394" x14ac:dyDescent="0.25">
      <c r="A1142" s="47"/>
      <c r="B1142" s="48"/>
      <c r="C1142" s="133"/>
      <c r="D1142" s="133"/>
      <c r="E1142" s="133"/>
      <c r="F1142" s="133"/>
      <c r="G1142" s="133"/>
      <c r="H1142" s="133"/>
      <c r="I1142" s="133"/>
      <c r="J1142" s="133"/>
      <c r="K1142" s="133"/>
      <c r="L1142" s="133"/>
      <c r="NW1142" s="6"/>
      <c r="NX1142" s="6"/>
      <c r="NY1142" s="6"/>
      <c r="NZ1142" s="6"/>
      <c r="OA1142" s="6"/>
      <c r="OB1142" s="46"/>
      <c r="OC1142" s="4"/>
      <c r="OD1142" s="6"/>
    </row>
    <row r="1143" spans="1:394" x14ac:dyDescent="0.25">
      <c r="A1143" s="47"/>
      <c r="B1143" s="48"/>
      <c r="C1143" s="133"/>
      <c r="D1143" s="133"/>
      <c r="E1143" s="133"/>
      <c r="F1143" s="133"/>
      <c r="G1143" s="133"/>
      <c r="H1143" s="133"/>
      <c r="I1143" s="133"/>
      <c r="J1143" s="133"/>
      <c r="K1143" s="133"/>
      <c r="L1143" s="133"/>
      <c r="NW1143" s="6"/>
      <c r="NX1143" s="6"/>
      <c r="NY1143" s="6"/>
      <c r="NZ1143" s="6"/>
      <c r="OA1143" s="6"/>
      <c r="OB1143" s="46"/>
      <c r="OC1143" s="4"/>
      <c r="OD1143" s="6"/>
    </row>
    <row r="1144" spans="1:394" x14ac:dyDescent="0.25">
      <c r="A1144" s="47"/>
      <c r="B1144" s="48"/>
      <c r="C1144" s="133"/>
      <c r="D1144" s="133"/>
      <c r="E1144" s="133"/>
      <c r="F1144" s="133"/>
      <c r="G1144" s="133"/>
      <c r="H1144" s="133"/>
      <c r="I1144" s="133"/>
      <c r="J1144" s="133"/>
      <c r="K1144" s="133"/>
      <c r="L1144" s="133"/>
      <c r="NW1144" s="6"/>
      <c r="NX1144" s="6"/>
      <c r="NY1144" s="6"/>
      <c r="NZ1144" s="6"/>
      <c r="OA1144" s="6"/>
      <c r="OB1144" s="46"/>
      <c r="OC1144" s="4"/>
      <c r="OD1144" s="6"/>
    </row>
    <row r="1145" spans="1:394" x14ac:dyDescent="0.25">
      <c r="A1145" s="47"/>
      <c r="B1145" s="48"/>
      <c r="C1145" s="133"/>
      <c r="D1145" s="133"/>
      <c r="E1145" s="133"/>
      <c r="F1145" s="133"/>
      <c r="G1145" s="133"/>
      <c r="H1145" s="133"/>
      <c r="I1145" s="133"/>
      <c r="J1145" s="133"/>
      <c r="K1145" s="133"/>
      <c r="L1145" s="133"/>
      <c r="NW1145" s="6"/>
      <c r="NX1145" s="6"/>
      <c r="NY1145" s="6"/>
      <c r="NZ1145" s="6"/>
      <c r="OA1145" s="6"/>
      <c r="OB1145" s="46"/>
      <c r="OC1145" s="4"/>
      <c r="OD1145" s="6"/>
    </row>
    <row r="1146" spans="1:394" x14ac:dyDescent="0.25">
      <c r="A1146" s="47"/>
      <c r="B1146" s="48"/>
      <c r="C1146" s="133"/>
      <c r="D1146" s="133"/>
      <c r="E1146" s="133"/>
      <c r="F1146" s="133"/>
      <c r="G1146" s="133"/>
      <c r="H1146" s="133"/>
      <c r="I1146" s="133"/>
      <c r="J1146" s="133"/>
      <c r="K1146" s="133"/>
      <c r="L1146" s="133"/>
      <c r="NW1146" s="6"/>
      <c r="NX1146" s="6"/>
      <c r="NY1146" s="6"/>
      <c r="NZ1146" s="6"/>
      <c r="OA1146" s="6"/>
      <c r="OB1146" s="46"/>
      <c r="OC1146" s="4"/>
      <c r="OD1146" s="6"/>
    </row>
    <row r="1147" spans="1:394" x14ac:dyDescent="0.25">
      <c r="A1147" s="47"/>
      <c r="B1147" s="48"/>
      <c r="C1147" s="133"/>
      <c r="D1147" s="133"/>
      <c r="E1147" s="133"/>
      <c r="F1147" s="133"/>
      <c r="G1147" s="133"/>
      <c r="H1147" s="133"/>
      <c r="I1147" s="133"/>
      <c r="J1147" s="133"/>
      <c r="K1147" s="133"/>
      <c r="L1147" s="133"/>
      <c r="NW1147" s="6"/>
      <c r="NX1147" s="6"/>
      <c r="NY1147" s="6"/>
      <c r="NZ1147" s="6"/>
      <c r="OA1147" s="6"/>
      <c r="OB1147" s="46"/>
      <c r="OC1147" s="4"/>
      <c r="OD1147" s="6"/>
    </row>
    <row r="1148" spans="1:394" x14ac:dyDescent="0.25">
      <c r="A1148" s="47"/>
      <c r="B1148" s="48"/>
      <c r="C1148" s="133"/>
      <c r="D1148" s="133"/>
      <c r="E1148" s="133"/>
      <c r="F1148" s="133"/>
      <c r="G1148" s="133"/>
      <c r="H1148" s="133"/>
      <c r="I1148" s="133"/>
      <c r="J1148" s="133"/>
      <c r="K1148" s="133"/>
      <c r="L1148" s="133"/>
      <c r="NW1148" s="6"/>
      <c r="NX1148" s="6"/>
      <c r="NY1148" s="6"/>
      <c r="NZ1148" s="6"/>
      <c r="OA1148" s="6"/>
      <c r="OB1148" s="46"/>
      <c r="OC1148" s="4"/>
      <c r="OD1148" s="6"/>
    </row>
    <row r="1149" spans="1:394" x14ac:dyDescent="0.25">
      <c r="A1149" s="47"/>
      <c r="B1149" s="48"/>
      <c r="C1149" s="133"/>
      <c r="D1149" s="133"/>
      <c r="E1149" s="133"/>
      <c r="F1149" s="133"/>
      <c r="G1149" s="133"/>
      <c r="H1149" s="133"/>
      <c r="I1149" s="133"/>
      <c r="J1149" s="133"/>
      <c r="K1149" s="133"/>
      <c r="L1149" s="133"/>
      <c r="NW1149" s="6"/>
      <c r="NX1149" s="6"/>
      <c r="NY1149" s="6"/>
      <c r="NZ1149" s="6"/>
      <c r="OA1149" s="6"/>
      <c r="OB1149" s="46"/>
      <c r="OC1149" s="4"/>
      <c r="OD1149" s="6"/>
    </row>
    <row r="1150" spans="1:394" x14ac:dyDescent="0.25">
      <c r="A1150" s="47"/>
      <c r="B1150" s="48"/>
      <c r="C1150" s="133"/>
      <c r="D1150" s="133"/>
      <c r="E1150" s="133"/>
      <c r="F1150" s="133"/>
      <c r="G1150" s="133"/>
      <c r="H1150" s="133"/>
      <c r="I1150" s="133"/>
      <c r="J1150" s="133"/>
      <c r="K1150" s="133"/>
      <c r="L1150" s="133"/>
      <c r="NW1150" s="6"/>
      <c r="NX1150" s="6"/>
      <c r="NY1150" s="6"/>
      <c r="NZ1150" s="6"/>
      <c r="OA1150" s="6"/>
      <c r="OB1150" s="46"/>
      <c r="OC1150" s="4"/>
      <c r="OD1150" s="6"/>
    </row>
    <row r="1151" spans="1:394" x14ac:dyDescent="0.25">
      <c r="A1151" s="47"/>
      <c r="B1151" s="48"/>
      <c r="C1151" s="133"/>
      <c r="D1151" s="133"/>
      <c r="E1151" s="133"/>
      <c r="F1151" s="133"/>
      <c r="G1151" s="133"/>
      <c r="H1151" s="133"/>
      <c r="I1151" s="133"/>
      <c r="J1151" s="133"/>
      <c r="K1151" s="133"/>
      <c r="L1151" s="133"/>
      <c r="NW1151" s="6"/>
      <c r="NX1151" s="6"/>
      <c r="NY1151" s="6"/>
      <c r="NZ1151" s="6"/>
      <c r="OA1151" s="6"/>
      <c r="OB1151" s="46"/>
      <c r="OC1151" s="4"/>
      <c r="OD1151" s="6"/>
    </row>
    <row r="1152" spans="1:394" x14ac:dyDescent="0.25">
      <c r="A1152" s="47"/>
      <c r="B1152" s="48"/>
      <c r="C1152" s="133"/>
      <c r="D1152" s="133"/>
      <c r="E1152" s="133"/>
      <c r="F1152" s="133"/>
      <c r="G1152" s="133"/>
      <c r="H1152" s="133"/>
      <c r="I1152" s="133"/>
      <c r="J1152" s="133"/>
      <c r="K1152" s="133"/>
      <c r="L1152" s="133"/>
      <c r="NW1152" s="6"/>
      <c r="NX1152" s="6"/>
      <c r="NY1152" s="6"/>
      <c r="NZ1152" s="6"/>
      <c r="OA1152" s="6"/>
      <c r="OB1152" s="46"/>
      <c r="OC1152" s="4"/>
      <c r="OD1152" s="6"/>
    </row>
    <row r="1153" spans="1:394" x14ac:dyDescent="0.25">
      <c r="A1153" s="47"/>
      <c r="B1153" s="48"/>
      <c r="C1153" s="133"/>
      <c r="D1153" s="133"/>
      <c r="E1153" s="133"/>
      <c r="F1153" s="133"/>
      <c r="G1153" s="133"/>
      <c r="H1153" s="133"/>
      <c r="I1153" s="133"/>
      <c r="J1153" s="133"/>
      <c r="K1153" s="133"/>
      <c r="L1153" s="133"/>
      <c r="NW1153" s="6"/>
      <c r="NX1153" s="6"/>
      <c r="NY1153" s="6"/>
      <c r="NZ1153" s="6"/>
      <c r="OA1153" s="6"/>
      <c r="OB1153" s="46"/>
      <c r="OC1153" s="4"/>
      <c r="OD1153" s="6"/>
    </row>
    <row r="1154" spans="1:394" x14ac:dyDescent="0.25">
      <c r="A1154" s="47"/>
      <c r="B1154" s="48"/>
      <c r="C1154" s="133"/>
      <c r="D1154" s="133"/>
      <c r="E1154" s="133"/>
      <c r="F1154" s="133"/>
      <c r="G1154" s="133"/>
      <c r="H1154" s="133"/>
      <c r="I1154" s="133"/>
      <c r="J1154" s="133"/>
      <c r="K1154" s="133"/>
      <c r="L1154" s="133"/>
      <c r="NW1154" s="6"/>
      <c r="NX1154" s="6"/>
      <c r="NY1154" s="6"/>
      <c r="NZ1154" s="6"/>
      <c r="OA1154" s="6"/>
      <c r="OB1154" s="46"/>
      <c r="OC1154" s="4"/>
      <c r="OD1154" s="6"/>
    </row>
    <row r="1155" spans="1:394" x14ac:dyDescent="0.25">
      <c r="A1155" s="47"/>
      <c r="B1155" s="48"/>
      <c r="C1155" s="133"/>
      <c r="D1155" s="133"/>
      <c r="E1155" s="133"/>
      <c r="F1155" s="133"/>
      <c r="G1155" s="133"/>
      <c r="H1155" s="133"/>
      <c r="I1155" s="133"/>
      <c r="J1155" s="133"/>
      <c r="K1155" s="133"/>
      <c r="L1155" s="133"/>
      <c r="NW1155" s="6"/>
      <c r="NX1155" s="6"/>
      <c r="NY1155" s="6"/>
      <c r="NZ1155" s="6"/>
      <c r="OA1155" s="6"/>
      <c r="OB1155" s="46"/>
      <c r="OC1155" s="4"/>
      <c r="OD1155" s="6"/>
    </row>
    <row r="1156" spans="1:394" x14ac:dyDescent="0.25">
      <c r="A1156" s="47"/>
      <c r="B1156" s="48"/>
      <c r="C1156" s="133"/>
      <c r="D1156" s="133"/>
      <c r="E1156" s="133"/>
      <c r="F1156" s="133"/>
      <c r="G1156" s="133"/>
      <c r="H1156" s="133"/>
      <c r="I1156" s="133"/>
      <c r="J1156" s="133"/>
      <c r="K1156" s="133"/>
      <c r="L1156" s="133"/>
      <c r="NW1156" s="6"/>
      <c r="NX1156" s="6"/>
      <c r="NY1156" s="6"/>
      <c r="NZ1156" s="6"/>
      <c r="OA1156" s="6"/>
      <c r="OB1156" s="46"/>
      <c r="OC1156" s="4"/>
      <c r="OD1156" s="6"/>
    </row>
    <row r="1157" spans="1:394" x14ac:dyDescent="0.25">
      <c r="A1157" s="47"/>
      <c r="B1157" s="48"/>
      <c r="C1157" s="133"/>
      <c r="D1157" s="133"/>
      <c r="E1157" s="133"/>
      <c r="F1157" s="133"/>
      <c r="G1157" s="133"/>
      <c r="H1157" s="133"/>
      <c r="I1157" s="133"/>
      <c r="J1157" s="133"/>
      <c r="K1157" s="133"/>
      <c r="L1157" s="133"/>
      <c r="NW1157" s="6"/>
      <c r="NX1157" s="6"/>
      <c r="NY1157" s="6"/>
      <c r="NZ1157" s="6"/>
      <c r="OA1157" s="6"/>
      <c r="OB1157" s="46"/>
      <c r="OC1157" s="4"/>
      <c r="OD1157" s="6"/>
    </row>
    <row r="1158" spans="1:394" x14ac:dyDescent="0.25">
      <c r="A1158" s="47"/>
      <c r="B1158" s="48"/>
      <c r="C1158" s="133"/>
      <c r="D1158" s="133"/>
      <c r="E1158" s="133"/>
      <c r="F1158" s="133"/>
      <c r="G1158" s="133"/>
      <c r="H1158" s="133"/>
      <c r="I1158" s="133"/>
      <c r="J1158" s="133"/>
      <c r="K1158" s="133"/>
      <c r="L1158" s="133"/>
      <c r="NW1158" s="6"/>
      <c r="NX1158" s="6"/>
      <c r="NY1158" s="6"/>
      <c r="NZ1158" s="6"/>
      <c r="OA1158" s="6"/>
      <c r="OB1158" s="46"/>
      <c r="OC1158" s="4"/>
      <c r="OD1158" s="6"/>
    </row>
    <row r="1159" spans="1:394" x14ac:dyDescent="0.25">
      <c r="A1159" s="47"/>
      <c r="B1159" s="48"/>
      <c r="C1159" s="133"/>
      <c r="D1159" s="133"/>
      <c r="E1159" s="133"/>
      <c r="F1159" s="133"/>
      <c r="G1159" s="133"/>
      <c r="H1159" s="133"/>
      <c r="I1159" s="133"/>
      <c r="J1159" s="133"/>
      <c r="K1159" s="133"/>
      <c r="L1159" s="133"/>
      <c r="NW1159" s="6"/>
      <c r="NX1159" s="6"/>
      <c r="NY1159" s="6"/>
      <c r="NZ1159" s="6"/>
      <c r="OA1159" s="6"/>
      <c r="OB1159" s="46"/>
      <c r="OC1159" s="4"/>
      <c r="OD1159" s="6"/>
    </row>
    <row r="1160" spans="1:394" x14ac:dyDescent="0.25">
      <c r="A1160" s="47"/>
      <c r="B1160" s="48"/>
      <c r="C1160" s="133"/>
      <c r="D1160" s="133"/>
      <c r="E1160" s="133"/>
      <c r="F1160" s="133"/>
      <c r="G1160" s="133"/>
      <c r="H1160" s="133"/>
      <c r="I1160" s="133"/>
      <c r="J1160" s="133"/>
      <c r="K1160" s="133"/>
      <c r="L1160" s="133"/>
      <c r="NW1160" s="6"/>
      <c r="NX1160" s="6"/>
      <c r="NY1160" s="6"/>
      <c r="NZ1160" s="6"/>
      <c r="OA1160" s="6"/>
      <c r="OB1160" s="46"/>
      <c r="OC1160" s="4"/>
      <c r="OD1160" s="6"/>
    </row>
    <row r="1161" spans="1:394" x14ac:dyDescent="0.25">
      <c r="A1161" s="47"/>
      <c r="B1161" s="48"/>
      <c r="C1161" s="133"/>
      <c r="D1161" s="133"/>
      <c r="E1161" s="133"/>
      <c r="F1161" s="133"/>
      <c r="G1161" s="133"/>
      <c r="H1161" s="133"/>
      <c r="I1161" s="133"/>
      <c r="J1161" s="133"/>
      <c r="K1161" s="133"/>
      <c r="L1161" s="133"/>
      <c r="NW1161" s="6"/>
      <c r="NX1161" s="6"/>
      <c r="NY1161" s="6"/>
      <c r="NZ1161" s="6"/>
      <c r="OA1161" s="6"/>
      <c r="OB1161" s="46"/>
      <c r="OC1161" s="4"/>
      <c r="OD1161" s="6"/>
    </row>
    <row r="1162" spans="1:394" x14ac:dyDescent="0.25">
      <c r="A1162" s="47"/>
      <c r="B1162" s="48"/>
      <c r="C1162" s="133"/>
      <c r="D1162" s="133"/>
      <c r="E1162" s="133"/>
      <c r="F1162" s="133"/>
      <c r="G1162" s="133"/>
      <c r="H1162" s="133"/>
      <c r="I1162" s="133"/>
      <c r="J1162" s="133"/>
      <c r="K1162" s="133"/>
      <c r="L1162" s="133"/>
      <c r="NW1162" s="6"/>
      <c r="NX1162" s="6"/>
      <c r="NY1162" s="6"/>
      <c r="NZ1162" s="6"/>
      <c r="OA1162" s="6"/>
      <c r="OB1162" s="46"/>
      <c r="OC1162" s="4"/>
      <c r="OD1162" s="6"/>
    </row>
    <row r="1163" spans="1:394" x14ac:dyDescent="0.25">
      <c r="A1163" s="47"/>
      <c r="B1163" s="48"/>
      <c r="C1163" s="133"/>
      <c r="D1163" s="133"/>
      <c r="E1163" s="133"/>
      <c r="F1163" s="133"/>
      <c r="G1163" s="133"/>
      <c r="H1163" s="133"/>
      <c r="I1163" s="133"/>
      <c r="J1163" s="133"/>
      <c r="K1163" s="133"/>
      <c r="L1163" s="133"/>
      <c r="NW1163" s="6"/>
      <c r="NX1163" s="6"/>
      <c r="NY1163" s="6"/>
      <c r="NZ1163" s="6"/>
      <c r="OA1163" s="6"/>
      <c r="OB1163" s="46"/>
      <c r="OC1163" s="4"/>
      <c r="OD1163" s="6"/>
    </row>
    <row r="1164" spans="1:394" x14ac:dyDescent="0.25">
      <c r="A1164" s="47"/>
      <c r="B1164" s="48"/>
      <c r="C1164" s="133"/>
      <c r="D1164" s="133"/>
      <c r="E1164" s="133"/>
      <c r="F1164" s="133"/>
      <c r="G1164" s="133"/>
      <c r="H1164" s="133"/>
      <c r="I1164" s="133"/>
      <c r="J1164" s="133"/>
      <c r="K1164" s="133"/>
      <c r="L1164" s="133"/>
      <c r="NW1164" s="6"/>
      <c r="NX1164" s="6"/>
      <c r="NY1164" s="6"/>
      <c r="NZ1164" s="6"/>
      <c r="OA1164" s="6"/>
      <c r="OB1164" s="46"/>
      <c r="OC1164" s="4"/>
      <c r="OD1164" s="6"/>
    </row>
    <row r="1165" spans="1:394" x14ac:dyDescent="0.25">
      <c r="A1165" s="47"/>
      <c r="B1165" s="48"/>
      <c r="C1165" s="133"/>
      <c r="D1165" s="133"/>
      <c r="E1165" s="133"/>
      <c r="F1165" s="133"/>
      <c r="G1165" s="133"/>
      <c r="H1165" s="133"/>
      <c r="I1165" s="133"/>
      <c r="J1165" s="133"/>
      <c r="K1165" s="133"/>
      <c r="L1165" s="133"/>
      <c r="NW1165" s="6"/>
      <c r="NX1165" s="6"/>
      <c r="NY1165" s="6"/>
      <c r="NZ1165" s="6"/>
      <c r="OA1165" s="6"/>
      <c r="OB1165" s="46"/>
      <c r="OC1165" s="4"/>
      <c r="OD1165" s="6"/>
    </row>
    <row r="1166" spans="1:394" x14ac:dyDescent="0.25">
      <c r="A1166" s="47"/>
      <c r="B1166" s="48"/>
      <c r="C1166" s="133"/>
      <c r="D1166" s="133"/>
      <c r="E1166" s="133"/>
      <c r="F1166" s="133"/>
      <c r="G1166" s="133"/>
      <c r="H1166" s="133"/>
      <c r="I1166" s="133"/>
      <c r="J1166" s="133"/>
      <c r="K1166" s="133"/>
      <c r="L1166" s="133"/>
      <c r="NW1166" s="6"/>
      <c r="NX1166" s="6"/>
      <c r="NY1166" s="6"/>
      <c r="NZ1166" s="6"/>
      <c r="OA1166" s="6"/>
      <c r="OB1166" s="46"/>
      <c r="OC1166" s="4"/>
      <c r="OD1166" s="6"/>
    </row>
    <row r="1167" spans="1:394" x14ac:dyDescent="0.25">
      <c r="A1167" s="47"/>
      <c r="B1167" s="48"/>
      <c r="C1167" s="133"/>
      <c r="D1167" s="133"/>
      <c r="E1167" s="133"/>
      <c r="F1167" s="133"/>
      <c r="G1167" s="133"/>
      <c r="H1167" s="133"/>
      <c r="I1167" s="133"/>
      <c r="J1167" s="133"/>
      <c r="K1167" s="133"/>
      <c r="L1167" s="133"/>
      <c r="NW1167" s="6"/>
      <c r="NX1167" s="6"/>
      <c r="NY1167" s="6"/>
      <c r="NZ1167" s="6"/>
      <c r="OA1167" s="6"/>
      <c r="OB1167" s="46"/>
      <c r="OC1167" s="4"/>
      <c r="OD1167" s="6"/>
    </row>
    <row r="1168" spans="1:394" x14ac:dyDescent="0.25">
      <c r="A1168" s="47"/>
      <c r="B1168" s="48"/>
      <c r="C1168" s="133"/>
      <c r="D1168" s="133"/>
      <c r="E1168" s="133"/>
      <c r="F1168" s="133"/>
      <c r="G1168" s="133"/>
      <c r="H1168" s="133"/>
      <c r="I1168" s="133"/>
      <c r="J1168" s="133"/>
      <c r="K1168" s="133"/>
      <c r="L1168" s="133"/>
      <c r="NW1168" s="6"/>
      <c r="NX1168" s="6"/>
      <c r="NY1168" s="6"/>
      <c r="NZ1168" s="6"/>
      <c r="OA1168" s="6"/>
      <c r="OB1168" s="46"/>
      <c r="OC1168" s="4"/>
      <c r="OD1168" s="6"/>
    </row>
    <row r="1169" spans="1:394" x14ac:dyDescent="0.25">
      <c r="A1169" s="47"/>
      <c r="B1169" s="48"/>
      <c r="C1169" s="133"/>
      <c r="D1169" s="133"/>
      <c r="E1169" s="133"/>
      <c r="F1169" s="133"/>
      <c r="G1169" s="133"/>
      <c r="H1169" s="133"/>
      <c r="I1169" s="133"/>
      <c r="J1169" s="133"/>
      <c r="K1169" s="133"/>
      <c r="L1169" s="133"/>
      <c r="NW1169" s="6"/>
      <c r="NX1169" s="6"/>
      <c r="NY1169" s="6"/>
      <c r="NZ1169" s="6"/>
      <c r="OA1169" s="6"/>
      <c r="OB1169" s="46"/>
      <c r="OC1169" s="4"/>
      <c r="OD1169" s="6"/>
    </row>
    <row r="1170" spans="1:394" x14ac:dyDescent="0.25">
      <c r="A1170" s="47"/>
      <c r="B1170" s="48"/>
      <c r="C1170" s="133"/>
      <c r="D1170" s="133"/>
      <c r="E1170" s="133"/>
      <c r="F1170" s="133"/>
      <c r="G1170" s="133"/>
      <c r="H1170" s="133"/>
      <c r="I1170" s="133"/>
      <c r="J1170" s="133"/>
      <c r="K1170" s="133"/>
      <c r="L1170" s="133"/>
      <c r="NW1170" s="6"/>
      <c r="NX1170" s="6"/>
      <c r="NY1170" s="6"/>
      <c r="NZ1170" s="6"/>
      <c r="OA1170" s="6"/>
      <c r="OB1170" s="46"/>
      <c r="OC1170" s="4"/>
      <c r="OD1170" s="6"/>
    </row>
    <row r="1171" spans="1:394" x14ac:dyDescent="0.25">
      <c r="A1171" s="47"/>
      <c r="B1171" s="48"/>
      <c r="C1171" s="133"/>
      <c r="D1171" s="133"/>
      <c r="E1171" s="133"/>
      <c r="F1171" s="133"/>
      <c r="G1171" s="133"/>
      <c r="H1171" s="133"/>
      <c r="I1171" s="133"/>
      <c r="J1171" s="133"/>
      <c r="K1171" s="133"/>
      <c r="L1171" s="133"/>
      <c r="NW1171" s="6"/>
      <c r="NX1171" s="6"/>
      <c r="NY1171" s="6"/>
      <c r="NZ1171" s="6"/>
      <c r="OA1171" s="6"/>
      <c r="OB1171" s="46"/>
      <c r="OC1171" s="4"/>
      <c r="OD1171" s="6"/>
    </row>
    <row r="1172" spans="1:394" x14ac:dyDescent="0.25">
      <c r="A1172" s="47"/>
      <c r="B1172" s="48"/>
      <c r="C1172" s="133"/>
      <c r="D1172" s="133"/>
      <c r="E1172" s="133"/>
      <c r="F1172" s="133"/>
      <c r="G1172" s="133"/>
      <c r="H1172" s="133"/>
      <c r="I1172" s="133"/>
      <c r="J1172" s="133"/>
      <c r="K1172" s="133"/>
      <c r="L1172" s="133"/>
      <c r="NW1172" s="6"/>
      <c r="NX1172" s="6"/>
      <c r="NY1172" s="6"/>
      <c r="NZ1172" s="6"/>
      <c r="OA1172" s="6"/>
      <c r="OB1172" s="46"/>
      <c r="OC1172" s="4"/>
      <c r="OD1172" s="6"/>
    </row>
    <row r="1173" spans="1:394" x14ac:dyDescent="0.25">
      <c r="A1173" s="47"/>
      <c r="B1173" s="48"/>
      <c r="C1173" s="133"/>
      <c r="D1173" s="133"/>
      <c r="E1173" s="133"/>
      <c r="F1173" s="133"/>
      <c r="G1173" s="133"/>
      <c r="H1173" s="133"/>
      <c r="I1173" s="133"/>
      <c r="J1173" s="133"/>
      <c r="K1173" s="133"/>
      <c r="L1173" s="133"/>
      <c r="NW1173" s="6"/>
      <c r="NX1173" s="6"/>
      <c r="NY1173" s="6"/>
      <c r="NZ1173" s="6"/>
      <c r="OA1173" s="6"/>
      <c r="OB1173" s="46"/>
      <c r="OC1173" s="4"/>
      <c r="OD1173" s="6"/>
    </row>
    <row r="1174" spans="1:394" x14ac:dyDescent="0.25">
      <c r="A1174" s="47"/>
      <c r="B1174" s="48"/>
      <c r="C1174" s="133"/>
      <c r="D1174" s="133"/>
      <c r="E1174" s="133"/>
      <c r="F1174" s="133"/>
      <c r="G1174" s="133"/>
      <c r="H1174" s="133"/>
      <c r="I1174" s="133"/>
      <c r="J1174" s="133"/>
      <c r="K1174" s="133"/>
      <c r="L1174" s="133"/>
      <c r="NW1174" s="6"/>
      <c r="NX1174" s="6"/>
      <c r="NY1174" s="6"/>
      <c r="NZ1174" s="6"/>
      <c r="OA1174" s="6"/>
      <c r="OB1174" s="46"/>
      <c r="OC1174" s="4"/>
      <c r="OD1174" s="6"/>
    </row>
    <row r="1175" spans="1:394" x14ac:dyDescent="0.25">
      <c r="A1175" s="47"/>
      <c r="B1175" s="48"/>
      <c r="C1175" s="133"/>
      <c r="D1175" s="133"/>
      <c r="E1175" s="133"/>
      <c r="F1175" s="133"/>
      <c r="G1175" s="133"/>
      <c r="H1175" s="133"/>
      <c r="I1175" s="133"/>
      <c r="J1175" s="133"/>
      <c r="K1175" s="133"/>
      <c r="L1175" s="133"/>
      <c r="NW1175" s="6"/>
      <c r="NX1175" s="6"/>
      <c r="NY1175" s="6"/>
      <c r="NZ1175" s="6"/>
      <c r="OA1175" s="6"/>
      <c r="OB1175" s="46"/>
      <c r="OC1175" s="4"/>
      <c r="OD1175" s="6"/>
    </row>
    <row r="1176" spans="1:394" x14ac:dyDescent="0.25">
      <c r="A1176" s="47"/>
      <c r="B1176" s="48"/>
      <c r="C1176" s="133"/>
      <c r="D1176" s="133"/>
      <c r="E1176" s="133"/>
      <c r="F1176" s="133"/>
      <c r="G1176" s="133"/>
      <c r="H1176" s="133"/>
      <c r="I1176" s="133"/>
      <c r="J1176" s="133"/>
      <c r="K1176" s="133"/>
      <c r="L1176" s="133"/>
      <c r="NW1176" s="6"/>
      <c r="NX1176" s="6"/>
      <c r="NY1176" s="6"/>
      <c r="NZ1176" s="6"/>
      <c r="OA1176" s="6"/>
      <c r="OB1176" s="46"/>
      <c r="OC1176" s="4"/>
      <c r="OD1176" s="6"/>
    </row>
    <row r="1177" spans="1:394" x14ac:dyDescent="0.25">
      <c r="A1177" s="47"/>
      <c r="B1177" s="48"/>
      <c r="C1177" s="133"/>
      <c r="D1177" s="133"/>
      <c r="E1177" s="133"/>
      <c r="F1177" s="133"/>
      <c r="G1177" s="133"/>
      <c r="H1177" s="133"/>
      <c r="I1177" s="133"/>
      <c r="J1177" s="133"/>
      <c r="K1177" s="133"/>
      <c r="L1177" s="133"/>
      <c r="NW1177" s="6"/>
      <c r="NX1177" s="6"/>
      <c r="NY1177" s="6"/>
      <c r="NZ1177" s="6"/>
      <c r="OA1177" s="6"/>
      <c r="OB1177" s="46"/>
      <c r="OC1177" s="4"/>
      <c r="OD1177" s="6"/>
    </row>
    <row r="1178" spans="1:394" x14ac:dyDescent="0.25">
      <c r="A1178" s="47"/>
      <c r="B1178" s="48"/>
      <c r="C1178" s="133"/>
      <c r="D1178" s="133"/>
      <c r="E1178" s="133"/>
      <c r="F1178" s="133"/>
      <c r="G1178" s="133"/>
      <c r="H1178" s="133"/>
      <c r="I1178" s="133"/>
      <c r="J1178" s="133"/>
      <c r="K1178" s="133"/>
      <c r="L1178" s="133"/>
      <c r="NW1178" s="6"/>
      <c r="NX1178" s="6"/>
      <c r="NY1178" s="6"/>
      <c r="NZ1178" s="6"/>
      <c r="OA1178" s="6"/>
      <c r="OB1178" s="46"/>
      <c r="OC1178" s="4"/>
      <c r="OD1178" s="6"/>
    </row>
    <row r="1179" spans="1:394" x14ac:dyDescent="0.25">
      <c r="A1179" s="47"/>
      <c r="B1179" s="48"/>
      <c r="C1179" s="133"/>
      <c r="D1179" s="133"/>
      <c r="E1179" s="133"/>
      <c r="F1179" s="133"/>
      <c r="G1179" s="133"/>
      <c r="H1179" s="133"/>
      <c r="I1179" s="133"/>
      <c r="J1179" s="133"/>
      <c r="K1179" s="133"/>
      <c r="L1179" s="133"/>
      <c r="NW1179" s="6"/>
      <c r="NX1179" s="6"/>
      <c r="NY1179" s="6"/>
      <c r="NZ1179" s="6"/>
      <c r="OA1179" s="6"/>
      <c r="OB1179" s="46"/>
      <c r="OC1179" s="4"/>
      <c r="OD1179" s="6"/>
    </row>
    <row r="1180" spans="1:394" x14ac:dyDescent="0.25">
      <c r="A1180" s="47"/>
      <c r="B1180" s="48"/>
      <c r="C1180" s="133"/>
      <c r="D1180" s="133"/>
      <c r="E1180" s="133"/>
      <c r="F1180" s="133"/>
      <c r="G1180" s="133"/>
      <c r="H1180" s="133"/>
      <c r="I1180" s="133"/>
      <c r="J1180" s="133"/>
      <c r="K1180" s="133"/>
      <c r="L1180" s="133"/>
      <c r="NW1180" s="6"/>
      <c r="NX1180" s="6"/>
      <c r="NY1180" s="6"/>
      <c r="NZ1180" s="6"/>
      <c r="OA1180" s="6"/>
      <c r="OB1180" s="46"/>
      <c r="OC1180" s="4"/>
      <c r="OD1180" s="6"/>
    </row>
    <row r="1181" spans="1:394" x14ac:dyDescent="0.25">
      <c r="A1181" s="47"/>
      <c r="B1181" s="48"/>
      <c r="C1181" s="133"/>
      <c r="D1181" s="133"/>
      <c r="E1181" s="133"/>
      <c r="F1181" s="133"/>
      <c r="G1181" s="133"/>
      <c r="H1181" s="133"/>
      <c r="I1181" s="133"/>
      <c r="J1181" s="133"/>
      <c r="K1181" s="133"/>
      <c r="L1181" s="133"/>
      <c r="NW1181" s="6"/>
      <c r="NX1181" s="6"/>
      <c r="NY1181" s="6"/>
      <c r="NZ1181" s="6"/>
      <c r="OA1181" s="6"/>
      <c r="OB1181" s="46"/>
      <c r="OC1181" s="4"/>
      <c r="OD1181" s="6"/>
    </row>
    <row r="1182" spans="1:394" x14ac:dyDescent="0.25">
      <c r="A1182" s="47"/>
      <c r="B1182" s="48"/>
      <c r="C1182" s="133"/>
      <c r="D1182" s="133"/>
      <c r="E1182" s="133"/>
      <c r="F1182" s="133"/>
      <c r="G1182" s="133"/>
      <c r="H1182" s="133"/>
      <c r="I1182" s="133"/>
      <c r="J1182" s="133"/>
      <c r="K1182" s="133"/>
      <c r="L1182" s="133"/>
      <c r="NW1182" s="6"/>
      <c r="NX1182" s="6"/>
      <c r="NY1182" s="6"/>
      <c r="NZ1182" s="6"/>
      <c r="OA1182" s="6"/>
      <c r="OB1182" s="46"/>
      <c r="OC1182" s="4"/>
      <c r="OD1182" s="6"/>
    </row>
    <row r="1183" spans="1:394" x14ac:dyDescent="0.25">
      <c r="A1183" s="47"/>
      <c r="B1183" s="48"/>
      <c r="C1183" s="133"/>
      <c r="D1183" s="133"/>
      <c r="E1183" s="133"/>
      <c r="F1183" s="133"/>
      <c r="G1183" s="133"/>
      <c r="H1183" s="133"/>
      <c r="I1183" s="133"/>
      <c r="J1183" s="133"/>
      <c r="K1183" s="133"/>
      <c r="L1183" s="133"/>
      <c r="NW1183" s="6"/>
      <c r="NX1183" s="6"/>
      <c r="NY1183" s="6"/>
      <c r="NZ1183" s="6"/>
      <c r="OA1183" s="6"/>
      <c r="OB1183" s="46"/>
      <c r="OC1183" s="4"/>
      <c r="OD1183" s="6"/>
    </row>
    <row r="1184" spans="1:394" x14ac:dyDescent="0.25">
      <c r="A1184" s="47"/>
      <c r="B1184" s="48"/>
      <c r="C1184" s="133"/>
      <c r="D1184" s="133"/>
      <c r="E1184" s="133"/>
      <c r="F1184" s="133"/>
      <c r="G1184" s="133"/>
      <c r="H1184" s="133"/>
      <c r="I1184" s="133"/>
      <c r="J1184" s="133"/>
      <c r="K1184" s="133"/>
      <c r="L1184" s="133"/>
      <c r="NW1184" s="6"/>
      <c r="NX1184" s="6"/>
      <c r="NY1184" s="6"/>
      <c r="NZ1184" s="6"/>
      <c r="OA1184" s="6"/>
      <c r="OB1184" s="46"/>
      <c r="OC1184" s="4"/>
      <c r="OD1184" s="6"/>
    </row>
    <row r="1185" spans="1:394" x14ac:dyDescent="0.25">
      <c r="A1185" s="47"/>
      <c r="B1185" s="48"/>
      <c r="C1185" s="133"/>
      <c r="D1185" s="133"/>
      <c r="E1185" s="133"/>
      <c r="F1185" s="133"/>
      <c r="G1185" s="133"/>
      <c r="H1185" s="133"/>
      <c r="I1185" s="133"/>
      <c r="J1185" s="133"/>
      <c r="K1185" s="133"/>
      <c r="L1185" s="133"/>
      <c r="NW1185" s="6"/>
      <c r="NX1185" s="6"/>
      <c r="NY1185" s="6"/>
      <c r="NZ1185" s="6"/>
      <c r="OA1185" s="6"/>
      <c r="OB1185" s="46"/>
      <c r="OC1185" s="4"/>
      <c r="OD1185" s="6"/>
    </row>
    <row r="1186" spans="1:394" x14ac:dyDescent="0.25">
      <c r="A1186" s="47"/>
      <c r="B1186" s="48"/>
      <c r="C1186" s="133"/>
      <c r="D1186" s="133"/>
      <c r="E1186" s="133"/>
      <c r="F1186" s="133"/>
      <c r="G1186" s="133"/>
      <c r="H1186" s="133"/>
      <c r="I1186" s="133"/>
      <c r="J1186" s="133"/>
      <c r="K1186" s="133"/>
      <c r="L1186" s="133"/>
      <c r="NW1186" s="6"/>
      <c r="NX1186" s="6"/>
      <c r="NY1186" s="6"/>
      <c r="NZ1186" s="6"/>
      <c r="OA1186" s="6"/>
      <c r="OB1186" s="46"/>
      <c r="OC1186" s="4"/>
      <c r="OD1186" s="6"/>
    </row>
    <row r="1187" spans="1:394" x14ac:dyDescent="0.25">
      <c r="A1187" s="47"/>
      <c r="B1187" s="48"/>
      <c r="C1187" s="133"/>
      <c r="D1187" s="133"/>
      <c r="E1187" s="133"/>
      <c r="F1187" s="133"/>
      <c r="G1187" s="133"/>
      <c r="H1187" s="133"/>
      <c r="I1187" s="133"/>
      <c r="J1187" s="133"/>
      <c r="K1187" s="133"/>
      <c r="L1187" s="133"/>
      <c r="NW1187" s="6"/>
      <c r="NX1187" s="6"/>
      <c r="NY1187" s="6"/>
      <c r="NZ1187" s="6"/>
      <c r="OA1187" s="6"/>
      <c r="OB1187" s="46"/>
      <c r="OC1187" s="4"/>
      <c r="OD1187" s="6"/>
    </row>
    <row r="1188" spans="1:394" x14ac:dyDescent="0.25">
      <c r="A1188" s="47"/>
      <c r="B1188" s="48"/>
      <c r="C1188" s="133"/>
      <c r="D1188" s="133"/>
      <c r="E1188" s="133"/>
      <c r="F1188" s="133"/>
      <c r="G1188" s="133"/>
      <c r="H1188" s="133"/>
      <c r="I1188" s="133"/>
      <c r="J1188" s="133"/>
      <c r="K1188" s="133"/>
      <c r="L1188" s="133"/>
      <c r="NW1188" s="6"/>
      <c r="NX1188" s="6"/>
      <c r="NY1188" s="6"/>
      <c r="NZ1188" s="6"/>
      <c r="OA1188" s="6"/>
      <c r="OB1188" s="46"/>
      <c r="OC1188" s="4"/>
      <c r="OD1188" s="6"/>
    </row>
    <row r="1189" spans="1:394" x14ac:dyDescent="0.25">
      <c r="A1189" s="47"/>
      <c r="B1189" s="48"/>
      <c r="C1189" s="133"/>
      <c r="D1189" s="133"/>
      <c r="E1189" s="133"/>
      <c r="F1189" s="133"/>
      <c r="G1189" s="133"/>
      <c r="H1189" s="133"/>
      <c r="I1189" s="133"/>
      <c r="J1189" s="133"/>
      <c r="K1189" s="133"/>
      <c r="L1189" s="133"/>
      <c r="NW1189" s="6"/>
      <c r="NX1189" s="6"/>
      <c r="NY1189" s="6"/>
      <c r="NZ1189" s="6"/>
      <c r="OA1189" s="6"/>
      <c r="OB1189" s="46"/>
      <c r="OC1189" s="4"/>
      <c r="OD1189" s="6"/>
    </row>
    <row r="1190" spans="1:394" x14ac:dyDescent="0.25">
      <c r="A1190" s="47"/>
      <c r="B1190" s="48"/>
      <c r="C1190" s="133"/>
      <c r="D1190" s="133"/>
      <c r="E1190" s="133"/>
      <c r="F1190" s="133"/>
      <c r="G1190" s="133"/>
      <c r="H1190" s="133"/>
      <c r="I1190" s="133"/>
      <c r="J1190" s="133"/>
      <c r="K1190" s="133"/>
      <c r="L1190" s="133"/>
      <c r="NW1190" s="6"/>
      <c r="NX1190" s="6"/>
      <c r="NY1190" s="6"/>
      <c r="NZ1190" s="6"/>
      <c r="OA1190" s="6"/>
      <c r="OB1190" s="46"/>
      <c r="OC1190" s="4"/>
      <c r="OD1190" s="6"/>
    </row>
    <row r="1191" spans="1:394" x14ac:dyDescent="0.25">
      <c r="A1191" s="47"/>
      <c r="B1191" s="48"/>
      <c r="C1191" s="133"/>
      <c r="D1191" s="133"/>
      <c r="E1191" s="133"/>
      <c r="F1191" s="133"/>
      <c r="G1191" s="133"/>
      <c r="H1191" s="133"/>
      <c r="I1191" s="133"/>
      <c r="J1191" s="133"/>
      <c r="K1191" s="133"/>
      <c r="L1191" s="133"/>
      <c r="NW1191" s="6"/>
      <c r="NX1191" s="6"/>
      <c r="NY1191" s="6"/>
      <c r="NZ1191" s="6"/>
      <c r="OA1191" s="6"/>
      <c r="OB1191" s="46"/>
      <c r="OC1191" s="4"/>
      <c r="OD1191" s="6"/>
    </row>
    <row r="1192" spans="1:394" x14ac:dyDescent="0.25">
      <c r="A1192" s="47"/>
      <c r="B1192" s="48"/>
      <c r="C1192" s="133"/>
      <c r="D1192" s="133"/>
      <c r="E1192" s="133"/>
      <c r="F1192" s="133"/>
      <c r="G1192" s="133"/>
      <c r="H1192" s="133"/>
      <c r="I1192" s="133"/>
      <c r="J1192" s="133"/>
      <c r="K1192" s="133"/>
      <c r="L1192" s="133"/>
      <c r="NW1192" s="6"/>
      <c r="NX1192" s="6"/>
      <c r="NY1192" s="6"/>
      <c r="NZ1192" s="6"/>
      <c r="OA1192" s="6"/>
      <c r="OB1192" s="46"/>
      <c r="OC1192" s="4"/>
      <c r="OD1192" s="6"/>
    </row>
    <row r="1193" spans="1:394" x14ac:dyDescent="0.25">
      <c r="A1193" s="47"/>
      <c r="B1193" s="48"/>
      <c r="C1193" s="133"/>
      <c r="D1193" s="133"/>
      <c r="E1193" s="133"/>
      <c r="F1193" s="133"/>
      <c r="G1193" s="133"/>
      <c r="H1193" s="133"/>
      <c r="I1193" s="133"/>
      <c r="J1193" s="133"/>
      <c r="K1193" s="133"/>
      <c r="L1193" s="133"/>
      <c r="NW1193" s="6"/>
      <c r="NX1193" s="6"/>
      <c r="NY1193" s="6"/>
      <c r="NZ1193" s="6"/>
      <c r="OA1193" s="6"/>
      <c r="OB1193" s="46"/>
      <c r="OC1193" s="4"/>
      <c r="OD1193" s="6"/>
    </row>
    <row r="1194" spans="1:394" x14ac:dyDescent="0.25">
      <c r="A1194" s="47"/>
      <c r="B1194" s="48"/>
      <c r="C1194" s="133"/>
      <c r="D1194" s="133"/>
      <c r="E1194" s="133"/>
      <c r="F1194" s="133"/>
      <c r="G1194" s="133"/>
      <c r="H1194" s="133"/>
      <c r="I1194" s="133"/>
      <c r="J1194" s="133"/>
      <c r="K1194" s="133"/>
      <c r="L1194" s="133"/>
      <c r="NW1194" s="6"/>
      <c r="NX1194" s="6"/>
      <c r="NY1194" s="6"/>
      <c r="NZ1194" s="6"/>
      <c r="OA1194" s="6"/>
      <c r="OB1194" s="46"/>
      <c r="OC1194" s="4"/>
      <c r="OD1194" s="6"/>
    </row>
    <row r="1195" spans="1:394" x14ac:dyDescent="0.25">
      <c r="A1195" s="47"/>
      <c r="B1195" s="48"/>
      <c r="C1195" s="133"/>
      <c r="D1195" s="133"/>
      <c r="E1195" s="133"/>
      <c r="F1195" s="133"/>
      <c r="G1195" s="133"/>
      <c r="H1195" s="133"/>
      <c r="I1195" s="133"/>
      <c r="J1195" s="133"/>
      <c r="K1195" s="133"/>
      <c r="L1195" s="133"/>
      <c r="NW1195" s="6"/>
      <c r="NX1195" s="6"/>
      <c r="NY1195" s="6"/>
      <c r="NZ1195" s="6"/>
      <c r="OA1195" s="6"/>
      <c r="OB1195" s="46"/>
      <c r="OC1195" s="4"/>
      <c r="OD1195" s="6"/>
    </row>
    <row r="1196" spans="1:394" x14ac:dyDescent="0.25">
      <c r="A1196" s="47"/>
      <c r="B1196" s="48"/>
      <c r="C1196" s="133"/>
      <c r="D1196" s="133"/>
      <c r="E1196" s="133"/>
      <c r="F1196" s="133"/>
      <c r="G1196" s="133"/>
      <c r="H1196" s="133"/>
      <c r="I1196" s="133"/>
      <c r="J1196" s="133"/>
      <c r="K1196" s="133"/>
      <c r="L1196" s="133"/>
      <c r="NW1196" s="6"/>
      <c r="NX1196" s="6"/>
      <c r="NY1196" s="6"/>
      <c r="NZ1196" s="6"/>
      <c r="OA1196" s="6"/>
      <c r="OB1196" s="46"/>
      <c r="OC1196" s="4"/>
      <c r="OD1196" s="6"/>
    </row>
    <row r="1197" spans="1:394" x14ac:dyDescent="0.25">
      <c r="A1197" s="47"/>
      <c r="B1197" s="48"/>
      <c r="C1197" s="133"/>
      <c r="D1197" s="133"/>
      <c r="E1197" s="133"/>
      <c r="F1197" s="133"/>
      <c r="G1197" s="133"/>
      <c r="H1197" s="133"/>
      <c r="I1197" s="133"/>
      <c r="J1197" s="133"/>
      <c r="K1197" s="133"/>
      <c r="L1197" s="133"/>
      <c r="NW1197" s="6"/>
      <c r="NX1197" s="6"/>
      <c r="NY1197" s="6"/>
      <c r="NZ1197" s="6"/>
      <c r="OA1197" s="6"/>
      <c r="OB1197" s="46"/>
      <c r="OC1197" s="4"/>
      <c r="OD1197" s="6"/>
    </row>
    <row r="1198" spans="1:394" x14ac:dyDescent="0.25">
      <c r="A1198" s="47"/>
      <c r="B1198" s="48"/>
      <c r="C1198" s="133"/>
      <c r="D1198" s="133"/>
      <c r="E1198" s="133"/>
      <c r="F1198" s="133"/>
      <c r="G1198" s="133"/>
      <c r="H1198" s="133"/>
      <c r="I1198" s="133"/>
      <c r="J1198" s="133"/>
      <c r="K1198" s="133"/>
      <c r="L1198" s="133"/>
      <c r="NW1198" s="6"/>
      <c r="NX1198" s="6"/>
      <c r="NY1198" s="6"/>
      <c r="NZ1198" s="6"/>
      <c r="OA1198" s="6"/>
      <c r="OB1198" s="46"/>
      <c r="OC1198" s="4"/>
      <c r="OD1198" s="6"/>
    </row>
    <row r="1199" spans="1:394" x14ac:dyDescent="0.25">
      <c r="A1199" s="47"/>
      <c r="B1199" s="48"/>
      <c r="C1199" s="133"/>
      <c r="D1199" s="133"/>
      <c r="E1199" s="133"/>
      <c r="F1199" s="133"/>
      <c r="G1199" s="133"/>
      <c r="H1199" s="133"/>
      <c r="I1199" s="133"/>
      <c r="J1199" s="133"/>
      <c r="K1199" s="133"/>
      <c r="L1199" s="133"/>
      <c r="NW1199" s="6"/>
      <c r="NX1199" s="6"/>
      <c r="NY1199" s="6"/>
      <c r="NZ1199" s="6"/>
      <c r="OA1199" s="6"/>
      <c r="OB1199" s="46"/>
      <c r="OC1199" s="4"/>
      <c r="OD1199" s="6"/>
    </row>
    <row r="1200" spans="1:394" x14ac:dyDescent="0.25">
      <c r="A1200" s="47"/>
      <c r="B1200" s="48"/>
      <c r="C1200" s="133"/>
      <c r="D1200" s="133"/>
      <c r="E1200" s="133"/>
      <c r="F1200" s="133"/>
      <c r="G1200" s="133"/>
      <c r="H1200" s="133"/>
      <c r="I1200" s="133"/>
      <c r="J1200" s="133"/>
      <c r="K1200" s="133"/>
      <c r="L1200" s="133"/>
      <c r="NW1200" s="6"/>
      <c r="NX1200" s="6"/>
      <c r="NY1200" s="6"/>
      <c r="NZ1200" s="6"/>
      <c r="OA1200" s="6"/>
      <c r="OB1200" s="46"/>
      <c r="OC1200" s="4"/>
      <c r="OD1200" s="6"/>
    </row>
    <row r="1201" spans="1:394" x14ac:dyDescent="0.25">
      <c r="A1201" s="47"/>
      <c r="B1201" s="48"/>
      <c r="C1201" s="133"/>
      <c r="D1201" s="133"/>
      <c r="E1201" s="133"/>
      <c r="F1201" s="133"/>
      <c r="G1201" s="133"/>
      <c r="H1201" s="133"/>
      <c r="I1201" s="133"/>
      <c r="J1201" s="133"/>
      <c r="K1201" s="133"/>
      <c r="L1201" s="133"/>
      <c r="NW1201" s="6"/>
      <c r="NX1201" s="6"/>
      <c r="NY1201" s="6"/>
      <c r="NZ1201" s="6"/>
      <c r="OA1201" s="6"/>
      <c r="OB1201" s="46"/>
      <c r="OC1201" s="4"/>
      <c r="OD1201" s="6"/>
    </row>
    <row r="1202" spans="1:394" x14ac:dyDescent="0.25">
      <c r="A1202" s="47"/>
      <c r="B1202" s="48"/>
      <c r="C1202" s="133"/>
      <c r="D1202" s="133"/>
      <c r="E1202" s="133"/>
      <c r="F1202" s="133"/>
      <c r="G1202" s="133"/>
      <c r="H1202" s="133"/>
      <c r="I1202" s="133"/>
      <c r="J1202" s="133"/>
      <c r="K1202" s="133"/>
      <c r="L1202" s="133"/>
      <c r="NW1202" s="6"/>
      <c r="NX1202" s="6"/>
      <c r="NY1202" s="6"/>
      <c r="NZ1202" s="6"/>
      <c r="OA1202" s="6"/>
      <c r="OB1202" s="46"/>
      <c r="OC1202" s="4"/>
      <c r="OD1202" s="6"/>
    </row>
    <row r="1203" spans="1:394" x14ac:dyDescent="0.25">
      <c r="A1203" s="47"/>
      <c r="B1203" s="48"/>
      <c r="C1203" s="133"/>
      <c r="D1203" s="133"/>
      <c r="E1203" s="133"/>
      <c r="F1203" s="133"/>
      <c r="G1203" s="133"/>
      <c r="H1203" s="133"/>
      <c r="I1203" s="133"/>
      <c r="J1203" s="133"/>
      <c r="K1203" s="133"/>
      <c r="L1203" s="133"/>
      <c r="NW1203" s="6"/>
      <c r="NX1203" s="6"/>
      <c r="NY1203" s="6"/>
      <c r="NZ1203" s="6"/>
      <c r="OA1203" s="6"/>
      <c r="OB1203" s="46"/>
      <c r="OC1203" s="4"/>
      <c r="OD1203" s="6"/>
    </row>
    <row r="1204" spans="1:394" x14ac:dyDescent="0.25">
      <c r="A1204" s="47"/>
      <c r="B1204" s="48"/>
      <c r="C1204" s="133"/>
      <c r="D1204" s="133"/>
      <c r="E1204" s="133"/>
      <c r="F1204" s="133"/>
      <c r="G1204" s="133"/>
      <c r="H1204" s="133"/>
      <c r="I1204" s="133"/>
      <c r="J1204" s="133"/>
      <c r="K1204" s="133"/>
      <c r="L1204" s="133"/>
      <c r="NW1204" s="6"/>
      <c r="NX1204" s="6"/>
      <c r="NY1204" s="6"/>
      <c r="NZ1204" s="6"/>
      <c r="OA1204" s="6"/>
      <c r="OB1204" s="46"/>
      <c r="OC1204" s="4"/>
      <c r="OD1204" s="6"/>
    </row>
    <row r="1205" spans="1:394" x14ac:dyDescent="0.25">
      <c r="A1205" s="47"/>
      <c r="B1205" s="48"/>
      <c r="C1205" s="133"/>
      <c r="D1205" s="133"/>
      <c r="E1205" s="133"/>
      <c r="F1205" s="133"/>
      <c r="G1205" s="133"/>
      <c r="H1205" s="133"/>
      <c r="I1205" s="133"/>
      <c r="J1205" s="133"/>
      <c r="K1205" s="133"/>
      <c r="L1205" s="133"/>
      <c r="NW1205" s="6"/>
      <c r="NX1205" s="6"/>
      <c r="NY1205" s="6"/>
      <c r="NZ1205" s="6"/>
      <c r="OA1205" s="6"/>
      <c r="OB1205" s="46"/>
      <c r="OC1205" s="4"/>
      <c r="OD1205" s="6"/>
    </row>
    <row r="1206" spans="1:394" x14ac:dyDescent="0.25">
      <c r="A1206" s="47"/>
      <c r="B1206" s="48"/>
      <c r="C1206" s="133"/>
      <c r="D1206" s="133"/>
      <c r="E1206" s="133"/>
      <c r="F1206" s="133"/>
      <c r="G1206" s="133"/>
      <c r="H1206" s="133"/>
      <c r="I1206" s="133"/>
      <c r="J1206" s="133"/>
      <c r="K1206" s="133"/>
      <c r="L1206" s="133"/>
      <c r="NW1206" s="6"/>
      <c r="NX1206" s="6"/>
      <c r="NY1206" s="6"/>
      <c r="NZ1206" s="6"/>
      <c r="OA1206" s="6"/>
      <c r="OB1206" s="46"/>
      <c r="OC1206" s="4"/>
      <c r="OD1206" s="6"/>
    </row>
    <row r="1207" spans="1:394" x14ac:dyDescent="0.25">
      <c r="A1207" s="47"/>
      <c r="B1207" s="48"/>
      <c r="C1207" s="133"/>
      <c r="D1207" s="133"/>
      <c r="E1207" s="133"/>
      <c r="F1207" s="133"/>
      <c r="G1207" s="133"/>
      <c r="H1207" s="133"/>
      <c r="I1207" s="133"/>
      <c r="J1207" s="133"/>
      <c r="K1207" s="133"/>
      <c r="L1207" s="133"/>
      <c r="NW1207" s="6"/>
      <c r="NX1207" s="6"/>
      <c r="NY1207" s="6"/>
      <c r="NZ1207" s="6"/>
      <c r="OA1207" s="6"/>
      <c r="OB1207" s="46"/>
      <c r="OC1207" s="4"/>
      <c r="OD1207" s="6"/>
    </row>
    <row r="1208" spans="1:394" x14ac:dyDescent="0.25">
      <c r="A1208" s="47"/>
      <c r="B1208" s="48"/>
      <c r="C1208" s="133"/>
      <c r="D1208" s="133"/>
      <c r="E1208" s="133"/>
      <c r="F1208" s="133"/>
      <c r="G1208" s="133"/>
      <c r="H1208" s="133"/>
      <c r="I1208" s="133"/>
      <c r="J1208" s="133"/>
      <c r="K1208" s="133"/>
      <c r="L1208" s="133"/>
      <c r="NW1208" s="6"/>
      <c r="NX1208" s="6"/>
      <c r="NY1208" s="6"/>
      <c r="NZ1208" s="6"/>
      <c r="OA1208" s="6"/>
      <c r="OB1208" s="46"/>
      <c r="OC1208" s="4"/>
      <c r="OD1208" s="6"/>
    </row>
    <row r="1209" spans="1:394" x14ac:dyDescent="0.25">
      <c r="A1209" s="47"/>
      <c r="B1209" s="48"/>
      <c r="C1209" s="133"/>
      <c r="D1209" s="133"/>
      <c r="E1209" s="133"/>
      <c r="F1209" s="133"/>
      <c r="G1209" s="133"/>
      <c r="H1209" s="133"/>
      <c r="I1209" s="133"/>
      <c r="J1209" s="133"/>
      <c r="K1209" s="133"/>
      <c r="L1209" s="133"/>
      <c r="NW1209" s="6"/>
      <c r="NX1209" s="6"/>
      <c r="NY1209" s="6"/>
      <c r="NZ1209" s="6"/>
      <c r="OA1209" s="6"/>
      <c r="OB1209" s="46"/>
      <c r="OC1209" s="4"/>
      <c r="OD1209" s="6"/>
    </row>
    <row r="1210" spans="1:394" x14ac:dyDescent="0.25">
      <c r="A1210" s="47"/>
      <c r="B1210" s="48"/>
      <c r="C1210" s="133"/>
      <c r="D1210" s="133"/>
      <c r="E1210" s="133"/>
      <c r="F1210" s="133"/>
      <c r="G1210" s="133"/>
      <c r="H1210" s="133"/>
      <c r="I1210" s="133"/>
      <c r="J1210" s="133"/>
      <c r="K1210" s="133"/>
      <c r="L1210" s="133"/>
      <c r="NW1210" s="6"/>
      <c r="NX1210" s="6"/>
      <c r="NY1210" s="6"/>
      <c r="NZ1210" s="6"/>
      <c r="OA1210" s="6"/>
      <c r="OB1210" s="46"/>
      <c r="OC1210" s="4"/>
      <c r="OD1210" s="6"/>
    </row>
    <row r="1211" spans="1:394" x14ac:dyDescent="0.25">
      <c r="A1211" s="47"/>
      <c r="B1211" s="48"/>
      <c r="C1211" s="133"/>
      <c r="D1211" s="133"/>
      <c r="E1211" s="133"/>
      <c r="F1211" s="133"/>
      <c r="G1211" s="133"/>
      <c r="H1211" s="133"/>
      <c r="I1211" s="133"/>
      <c r="J1211" s="133"/>
      <c r="K1211" s="133"/>
      <c r="L1211" s="133"/>
      <c r="NW1211" s="6"/>
      <c r="NX1211" s="6"/>
      <c r="NY1211" s="6"/>
      <c r="NZ1211" s="6"/>
      <c r="OA1211" s="6"/>
      <c r="OB1211" s="46"/>
      <c r="OC1211" s="4"/>
      <c r="OD1211" s="6"/>
    </row>
    <row r="1212" spans="1:394" x14ac:dyDescent="0.25">
      <c r="A1212" s="47"/>
      <c r="B1212" s="48"/>
      <c r="C1212" s="133"/>
      <c r="D1212" s="133"/>
      <c r="E1212" s="133"/>
      <c r="F1212" s="133"/>
      <c r="G1212" s="133"/>
      <c r="H1212" s="133"/>
      <c r="I1212" s="133"/>
      <c r="J1212" s="133"/>
      <c r="K1212" s="133"/>
      <c r="L1212" s="133"/>
      <c r="NW1212" s="6"/>
      <c r="NX1212" s="6"/>
      <c r="NY1212" s="6"/>
      <c r="NZ1212" s="6"/>
      <c r="OA1212" s="6"/>
      <c r="OB1212" s="46"/>
      <c r="OC1212" s="4"/>
      <c r="OD1212" s="6"/>
    </row>
    <row r="1213" spans="1:394" x14ac:dyDescent="0.25">
      <c r="A1213" s="47"/>
      <c r="B1213" s="48"/>
      <c r="C1213" s="133"/>
      <c r="D1213" s="133"/>
      <c r="E1213" s="133"/>
      <c r="F1213" s="133"/>
      <c r="G1213" s="133"/>
      <c r="H1213" s="133"/>
      <c r="I1213" s="133"/>
      <c r="J1213" s="133"/>
      <c r="K1213" s="133"/>
      <c r="L1213" s="133"/>
      <c r="NW1213" s="6"/>
      <c r="NX1213" s="6"/>
      <c r="NY1213" s="6"/>
      <c r="NZ1213" s="6"/>
      <c r="OA1213" s="6"/>
      <c r="OB1213" s="46"/>
      <c r="OC1213" s="4"/>
      <c r="OD1213" s="6"/>
    </row>
    <row r="1214" spans="1:394" x14ac:dyDescent="0.25">
      <c r="A1214" s="47"/>
      <c r="B1214" s="48"/>
      <c r="C1214" s="133"/>
      <c r="D1214" s="133"/>
      <c r="E1214" s="133"/>
      <c r="F1214" s="133"/>
      <c r="G1214" s="133"/>
      <c r="H1214" s="133"/>
      <c r="I1214" s="133"/>
      <c r="J1214" s="133"/>
      <c r="K1214" s="133"/>
      <c r="L1214" s="133"/>
      <c r="NW1214" s="6"/>
      <c r="NX1214" s="6"/>
      <c r="NY1214" s="6"/>
      <c r="NZ1214" s="6"/>
      <c r="OA1214" s="6"/>
      <c r="OB1214" s="46"/>
      <c r="OC1214" s="4"/>
      <c r="OD1214" s="6"/>
    </row>
    <row r="1215" spans="1:394" x14ac:dyDescent="0.25">
      <c r="A1215" s="47"/>
      <c r="B1215" s="48"/>
      <c r="C1215" s="133"/>
      <c r="D1215" s="133"/>
      <c r="E1215" s="133"/>
      <c r="F1215" s="133"/>
      <c r="G1215" s="133"/>
      <c r="H1215" s="133"/>
      <c r="I1215" s="133"/>
      <c r="J1215" s="133"/>
      <c r="K1215" s="133"/>
      <c r="L1215" s="133"/>
      <c r="NW1215" s="6"/>
      <c r="NX1215" s="6"/>
      <c r="NY1215" s="6"/>
      <c r="NZ1215" s="6"/>
      <c r="OA1215" s="6"/>
      <c r="OB1215" s="46"/>
      <c r="OC1215" s="4"/>
      <c r="OD1215" s="6"/>
    </row>
    <row r="1216" spans="1:394" x14ac:dyDescent="0.25">
      <c r="A1216" s="47"/>
      <c r="B1216" s="48"/>
      <c r="C1216" s="133"/>
      <c r="D1216" s="133"/>
      <c r="E1216" s="133"/>
      <c r="F1216" s="133"/>
      <c r="G1216" s="133"/>
      <c r="H1216" s="133"/>
      <c r="I1216" s="133"/>
      <c r="J1216" s="133"/>
      <c r="K1216" s="133"/>
      <c r="L1216" s="133"/>
      <c r="NW1216" s="6"/>
      <c r="NX1216" s="6"/>
      <c r="NY1216" s="6"/>
      <c r="NZ1216" s="6"/>
      <c r="OA1216" s="6"/>
      <c r="OB1216" s="46"/>
      <c r="OC1216" s="4"/>
      <c r="OD1216" s="6"/>
    </row>
    <row r="1217" spans="1:394" x14ac:dyDescent="0.25">
      <c r="A1217" s="47"/>
      <c r="B1217" s="48"/>
      <c r="C1217" s="133"/>
      <c r="D1217" s="133"/>
      <c r="E1217" s="133"/>
      <c r="F1217" s="133"/>
      <c r="G1217" s="133"/>
      <c r="H1217" s="133"/>
      <c r="I1217" s="133"/>
      <c r="J1217" s="133"/>
      <c r="K1217" s="133"/>
      <c r="L1217" s="133"/>
      <c r="NW1217" s="6"/>
      <c r="NX1217" s="6"/>
      <c r="NY1217" s="6"/>
      <c r="NZ1217" s="6"/>
      <c r="OA1217" s="6"/>
      <c r="OB1217" s="46"/>
      <c r="OC1217" s="4"/>
      <c r="OD1217" s="6"/>
    </row>
    <row r="1218" spans="1:394" x14ac:dyDescent="0.25">
      <c r="A1218" s="47"/>
      <c r="B1218" s="48"/>
      <c r="C1218" s="133"/>
      <c r="D1218" s="133"/>
      <c r="E1218" s="133"/>
      <c r="F1218" s="133"/>
      <c r="G1218" s="133"/>
      <c r="H1218" s="133"/>
      <c r="I1218" s="133"/>
      <c r="J1218" s="133"/>
      <c r="K1218" s="133"/>
      <c r="L1218" s="133"/>
      <c r="NW1218" s="6"/>
      <c r="NX1218" s="6"/>
      <c r="NY1218" s="6"/>
      <c r="NZ1218" s="6"/>
      <c r="OA1218" s="6"/>
      <c r="OB1218" s="46"/>
      <c r="OC1218" s="4"/>
      <c r="OD1218" s="6"/>
    </row>
    <row r="1219" spans="1:394" x14ac:dyDescent="0.25">
      <c r="A1219" s="47"/>
      <c r="B1219" s="48"/>
      <c r="C1219" s="133"/>
      <c r="D1219" s="133"/>
      <c r="E1219" s="133"/>
      <c r="F1219" s="133"/>
      <c r="G1219" s="133"/>
      <c r="H1219" s="133"/>
      <c r="I1219" s="133"/>
      <c r="J1219" s="133"/>
      <c r="K1219" s="133"/>
      <c r="L1219" s="133"/>
      <c r="NW1219" s="6"/>
      <c r="NX1219" s="6"/>
      <c r="NY1219" s="6"/>
      <c r="NZ1219" s="6"/>
      <c r="OA1219" s="6"/>
      <c r="OB1219" s="46"/>
      <c r="OC1219" s="4"/>
      <c r="OD1219" s="6"/>
    </row>
    <row r="1220" spans="1:394" x14ac:dyDescent="0.25">
      <c r="A1220" s="47"/>
      <c r="B1220" s="48"/>
      <c r="C1220" s="133"/>
      <c r="D1220" s="133"/>
      <c r="E1220" s="133"/>
      <c r="F1220" s="133"/>
      <c r="G1220" s="133"/>
      <c r="H1220" s="133"/>
      <c r="I1220" s="133"/>
      <c r="J1220" s="133"/>
      <c r="K1220" s="133"/>
      <c r="L1220" s="133"/>
      <c r="NW1220" s="6"/>
      <c r="NX1220" s="6"/>
      <c r="NY1220" s="6"/>
      <c r="NZ1220" s="6"/>
      <c r="OA1220" s="6"/>
      <c r="OB1220" s="46"/>
      <c r="OC1220" s="4"/>
      <c r="OD1220" s="6"/>
    </row>
    <row r="1221" spans="1:394" x14ac:dyDescent="0.25">
      <c r="A1221" s="47"/>
      <c r="B1221" s="48"/>
      <c r="C1221" s="133"/>
      <c r="D1221" s="133"/>
      <c r="E1221" s="133"/>
      <c r="F1221" s="133"/>
      <c r="G1221" s="133"/>
      <c r="H1221" s="133"/>
      <c r="I1221" s="133"/>
      <c r="J1221" s="133"/>
      <c r="K1221" s="133"/>
      <c r="L1221" s="133"/>
      <c r="NW1221" s="6"/>
      <c r="NX1221" s="6"/>
      <c r="NY1221" s="6"/>
      <c r="NZ1221" s="6"/>
      <c r="OA1221" s="6"/>
      <c r="OB1221" s="46"/>
      <c r="OC1221" s="4"/>
      <c r="OD1221" s="6"/>
    </row>
    <row r="1222" spans="1:394" x14ac:dyDescent="0.25">
      <c r="A1222" s="47"/>
      <c r="B1222" s="48"/>
      <c r="C1222" s="133"/>
      <c r="D1222" s="133"/>
      <c r="E1222" s="133"/>
      <c r="F1222" s="133"/>
      <c r="G1222" s="133"/>
      <c r="H1222" s="133"/>
      <c r="I1222" s="133"/>
      <c r="J1222" s="133"/>
      <c r="K1222" s="133"/>
      <c r="L1222" s="133"/>
      <c r="NW1222" s="6"/>
      <c r="NX1222" s="6"/>
      <c r="NY1222" s="6"/>
      <c r="NZ1222" s="6"/>
      <c r="OA1222" s="6"/>
      <c r="OB1222" s="46"/>
      <c r="OC1222" s="4"/>
      <c r="OD1222" s="6"/>
    </row>
    <row r="1223" spans="1:394" x14ac:dyDescent="0.25">
      <c r="A1223" s="47"/>
      <c r="B1223" s="48"/>
      <c r="C1223" s="133"/>
      <c r="D1223" s="133"/>
      <c r="E1223" s="133"/>
      <c r="F1223" s="133"/>
      <c r="G1223" s="133"/>
      <c r="H1223" s="133"/>
      <c r="I1223" s="133"/>
      <c r="J1223" s="133"/>
      <c r="K1223" s="133"/>
      <c r="L1223" s="133"/>
      <c r="NW1223" s="6"/>
      <c r="NX1223" s="6"/>
      <c r="NY1223" s="6"/>
      <c r="NZ1223" s="6"/>
      <c r="OA1223" s="6"/>
      <c r="OB1223" s="46"/>
      <c r="OC1223" s="4"/>
      <c r="OD1223" s="6"/>
    </row>
    <row r="1224" spans="1:394" x14ac:dyDescent="0.25">
      <c r="A1224" s="47"/>
      <c r="B1224" s="48"/>
      <c r="C1224" s="133"/>
      <c r="D1224" s="133"/>
      <c r="E1224" s="133"/>
      <c r="F1224" s="133"/>
      <c r="G1224" s="133"/>
      <c r="H1224" s="133"/>
      <c r="I1224" s="133"/>
      <c r="J1224" s="133"/>
      <c r="K1224" s="133"/>
      <c r="L1224" s="133"/>
      <c r="NW1224" s="6"/>
      <c r="NX1224" s="6"/>
      <c r="NY1224" s="6"/>
      <c r="NZ1224" s="6"/>
      <c r="OA1224" s="6"/>
      <c r="OB1224" s="46"/>
      <c r="OC1224" s="4"/>
      <c r="OD1224" s="6"/>
    </row>
    <row r="1225" spans="1:394" x14ac:dyDescent="0.25">
      <c r="A1225" s="47"/>
      <c r="B1225" s="48"/>
      <c r="C1225" s="133"/>
      <c r="D1225" s="133"/>
      <c r="E1225" s="133"/>
      <c r="F1225" s="133"/>
      <c r="G1225" s="133"/>
      <c r="H1225" s="133"/>
      <c r="I1225" s="133"/>
      <c r="J1225" s="133"/>
      <c r="K1225" s="133"/>
      <c r="L1225" s="133"/>
      <c r="NW1225" s="6"/>
      <c r="NX1225" s="6"/>
      <c r="NY1225" s="6"/>
      <c r="NZ1225" s="6"/>
      <c r="OA1225" s="6"/>
      <c r="OB1225" s="46"/>
      <c r="OC1225" s="4"/>
      <c r="OD1225" s="6"/>
    </row>
    <row r="1226" spans="1:394" x14ac:dyDescent="0.25">
      <c r="A1226" s="47"/>
      <c r="B1226" s="48"/>
      <c r="C1226" s="133"/>
      <c r="D1226" s="133"/>
      <c r="E1226" s="133"/>
      <c r="F1226" s="133"/>
      <c r="G1226" s="133"/>
      <c r="H1226" s="133"/>
      <c r="I1226" s="133"/>
      <c r="J1226" s="133"/>
      <c r="K1226" s="133"/>
      <c r="L1226" s="133"/>
      <c r="NW1226" s="6"/>
      <c r="NX1226" s="6"/>
      <c r="NY1226" s="6"/>
      <c r="NZ1226" s="6"/>
      <c r="OA1226" s="6"/>
      <c r="OB1226" s="46"/>
      <c r="OC1226" s="4"/>
      <c r="OD1226" s="6"/>
    </row>
    <row r="1227" spans="1:394" x14ac:dyDescent="0.25">
      <c r="A1227" s="47"/>
      <c r="B1227" s="48"/>
      <c r="C1227" s="133"/>
      <c r="D1227" s="133"/>
      <c r="E1227" s="133"/>
      <c r="F1227" s="133"/>
      <c r="G1227" s="133"/>
      <c r="H1227" s="133"/>
      <c r="I1227" s="133"/>
      <c r="J1227" s="133"/>
      <c r="K1227" s="133"/>
      <c r="L1227" s="133"/>
      <c r="NW1227" s="6"/>
      <c r="NX1227" s="6"/>
      <c r="NY1227" s="6"/>
      <c r="NZ1227" s="6"/>
      <c r="OA1227" s="6"/>
      <c r="OB1227" s="46"/>
      <c r="OC1227" s="4"/>
      <c r="OD1227" s="6"/>
    </row>
    <row r="1228" spans="1:394" x14ac:dyDescent="0.25">
      <c r="A1228" s="47"/>
      <c r="B1228" s="48"/>
      <c r="C1228" s="133"/>
      <c r="D1228" s="133"/>
      <c r="E1228" s="133"/>
      <c r="F1228" s="133"/>
      <c r="G1228" s="133"/>
      <c r="H1228" s="133"/>
      <c r="I1228" s="133"/>
      <c r="J1228" s="133"/>
      <c r="K1228" s="133"/>
      <c r="L1228" s="133"/>
      <c r="NW1228" s="6"/>
      <c r="NX1228" s="6"/>
      <c r="NY1228" s="6"/>
      <c r="NZ1228" s="6"/>
      <c r="OA1228" s="6"/>
      <c r="OB1228" s="46"/>
      <c r="OC1228" s="4"/>
      <c r="OD1228" s="6"/>
    </row>
    <row r="1229" spans="1:394" x14ac:dyDescent="0.25">
      <c r="A1229" s="47"/>
      <c r="B1229" s="48"/>
      <c r="C1229" s="133"/>
      <c r="D1229" s="133"/>
      <c r="E1229" s="133"/>
      <c r="F1229" s="133"/>
      <c r="G1229" s="133"/>
      <c r="H1229" s="133"/>
      <c r="I1229" s="133"/>
      <c r="J1229" s="133"/>
      <c r="K1229" s="133"/>
      <c r="L1229" s="133"/>
      <c r="NW1229" s="6"/>
      <c r="NX1229" s="6"/>
      <c r="NY1229" s="6"/>
      <c r="NZ1229" s="6"/>
      <c r="OA1229" s="6"/>
      <c r="OB1229" s="46"/>
      <c r="OC1229" s="4"/>
      <c r="OD1229" s="6"/>
    </row>
    <row r="1230" spans="1:394" x14ac:dyDescent="0.25">
      <c r="A1230" s="47"/>
      <c r="B1230" s="48"/>
      <c r="C1230" s="133"/>
      <c r="D1230" s="133"/>
      <c r="E1230" s="133"/>
      <c r="F1230" s="133"/>
      <c r="G1230" s="133"/>
      <c r="H1230" s="133"/>
      <c r="I1230" s="133"/>
      <c r="J1230" s="133"/>
      <c r="K1230" s="133"/>
      <c r="L1230" s="133"/>
      <c r="NW1230" s="6"/>
      <c r="NX1230" s="6"/>
      <c r="NY1230" s="6"/>
      <c r="NZ1230" s="6"/>
      <c r="OA1230" s="6"/>
      <c r="OB1230" s="46"/>
      <c r="OC1230" s="4"/>
      <c r="OD1230" s="6"/>
    </row>
    <row r="1231" spans="1:394" x14ac:dyDescent="0.25">
      <c r="A1231" s="47"/>
      <c r="B1231" s="48"/>
      <c r="C1231" s="133"/>
      <c r="D1231" s="133"/>
      <c r="E1231" s="133"/>
      <c r="F1231" s="133"/>
      <c r="G1231" s="133"/>
      <c r="H1231" s="133"/>
      <c r="I1231" s="133"/>
      <c r="J1231" s="133"/>
      <c r="K1231" s="133"/>
      <c r="L1231" s="133"/>
      <c r="NW1231" s="6"/>
      <c r="NX1231" s="6"/>
      <c r="NY1231" s="6"/>
      <c r="NZ1231" s="6"/>
      <c r="OA1231" s="6"/>
      <c r="OB1231" s="46"/>
      <c r="OC1231" s="4"/>
      <c r="OD1231" s="6"/>
    </row>
    <row r="1232" spans="1:394" x14ac:dyDescent="0.25">
      <c r="A1232" s="47"/>
      <c r="B1232" s="48"/>
      <c r="C1232" s="133"/>
      <c r="D1232" s="133"/>
      <c r="E1232" s="133"/>
      <c r="F1232" s="133"/>
      <c r="G1232" s="133"/>
      <c r="H1232" s="133"/>
      <c r="I1232" s="133"/>
      <c r="J1232" s="133"/>
      <c r="K1232" s="133"/>
      <c r="L1232" s="133"/>
      <c r="NW1232" s="6"/>
      <c r="NX1232" s="6"/>
      <c r="NY1232" s="6"/>
      <c r="NZ1232" s="6"/>
      <c r="OA1232" s="6"/>
      <c r="OB1232" s="46"/>
      <c r="OC1232" s="4"/>
      <c r="OD1232" s="6"/>
    </row>
    <row r="1233" spans="1:394" x14ac:dyDescent="0.25">
      <c r="A1233" s="47"/>
      <c r="B1233" s="48"/>
      <c r="C1233" s="133"/>
      <c r="D1233" s="133"/>
      <c r="E1233" s="133"/>
      <c r="F1233" s="133"/>
      <c r="G1233" s="133"/>
      <c r="H1233" s="133"/>
      <c r="I1233" s="133"/>
      <c r="J1233" s="133"/>
      <c r="K1233" s="133"/>
      <c r="L1233" s="133"/>
      <c r="NW1233" s="6"/>
      <c r="NX1233" s="6"/>
      <c r="NY1233" s="6"/>
      <c r="NZ1233" s="6"/>
      <c r="OA1233" s="6"/>
      <c r="OB1233" s="46"/>
      <c r="OC1233" s="4"/>
      <c r="OD1233" s="6"/>
    </row>
    <row r="1234" spans="1:394" x14ac:dyDescent="0.25">
      <c r="A1234" s="47"/>
      <c r="B1234" s="48"/>
      <c r="C1234" s="133"/>
      <c r="D1234" s="133"/>
      <c r="E1234" s="133"/>
      <c r="F1234" s="133"/>
      <c r="G1234" s="133"/>
      <c r="H1234" s="133"/>
      <c r="I1234" s="133"/>
      <c r="J1234" s="133"/>
      <c r="K1234" s="133"/>
      <c r="L1234" s="133"/>
      <c r="NW1234" s="6"/>
      <c r="NX1234" s="6"/>
      <c r="NY1234" s="6"/>
      <c r="NZ1234" s="6"/>
      <c r="OA1234" s="6"/>
      <c r="OB1234" s="46"/>
      <c r="OC1234" s="4"/>
      <c r="OD1234" s="6"/>
    </row>
    <row r="1235" spans="1:394" x14ac:dyDescent="0.25">
      <c r="A1235" s="47"/>
      <c r="B1235" s="48"/>
      <c r="C1235" s="133"/>
      <c r="D1235" s="133"/>
      <c r="E1235" s="133"/>
      <c r="F1235" s="133"/>
      <c r="G1235" s="133"/>
      <c r="H1235" s="133"/>
      <c r="I1235" s="133"/>
      <c r="J1235" s="133"/>
      <c r="K1235" s="133"/>
      <c r="L1235" s="133"/>
      <c r="NW1235" s="6"/>
      <c r="NX1235" s="6"/>
      <c r="NY1235" s="6"/>
      <c r="NZ1235" s="6"/>
      <c r="OA1235" s="6"/>
      <c r="OB1235" s="46"/>
      <c r="OC1235" s="4"/>
      <c r="OD1235" s="6"/>
    </row>
    <row r="1236" spans="1:394" x14ac:dyDescent="0.25">
      <c r="A1236" s="47"/>
      <c r="B1236" s="48"/>
      <c r="C1236" s="133"/>
      <c r="D1236" s="133"/>
      <c r="E1236" s="133"/>
      <c r="F1236" s="133"/>
      <c r="G1236" s="133"/>
      <c r="H1236" s="133"/>
      <c r="I1236" s="133"/>
      <c r="J1236" s="133"/>
      <c r="K1236" s="133"/>
      <c r="L1236" s="133"/>
      <c r="NW1236" s="6"/>
      <c r="NX1236" s="6"/>
      <c r="NY1236" s="6"/>
      <c r="NZ1236" s="6"/>
      <c r="OA1236" s="6"/>
      <c r="OB1236" s="46"/>
      <c r="OC1236" s="4"/>
      <c r="OD1236" s="6"/>
    </row>
    <row r="1237" spans="1:394" x14ac:dyDescent="0.25">
      <c r="A1237" s="47"/>
      <c r="B1237" s="48"/>
      <c r="C1237" s="133"/>
      <c r="D1237" s="133"/>
      <c r="E1237" s="133"/>
      <c r="F1237" s="133"/>
      <c r="G1237" s="133"/>
      <c r="H1237" s="133"/>
      <c r="I1237" s="133"/>
      <c r="J1237" s="133"/>
      <c r="K1237" s="133"/>
      <c r="L1237" s="133"/>
      <c r="NW1237" s="6"/>
      <c r="NX1237" s="6"/>
      <c r="NY1237" s="6"/>
      <c r="NZ1237" s="6"/>
      <c r="OA1237" s="6"/>
      <c r="OB1237" s="46"/>
      <c r="OC1237" s="4"/>
      <c r="OD1237" s="6"/>
    </row>
    <row r="1238" spans="1:394" x14ac:dyDescent="0.25">
      <c r="A1238" s="47"/>
      <c r="B1238" s="48"/>
      <c r="C1238" s="133"/>
      <c r="D1238" s="133"/>
      <c r="E1238" s="133"/>
      <c r="F1238" s="133"/>
      <c r="G1238" s="133"/>
      <c r="H1238" s="133"/>
      <c r="I1238" s="133"/>
      <c r="J1238" s="133"/>
      <c r="K1238" s="133"/>
      <c r="L1238" s="133"/>
      <c r="NW1238" s="6"/>
      <c r="NX1238" s="6"/>
      <c r="NY1238" s="6"/>
      <c r="NZ1238" s="6"/>
      <c r="OA1238" s="6"/>
      <c r="OB1238" s="46"/>
      <c r="OC1238" s="4"/>
      <c r="OD1238" s="6"/>
    </row>
    <row r="1239" spans="1:394" x14ac:dyDescent="0.25">
      <c r="A1239" s="47"/>
      <c r="B1239" s="48"/>
      <c r="C1239" s="133"/>
      <c r="D1239" s="133"/>
      <c r="E1239" s="133"/>
      <c r="F1239" s="133"/>
      <c r="G1239" s="133"/>
      <c r="H1239" s="133"/>
      <c r="I1239" s="133"/>
      <c r="J1239" s="133"/>
      <c r="K1239" s="133"/>
      <c r="L1239" s="133"/>
      <c r="NW1239" s="6"/>
      <c r="NX1239" s="6"/>
      <c r="NY1239" s="6"/>
      <c r="NZ1239" s="6"/>
      <c r="OA1239" s="6"/>
      <c r="OB1239" s="46"/>
      <c r="OC1239" s="4"/>
      <c r="OD1239" s="6"/>
    </row>
    <row r="1240" spans="1:394" x14ac:dyDescent="0.25">
      <c r="A1240" s="47"/>
      <c r="B1240" s="48"/>
      <c r="C1240" s="133"/>
      <c r="D1240" s="133"/>
      <c r="E1240" s="133"/>
      <c r="F1240" s="133"/>
      <c r="G1240" s="133"/>
      <c r="H1240" s="133"/>
      <c r="I1240" s="133"/>
      <c r="J1240" s="133"/>
      <c r="K1240" s="133"/>
      <c r="L1240" s="133"/>
      <c r="NW1240" s="6"/>
      <c r="NX1240" s="6"/>
      <c r="NY1240" s="6"/>
      <c r="NZ1240" s="6"/>
      <c r="OA1240" s="6"/>
      <c r="OB1240" s="46"/>
      <c r="OC1240" s="4"/>
      <c r="OD1240" s="6"/>
    </row>
    <row r="1241" spans="1:394" x14ac:dyDescent="0.25">
      <c r="A1241" s="47"/>
      <c r="B1241" s="48"/>
      <c r="C1241" s="133"/>
      <c r="D1241" s="133"/>
      <c r="E1241" s="133"/>
      <c r="F1241" s="133"/>
      <c r="G1241" s="133"/>
      <c r="H1241" s="133"/>
      <c r="I1241" s="133"/>
      <c r="J1241" s="133"/>
      <c r="K1241" s="133"/>
      <c r="L1241" s="133"/>
      <c r="NW1241" s="6"/>
      <c r="NX1241" s="6"/>
      <c r="NY1241" s="6"/>
      <c r="NZ1241" s="6"/>
      <c r="OA1241" s="6"/>
      <c r="OB1241" s="46"/>
      <c r="OC1241" s="4"/>
      <c r="OD1241" s="6"/>
    </row>
    <row r="1242" spans="1:394" x14ac:dyDescent="0.25">
      <c r="A1242" s="47"/>
      <c r="B1242" s="48"/>
      <c r="C1242" s="133"/>
      <c r="D1242" s="133"/>
      <c r="E1242" s="133"/>
      <c r="F1242" s="133"/>
      <c r="G1242" s="133"/>
      <c r="H1242" s="133"/>
      <c r="I1242" s="133"/>
      <c r="J1242" s="133"/>
      <c r="K1242" s="133"/>
      <c r="L1242" s="133"/>
      <c r="NW1242" s="6"/>
      <c r="NX1242" s="6"/>
      <c r="NY1242" s="6"/>
      <c r="NZ1242" s="6"/>
      <c r="OA1242" s="6"/>
      <c r="OB1242" s="46"/>
      <c r="OC1242" s="4"/>
      <c r="OD1242" s="6"/>
    </row>
    <row r="1243" spans="1:394" x14ac:dyDescent="0.25">
      <c r="A1243" s="47"/>
      <c r="B1243" s="48"/>
      <c r="C1243" s="133"/>
      <c r="D1243" s="133"/>
      <c r="E1243" s="133"/>
      <c r="F1243" s="133"/>
      <c r="G1243" s="133"/>
      <c r="H1243" s="133"/>
      <c r="I1243" s="133"/>
      <c r="J1243" s="133"/>
      <c r="K1243" s="133"/>
      <c r="L1243" s="133"/>
      <c r="NW1243" s="6"/>
      <c r="NX1243" s="6"/>
      <c r="NY1243" s="6"/>
      <c r="NZ1243" s="6"/>
      <c r="OA1243" s="6"/>
      <c r="OB1243" s="46"/>
      <c r="OC1243" s="4"/>
      <c r="OD1243" s="6"/>
    </row>
    <row r="1244" spans="1:394" x14ac:dyDescent="0.25">
      <c r="A1244" s="47"/>
      <c r="B1244" s="48"/>
      <c r="C1244" s="133"/>
      <c r="D1244" s="133"/>
      <c r="E1244" s="133"/>
      <c r="F1244" s="133"/>
      <c r="G1244" s="133"/>
      <c r="H1244" s="133"/>
      <c r="I1244" s="133"/>
      <c r="J1244" s="133"/>
      <c r="K1244" s="133"/>
      <c r="L1244" s="133"/>
      <c r="NW1244" s="6"/>
      <c r="NX1244" s="6"/>
      <c r="NY1244" s="6"/>
      <c r="NZ1244" s="6"/>
      <c r="OA1244" s="6"/>
      <c r="OB1244" s="46"/>
      <c r="OC1244" s="4"/>
      <c r="OD1244" s="6"/>
    </row>
    <row r="1245" spans="1:394" x14ac:dyDescent="0.25">
      <c r="A1245" s="47"/>
      <c r="B1245" s="48"/>
      <c r="C1245" s="133"/>
      <c r="D1245" s="133"/>
      <c r="E1245" s="133"/>
      <c r="F1245" s="133"/>
      <c r="G1245" s="133"/>
      <c r="H1245" s="133"/>
      <c r="I1245" s="133"/>
      <c r="J1245" s="133"/>
      <c r="K1245" s="133"/>
      <c r="L1245" s="133"/>
      <c r="NW1245" s="6"/>
      <c r="NX1245" s="6"/>
      <c r="NY1245" s="6"/>
      <c r="NZ1245" s="6"/>
      <c r="OA1245" s="6"/>
      <c r="OB1245" s="46"/>
      <c r="OC1245" s="4"/>
      <c r="OD1245" s="6"/>
    </row>
    <row r="1246" spans="1:394" x14ac:dyDescent="0.25">
      <c r="A1246" s="47"/>
      <c r="B1246" s="48"/>
      <c r="C1246" s="133"/>
      <c r="D1246" s="133"/>
      <c r="E1246" s="133"/>
      <c r="F1246" s="133"/>
      <c r="G1246" s="133"/>
      <c r="H1246" s="133"/>
      <c r="I1246" s="133"/>
      <c r="J1246" s="133"/>
      <c r="K1246" s="133"/>
      <c r="L1246" s="133"/>
      <c r="NW1246" s="6"/>
      <c r="NX1246" s="6"/>
      <c r="NY1246" s="6"/>
      <c r="NZ1246" s="6"/>
      <c r="OA1246" s="6"/>
      <c r="OB1246" s="46"/>
      <c r="OC1246" s="4"/>
      <c r="OD1246" s="6"/>
    </row>
    <row r="1247" spans="1:394" x14ac:dyDescent="0.25">
      <c r="A1247" s="47"/>
      <c r="B1247" s="48"/>
      <c r="C1247" s="133"/>
      <c r="D1247" s="133"/>
      <c r="E1247" s="133"/>
      <c r="F1247" s="133"/>
      <c r="G1247" s="133"/>
      <c r="H1247" s="133"/>
      <c r="I1247" s="133"/>
      <c r="J1247" s="133"/>
      <c r="K1247" s="133"/>
      <c r="L1247" s="133"/>
      <c r="NW1247" s="6"/>
      <c r="NX1247" s="6"/>
      <c r="NY1247" s="6"/>
      <c r="NZ1247" s="6"/>
      <c r="OA1247" s="6"/>
      <c r="OB1247" s="46"/>
      <c r="OC1247" s="4"/>
      <c r="OD1247" s="6"/>
    </row>
    <row r="1248" spans="1:394" x14ac:dyDescent="0.25">
      <c r="A1248" s="47"/>
      <c r="B1248" s="48"/>
      <c r="C1248" s="133"/>
      <c r="D1248" s="133"/>
      <c r="E1248" s="133"/>
      <c r="F1248" s="133"/>
      <c r="G1248" s="133"/>
      <c r="H1248" s="133"/>
      <c r="I1248" s="133"/>
      <c r="J1248" s="133"/>
      <c r="K1248" s="133"/>
      <c r="L1248" s="133"/>
      <c r="NW1248" s="6"/>
      <c r="NX1248" s="6"/>
      <c r="NY1248" s="6"/>
      <c r="NZ1248" s="6"/>
      <c r="OA1248" s="6"/>
      <c r="OB1248" s="46"/>
      <c r="OC1248" s="4"/>
      <c r="OD1248" s="6"/>
    </row>
    <row r="1249" spans="1:394" x14ac:dyDescent="0.25">
      <c r="A1249" s="47"/>
      <c r="B1249" s="48"/>
      <c r="C1249" s="133"/>
      <c r="D1249" s="133"/>
      <c r="E1249" s="133"/>
      <c r="F1249" s="133"/>
      <c r="G1249" s="133"/>
      <c r="H1249" s="133"/>
      <c r="I1249" s="133"/>
      <c r="J1249" s="133"/>
      <c r="K1249" s="133"/>
      <c r="L1249" s="133"/>
      <c r="NW1249" s="6"/>
      <c r="NX1249" s="6"/>
      <c r="NY1249" s="6"/>
      <c r="NZ1249" s="6"/>
      <c r="OA1249" s="6"/>
      <c r="OB1249" s="46"/>
      <c r="OC1249" s="4"/>
      <c r="OD1249" s="6"/>
    </row>
    <row r="1250" spans="1:394" x14ac:dyDescent="0.25">
      <c r="A1250" s="47"/>
      <c r="B1250" s="48"/>
      <c r="C1250" s="133"/>
      <c r="D1250" s="133"/>
      <c r="E1250" s="133"/>
      <c r="F1250" s="133"/>
      <c r="G1250" s="133"/>
      <c r="H1250" s="133"/>
      <c r="I1250" s="133"/>
      <c r="J1250" s="133"/>
      <c r="K1250" s="133"/>
      <c r="L1250" s="133"/>
      <c r="NW1250" s="6"/>
      <c r="NX1250" s="6"/>
      <c r="NY1250" s="6"/>
      <c r="NZ1250" s="6"/>
      <c r="OA1250" s="6"/>
      <c r="OB1250" s="46"/>
      <c r="OC1250" s="4"/>
      <c r="OD1250" s="6"/>
    </row>
    <row r="1251" spans="1:394" x14ac:dyDescent="0.25">
      <c r="A1251" s="47"/>
      <c r="B1251" s="48"/>
      <c r="C1251" s="133"/>
      <c r="D1251" s="133"/>
      <c r="E1251" s="133"/>
      <c r="F1251" s="133"/>
      <c r="G1251" s="133"/>
      <c r="H1251" s="133"/>
      <c r="I1251" s="133"/>
      <c r="J1251" s="133"/>
      <c r="K1251" s="133"/>
      <c r="L1251" s="133"/>
      <c r="NW1251" s="6"/>
      <c r="NX1251" s="6"/>
      <c r="NY1251" s="6"/>
      <c r="NZ1251" s="6"/>
      <c r="OA1251" s="6"/>
      <c r="OB1251" s="46"/>
      <c r="OC1251" s="4"/>
      <c r="OD1251" s="6"/>
    </row>
    <row r="1252" spans="1:394" x14ac:dyDescent="0.25">
      <c r="A1252" s="47"/>
      <c r="B1252" s="48"/>
      <c r="C1252" s="133"/>
      <c r="D1252" s="133"/>
      <c r="E1252" s="133"/>
      <c r="F1252" s="133"/>
      <c r="G1252" s="133"/>
      <c r="H1252" s="133"/>
      <c r="I1252" s="133"/>
      <c r="J1252" s="133"/>
      <c r="K1252" s="133"/>
      <c r="L1252" s="133"/>
      <c r="NW1252" s="6"/>
      <c r="NX1252" s="6"/>
      <c r="NY1252" s="6"/>
      <c r="NZ1252" s="6"/>
      <c r="OA1252" s="6"/>
      <c r="OB1252" s="46"/>
      <c r="OC1252" s="4"/>
      <c r="OD1252" s="6"/>
    </row>
    <row r="1253" spans="1:394" x14ac:dyDescent="0.25">
      <c r="A1253" s="47"/>
      <c r="B1253" s="48"/>
      <c r="C1253" s="133"/>
      <c r="D1253" s="133"/>
      <c r="E1253" s="133"/>
      <c r="F1253" s="133"/>
      <c r="G1253" s="133"/>
      <c r="H1253" s="133"/>
      <c r="I1253" s="133"/>
      <c r="J1253" s="133"/>
      <c r="K1253" s="133"/>
      <c r="L1253" s="133"/>
      <c r="NW1253" s="6"/>
      <c r="NX1253" s="6"/>
      <c r="NY1253" s="6"/>
      <c r="NZ1253" s="6"/>
      <c r="OA1253" s="6"/>
      <c r="OB1253" s="46"/>
      <c r="OC1253" s="4"/>
      <c r="OD1253" s="6"/>
    </row>
    <row r="1254" spans="1:394" x14ac:dyDescent="0.25">
      <c r="A1254" s="47"/>
      <c r="B1254" s="48"/>
      <c r="C1254" s="133"/>
      <c r="D1254" s="133"/>
      <c r="E1254" s="133"/>
      <c r="F1254" s="133"/>
      <c r="G1254" s="133"/>
      <c r="H1254" s="133"/>
      <c r="I1254" s="133"/>
      <c r="J1254" s="133"/>
      <c r="K1254" s="133"/>
      <c r="L1254" s="133"/>
      <c r="NW1254" s="6"/>
      <c r="NX1254" s="6"/>
      <c r="NY1254" s="6"/>
      <c r="NZ1254" s="6"/>
      <c r="OA1254" s="6"/>
      <c r="OB1254" s="46"/>
      <c r="OC1254" s="4"/>
      <c r="OD1254" s="6"/>
    </row>
    <row r="1255" spans="1:394" x14ac:dyDescent="0.25">
      <c r="A1255" s="47"/>
      <c r="B1255" s="48"/>
      <c r="C1255" s="133"/>
      <c r="D1255" s="133"/>
      <c r="E1255" s="133"/>
      <c r="F1255" s="133"/>
      <c r="G1255" s="133"/>
      <c r="H1255" s="133"/>
      <c r="I1255" s="133"/>
      <c r="J1255" s="133"/>
      <c r="K1255" s="133"/>
      <c r="L1255" s="133"/>
      <c r="NW1255" s="6"/>
      <c r="NX1255" s="6"/>
      <c r="NY1255" s="6"/>
      <c r="NZ1255" s="6"/>
      <c r="OA1255" s="6"/>
      <c r="OB1255" s="46"/>
      <c r="OC1255" s="4"/>
      <c r="OD1255" s="6"/>
    </row>
    <row r="1256" spans="1:394" x14ac:dyDescent="0.25">
      <c r="A1256" s="47"/>
      <c r="B1256" s="48"/>
      <c r="C1256" s="133"/>
      <c r="D1256" s="133"/>
      <c r="E1256" s="133"/>
      <c r="F1256" s="133"/>
      <c r="G1256" s="133"/>
      <c r="H1256" s="133"/>
      <c r="I1256" s="133"/>
      <c r="J1256" s="133"/>
      <c r="K1256" s="133"/>
      <c r="L1256" s="133"/>
      <c r="NW1256" s="6"/>
      <c r="NX1256" s="6"/>
      <c r="NY1256" s="6"/>
      <c r="NZ1256" s="6"/>
      <c r="OA1256" s="6"/>
      <c r="OB1256" s="46"/>
      <c r="OC1256" s="4"/>
      <c r="OD1256" s="6"/>
    </row>
    <row r="1257" spans="1:394" x14ac:dyDescent="0.25">
      <c r="A1257" s="47"/>
      <c r="B1257" s="48"/>
      <c r="C1257" s="133"/>
      <c r="D1257" s="133"/>
      <c r="E1257" s="133"/>
      <c r="F1257" s="133"/>
      <c r="G1257" s="133"/>
      <c r="H1257" s="133"/>
      <c r="I1257" s="133"/>
      <c r="J1257" s="133"/>
      <c r="K1257" s="133"/>
      <c r="L1257" s="133"/>
      <c r="NW1257" s="6"/>
      <c r="NX1257" s="6"/>
      <c r="NY1257" s="6"/>
      <c r="NZ1257" s="6"/>
      <c r="OA1257" s="6"/>
      <c r="OB1257" s="46"/>
      <c r="OC1257" s="4"/>
      <c r="OD1257" s="6"/>
    </row>
    <row r="1258" spans="1:394" x14ac:dyDescent="0.25">
      <c r="A1258" s="47"/>
      <c r="B1258" s="48"/>
      <c r="C1258" s="133"/>
      <c r="D1258" s="133"/>
      <c r="E1258" s="133"/>
      <c r="F1258" s="133"/>
      <c r="G1258" s="133"/>
      <c r="H1258" s="133"/>
      <c r="I1258" s="133"/>
      <c r="J1258" s="133"/>
      <c r="K1258" s="133"/>
      <c r="L1258" s="133"/>
      <c r="NW1258" s="6"/>
      <c r="NX1258" s="6"/>
      <c r="NY1258" s="6"/>
      <c r="NZ1258" s="6"/>
      <c r="OA1258" s="6"/>
      <c r="OB1258" s="46"/>
      <c r="OC1258" s="4"/>
      <c r="OD1258" s="6"/>
    </row>
    <row r="1259" spans="1:394" x14ac:dyDescent="0.25">
      <c r="A1259" s="47"/>
      <c r="B1259" s="48"/>
      <c r="C1259" s="133"/>
      <c r="D1259" s="133"/>
      <c r="E1259" s="133"/>
      <c r="F1259" s="133"/>
      <c r="G1259" s="133"/>
      <c r="H1259" s="133"/>
      <c r="I1259" s="133"/>
      <c r="J1259" s="133"/>
      <c r="K1259" s="133"/>
      <c r="L1259" s="133"/>
      <c r="NW1259" s="6"/>
      <c r="NX1259" s="6"/>
      <c r="NY1259" s="6"/>
      <c r="NZ1259" s="6"/>
      <c r="OA1259" s="6"/>
      <c r="OB1259" s="46"/>
      <c r="OC1259" s="4"/>
      <c r="OD1259" s="6"/>
    </row>
    <row r="1260" spans="1:394" x14ac:dyDescent="0.25">
      <c r="A1260" s="47"/>
      <c r="B1260" s="48"/>
      <c r="C1260" s="133"/>
      <c r="D1260" s="133"/>
      <c r="E1260" s="133"/>
      <c r="F1260" s="133"/>
      <c r="G1260" s="133"/>
      <c r="H1260" s="133"/>
      <c r="I1260" s="133"/>
      <c r="J1260" s="133"/>
      <c r="K1260" s="133"/>
      <c r="L1260" s="133"/>
      <c r="NW1260" s="6"/>
      <c r="NX1260" s="6"/>
      <c r="NY1260" s="6"/>
      <c r="NZ1260" s="6"/>
      <c r="OA1260" s="6"/>
      <c r="OB1260" s="46"/>
      <c r="OC1260" s="4"/>
      <c r="OD1260" s="6"/>
    </row>
    <row r="1261" spans="1:394" x14ac:dyDescent="0.25">
      <c r="A1261" s="47"/>
      <c r="B1261" s="48"/>
      <c r="C1261" s="133"/>
      <c r="D1261" s="133"/>
      <c r="E1261" s="133"/>
      <c r="F1261" s="133"/>
      <c r="G1261" s="133"/>
      <c r="H1261" s="133"/>
      <c r="I1261" s="133"/>
      <c r="J1261" s="133"/>
      <c r="K1261" s="133"/>
      <c r="L1261" s="133"/>
      <c r="NW1261" s="6"/>
      <c r="NX1261" s="6"/>
      <c r="NY1261" s="6"/>
      <c r="NZ1261" s="6"/>
      <c r="OA1261" s="6"/>
      <c r="OB1261" s="46"/>
      <c r="OC1261" s="4"/>
      <c r="OD1261" s="6"/>
    </row>
    <row r="1262" spans="1:394" x14ac:dyDescent="0.25">
      <c r="A1262" s="47"/>
      <c r="B1262" s="48"/>
      <c r="C1262" s="133"/>
      <c r="D1262" s="133"/>
      <c r="E1262" s="133"/>
      <c r="F1262" s="133"/>
      <c r="G1262" s="133"/>
      <c r="H1262" s="133"/>
      <c r="I1262" s="133"/>
      <c r="J1262" s="133"/>
      <c r="K1262" s="133"/>
      <c r="L1262" s="133"/>
      <c r="NW1262" s="6"/>
      <c r="NX1262" s="6"/>
      <c r="NY1262" s="6"/>
      <c r="NZ1262" s="6"/>
      <c r="OA1262" s="6"/>
      <c r="OB1262" s="46"/>
      <c r="OC1262" s="4"/>
      <c r="OD1262" s="6"/>
    </row>
    <row r="1263" spans="1:394" x14ac:dyDescent="0.25">
      <c r="A1263" s="47"/>
      <c r="B1263" s="48"/>
      <c r="C1263" s="133"/>
      <c r="D1263" s="133"/>
      <c r="E1263" s="133"/>
      <c r="F1263" s="133"/>
      <c r="G1263" s="133"/>
      <c r="H1263" s="133"/>
      <c r="I1263" s="133"/>
      <c r="J1263" s="133"/>
      <c r="K1263" s="133"/>
      <c r="L1263" s="133"/>
      <c r="NW1263" s="6"/>
      <c r="NX1263" s="6"/>
      <c r="NY1263" s="6"/>
      <c r="NZ1263" s="6"/>
      <c r="OA1263" s="6"/>
      <c r="OB1263" s="46"/>
      <c r="OC1263" s="4"/>
      <c r="OD1263" s="6"/>
    </row>
    <row r="1264" spans="1:394" x14ac:dyDescent="0.25">
      <c r="A1264" s="47"/>
      <c r="B1264" s="48"/>
      <c r="C1264" s="133"/>
      <c r="D1264" s="133"/>
      <c r="E1264" s="133"/>
      <c r="F1264" s="133"/>
      <c r="G1264" s="133"/>
      <c r="H1264" s="133"/>
      <c r="I1264" s="133"/>
      <c r="J1264" s="133"/>
      <c r="K1264" s="133"/>
      <c r="L1264" s="133"/>
      <c r="NW1264" s="6"/>
      <c r="NX1264" s="6"/>
      <c r="NY1264" s="6"/>
      <c r="NZ1264" s="6"/>
      <c r="OA1264" s="6"/>
      <c r="OB1264" s="46"/>
      <c r="OC1264" s="4"/>
      <c r="OD1264" s="6"/>
    </row>
    <row r="1265" spans="1:394" x14ac:dyDescent="0.25">
      <c r="A1265" s="47"/>
      <c r="B1265" s="48"/>
      <c r="C1265" s="133"/>
      <c r="D1265" s="133"/>
      <c r="E1265" s="133"/>
      <c r="F1265" s="133"/>
      <c r="G1265" s="133"/>
      <c r="H1265" s="133"/>
      <c r="I1265" s="133"/>
      <c r="J1265" s="133"/>
      <c r="K1265" s="133"/>
      <c r="L1265" s="133"/>
      <c r="NW1265" s="6"/>
      <c r="NX1265" s="6"/>
      <c r="NY1265" s="6"/>
      <c r="NZ1265" s="6"/>
      <c r="OA1265" s="6"/>
      <c r="OB1265" s="46"/>
      <c r="OC1265" s="4"/>
      <c r="OD1265" s="6"/>
    </row>
    <row r="1266" spans="1:394" x14ac:dyDescent="0.25">
      <c r="A1266" s="47"/>
      <c r="B1266" s="48"/>
      <c r="C1266" s="133"/>
      <c r="D1266" s="133"/>
      <c r="E1266" s="133"/>
      <c r="F1266" s="133"/>
      <c r="G1266" s="133"/>
      <c r="H1266" s="133"/>
      <c r="I1266" s="133"/>
      <c r="J1266" s="133"/>
      <c r="K1266" s="133"/>
      <c r="L1266" s="133"/>
      <c r="NW1266" s="6"/>
      <c r="NX1266" s="6"/>
      <c r="NY1266" s="6"/>
      <c r="NZ1266" s="6"/>
      <c r="OA1266" s="6"/>
      <c r="OB1266" s="46"/>
      <c r="OC1266" s="4"/>
      <c r="OD1266" s="6"/>
    </row>
    <row r="1267" spans="1:394" x14ac:dyDescent="0.25">
      <c r="A1267" s="47"/>
      <c r="B1267" s="48"/>
      <c r="C1267" s="133"/>
      <c r="D1267" s="133"/>
      <c r="E1267" s="133"/>
      <c r="F1267" s="133"/>
      <c r="G1267" s="133"/>
      <c r="H1267" s="133"/>
      <c r="I1267" s="133"/>
      <c r="J1267" s="133"/>
      <c r="K1267" s="133"/>
      <c r="L1267" s="133"/>
      <c r="NW1267" s="6"/>
      <c r="NX1267" s="6"/>
      <c r="NY1267" s="6"/>
      <c r="NZ1267" s="6"/>
      <c r="OA1267" s="6"/>
      <c r="OB1267" s="46"/>
      <c r="OC1267" s="4"/>
      <c r="OD1267" s="6"/>
    </row>
    <row r="1268" spans="1:394" x14ac:dyDescent="0.25">
      <c r="A1268" s="47"/>
      <c r="B1268" s="48"/>
      <c r="C1268" s="133"/>
      <c r="D1268" s="133"/>
      <c r="E1268" s="133"/>
      <c r="F1268" s="133"/>
      <c r="G1268" s="133"/>
      <c r="H1268" s="133"/>
      <c r="I1268" s="133"/>
      <c r="J1268" s="133"/>
      <c r="K1268" s="133"/>
      <c r="L1268" s="133"/>
      <c r="NW1268" s="6"/>
      <c r="NX1268" s="6"/>
      <c r="NY1268" s="6"/>
      <c r="NZ1268" s="6"/>
      <c r="OA1268" s="6"/>
      <c r="OB1268" s="46"/>
      <c r="OC1268" s="4"/>
      <c r="OD1268" s="6"/>
    </row>
    <row r="1269" spans="1:394" x14ac:dyDescent="0.25">
      <c r="A1269" s="47"/>
      <c r="B1269" s="48"/>
      <c r="C1269" s="133"/>
      <c r="D1269" s="133"/>
      <c r="E1269" s="133"/>
      <c r="F1269" s="133"/>
      <c r="G1269" s="133"/>
      <c r="H1269" s="133"/>
      <c r="I1269" s="133"/>
      <c r="J1269" s="133"/>
      <c r="K1269" s="133"/>
      <c r="L1269" s="133"/>
      <c r="NW1269" s="6"/>
      <c r="NX1269" s="6"/>
      <c r="NY1269" s="6"/>
      <c r="NZ1269" s="6"/>
      <c r="OA1269" s="6"/>
      <c r="OB1269" s="46"/>
      <c r="OC1269" s="4"/>
      <c r="OD1269" s="6"/>
    </row>
    <row r="1270" spans="1:394" x14ac:dyDescent="0.25">
      <c r="A1270" s="47"/>
      <c r="B1270" s="48"/>
      <c r="C1270" s="133"/>
      <c r="D1270" s="133"/>
      <c r="E1270" s="133"/>
      <c r="F1270" s="133"/>
      <c r="G1270" s="133"/>
      <c r="H1270" s="133"/>
      <c r="I1270" s="133"/>
      <c r="J1270" s="133"/>
      <c r="K1270" s="133"/>
      <c r="L1270" s="133"/>
      <c r="NW1270" s="6"/>
      <c r="NX1270" s="6"/>
      <c r="NY1270" s="6"/>
      <c r="NZ1270" s="6"/>
      <c r="OA1270" s="6"/>
      <c r="OB1270" s="46"/>
      <c r="OC1270" s="4"/>
      <c r="OD1270" s="6"/>
    </row>
    <row r="1271" spans="1:394" x14ac:dyDescent="0.25">
      <c r="A1271" s="47"/>
      <c r="B1271" s="48"/>
      <c r="C1271" s="133"/>
      <c r="D1271" s="133"/>
      <c r="E1271" s="133"/>
      <c r="F1271" s="133"/>
      <c r="G1271" s="133"/>
      <c r="H1271" s="133"/>
      <c r="I1271" s="133"/>
      <c r="J1271" s="133"/>
      <c r="K1271" s="133"/>
      <c r="L1271" s="133"/>
      <c r="NW1271" s="6"/>
      <c r="NX1271" s="6"/>
      <c r="NY1271" s="6"/>
      <c r="NZ1271" s="6"/>
      <c r="OA1271" s="6"/>
      <c r="OB1271" s="46"/>
      <c r="OC1271" s="4"/>
      <c r="OD1271" s="6"/>
    </row>
    <row r="1272" spans="1:394" x14ac:dyDescent="0.25">
      <c r="A1272" s="47"/>
      <c r="B1272" s="48"/>
      <c r="C1272" s="133"/>
      <c r="D1272" s="133"/>
      <c r="E1272" s="133"/>
      <c r="F1272" s="133"/>
      <c r="G1272" s="133"/>
      <c r="H1272" s="133"/>
      <c r="I1272" s="133"/>
      <c r="J1272" s="133"/>
      <c r="K1272" s="133"/>
      <c r="L1272" s="133"/>
      <c r="NW1272" s="6"/>
      <c r="NX1272" s="6"/>
      <c r="NY1272" s="6"/>
      <c r="NZ1272" s="6"/>
      <c r="OA1272" s="6"/>
      <c r="OB1272" s="46"/>
      <c r="OC1272" s="4"/>
      <c r="OD1272" s="6"/>
    </row>
    <row r="1273" spans="1:394" x14ac:dyDescent="0.25">
      <c r="A1273" s="47"/>
      <c r="B1273" s="48"/>
      <c r="C1273" s="133"/>
      <c r="D1273" s="133"/>
      <c r="E1273" s="133"/>
      <c r="F1273" s="133"/>
      <c r="G1273" s="133"/>
      <c r="H1273" s="133"/>
      <c r="I1273" s="133"/>
      <c r="J1273" s="133"/>
      <c r="K1273" s="133"/>
      <c r="L1273" s="133"/>
      <c r="NW1273" s="6"/>
      <c r="NX1273" s="6"/>
      <c r="NY1273" s="6"/>
      <c r="NZ1273" s="6"/>
      <c r="OA1273" s="6"/>
      <c r="OB1273" s="46"/>
      <c r="OC1273" s="4"/>
      <c r="OD1273" s="6"/>
    </row>
    <row r="1274" spans="1:394" x14ac:dyDescent="0.25">
      <c r="A1274" s="47"/>
      <c r="B1274" s="48"/>
      <c r="C1274" s="133"/>
      <c r="D1274" s="133"/>
      <c r="E1274" s="133"/>
      <c r="F1274" s="133"/>
      <c r="G1274" s="133"/>
      <c r="H1274" s="133"/>
      <c r="I1274" s="133"/>
      <c r="J1274" s="133"/>
      <c r="K1274" s="133"/>
      <c r="L1274" s="133"/>
      <c r="NW1274" s="6"/>
      <c r="NX1274" s="6"/>
      <c r="NY1274" s="6"/>
      <c r="NZ1274" s="6"/>
      <c r="OA1274" s="6"/>
      <c r="OB1274" s="46"/>
      <c r="OC1274" s="4"/>
      <c r="OD1274" s="6"/>
    </row>
    <row r="1275" spans="1:394" x14ac:dyDescent="0.25">
      <c r="A1275" s="47"/>
      <c r="B1275" s="48"/>
      <c r="C1275" s="133"/>
      <c r="D1275" s="133"/>
      <c r="E1275" s="133"/>
      <c r="F1275" s="133"/>
      <c r="G1275" s="133"/>
      <c r="H1275" s="133"/>
      <c r="I1275" s="133"/>
      <c r="J1275" s="133"/>
      <c r="K1275" s="133"/>
      <c r="L1275" s="133"/>
      <c r="NW1275" s="6"/>
      <c r="NX1275" s="6"/>
      <c r="NY1275" s="6"/>
      <c r="NZ1275" s="6"/>
      <c r="OA1275" s="6"/>
      <c r="OB1275" s="46"/>
      <c r="OC1275" s="4"/>
      <c r="OD1275" s="6"/>
    </row>
    <row r="1276" spans="1:394" x14ac:dyDescent="0.25">
      <c r="A1276" s="47"/>
      <c r="B1276" s="48"/>
      <c r="C1276" s="133"/>
      <c r="D1276" s="133"/>
      <c r="E1276" s="133"/>
      <c r="F1276" s="133"/>
      <c r="G1276" s="133"/>
      <c r="H1276" s="133"/>
      <c r="I1276" s="133"/>
      <c r="J1276" s="133"/>
      <c r="K1276" s="133"/>
      <c r="L1276" s="133"/>
      <c r="NW1276" s="6"/>
      <c r="NX1276" s="6"/>
      <c r="NY1276" s="6"/>
      <c r="NZ1276" s="6"/>
      <c r="OA1276" s="6"/>
      <c r="OB1276" s="46"/>
      <c r="OC1276" s="4"/>
      <c r="OD1276" s="6"/>
    </row>
    <row r="1277" spans="1:394" x14ac:dyDescent="0.25">
      <c r="A1277" s="47"/>
      <c r="B1277" s="48"/>
      <c r="C1277" s="133"/>
      <c r="D1277" s="133"/>
      <c r="E1277" s="133"/>
      <c r="F1277" s="133"/>
      <c r="G1277" s="133"/>
      <c r="H1277" s="133"/>
      <c r="I1277" s="133"/>
      <c r="J1277" s="133"/>
      <c r="K1277" s="133"/>
      <c r="L1277" s="133"/>
      <c r="NW1277" s="6"/>
      <c r="NX1277" s="6"/>
      <c r="NY1277" s="6"/>
      <c r="NZ1277" s="6"/>
      <c r="OA1277" s="6"/>
      <c r="OB1277" s="46"/>
      <c r="OC1277" s="4"/>
      <c r="OD1277" s="6"/>
    </row>
    <row r="1278" spans="1:394" x14ac:dyDescent="0.25">
      <c r="A1278" s="47"/>
      <c r="B1278" s="48"/>
      <c r="C1278" s="133"/>
      <c r="D1278" s="133"/>
      <c r="E1278" s="133"/>
      <c r="F1278" s="133"/>
      <c r="G1278" s="133"/>
      <c r="H1278" s="133"/>
      <c r="I1278" s="133"/>
      <c r="J1278" s="133"/>
      <c r="K1278" s="133"/>
      <c r="L1278" s="133"/>
      <c r="NW1278" s="6"/>
      <c r="NX1278" s="6"/>
      <c r="NY1278" s="6"/>
      <c r="NZ1278" s="6"/>
      <c r="OA1278" s="6"/>
      <c r="OB1278" s="46"/>
      <c r="OC1278" s="4"/>
      <c r="OD1278" s="6"/>
    </row>
    <row r="1279" spans="1:394" x14ac:dyDescent="0.25">
      <c r="A1279" s="47"/>
      <c r="B1279" s="48"/>
      <c r="C1279" s="133"/>
      <c r="D1279" s="133"/>
      <c r="E1279" s="133"/>
      <c r="F1279" s="133"/>
      <c r="G1279" s="133"/>
      <c r="H1279" s="133"/>
      <c r="I1279" s="133"/>
      <c r="J1279" s="133"/>
      <c r="K1279" s="133"/>
      <c r="L1279" s="133"/>
      <c r="NW1279" s="6"/>
      <c r="NX1279" s="6"/>
      <c r="NY1279" s="6"/>
      <c r="NZ1279" s="6"/>
      <c r="OA1279" s="6"/>
      <c r="OB1279" s="46"/>
      <c r="OC1279" s="4"/>
      <c r="OD1279" s="6"/>
    </row>
    <row r="1280" spans="1:394" x14ac:dyDescent="0.25">
      <c r="A1280" s="47"/>
      <c r="B1280" s="48"/>
      <c r="C1280" s="133"/>
      <c r="D1280" s="133"/>
      <c r="E1280" s="133"/>
      <c r="F1280" s="133"/>
      <c r="G1280" s="133"/>
      <c r="H1280" s="133"/>
      <c r="I1280" s="133"/>
      <c r="J1280" s="133"/>
      <c r="K1280" s="133"/>
      <c r="L1280" s="133"/>
      <c r="NW1280" s="6"/>
      <c r="NX1280" s="6"/>
      <c r="NY1280" s="6"/>
      <c r="NZ1280" s="6"/>
      <c r="OA1280" s="6"/>
      <c r="OB1280" s="46"/>
      <c r="OC1280" s="4"/>
      <c r="OD1280" s="6"/>
    </row>
    <row r="1281" spans="1:394" x14ac:dyDescent="0.25">
      <c r="A1281" s="47"/>
      <c r="B1281" s="48"/>
      <c r="C1281" s="133"/>
      <c r="D1281" s="133"/>
      <c r="E1281" s="133"/>
      <c r="F1281" s="133"/>
      <c r="G1281" s="133"/>
      <c r="H1281" s="133"/>
      <c r="I1281" s="133"/>
      <c r="J1281" s="133"/>
      <c r="K1281" s="133"/>
      <c r="L1281" s="133"/>
      <c r="NW1281" s="6"/>
      <c r="NX1281" s="6"/>
      <c r="NY1281" s="6"/>
      <c r="NZ1281" s="6"/>
      <c r="OA1281" s="6"/>
      <c r="OB1281" s="46"/>
      <c r="OC1281" s="4"/>
      <c r="OD1281" s="6"/>
    </row>
    <row r="1282" spans="1:394" x14ac:dyDescent="0.25">
      <c r="A1282" s="47"/>
      <c r="B1282" s="48"/>
      <c r="C1282" s="133"/>
      <c r="D1282" s="133"/>
      <c r="E1282" s="133"/>
      <c r="F1282" s="133"/>
      <c r="G1282" s="133"/>
      <c r="H1282" s="133"/>
      <c r="I1282" s="133"/>
      <c r="J1282" s="133"/>
      <c r="K1282" s="133"/>
      <c r="L1282" s="133"/>
      <c r="NW1282" s="6"/>
      <c r="NX1282" s="6"/>
      <c r="NY1282" s="6"/>
      <c r="NZ1282" s="6"/>
      <c r="OA1282" s="6"/>
      <c r="OB1282" s="46"/>
      <c r="OC1282" s="4"/>
      <c r="OD1282" s="6"/>
    </row>
    <row r="1283" spans="1:394" x14ac:dyDescent="0.25">
      <c r="A1283" s="47"/>
      <c r="B1283" s="48"/>
      <c r="C1283" s="133"/>
      <c r="D1283" s="133"/>
      <c r="E1283" s="133"/>
      <c r="F1283" s="133"/>
      <c r="G1283" s="133"/>
      <c r="H1283" s="133"/>
      <c r="I1283" s="133"/>
      <c r="J1283" s="133"/>
      <c r="K1283" s="133"/>
      <c r="L1283" s="133"/>
      <c r="NW1283" s="6"/>
      <c r="NX1283" s="6"/>
      <c r="NY1283" s="6"/>
      <c r="NZ1283" s="6"/>
      <c r="OA1283" s="6"/>
      <c r="OB1283" s="46"/>
      <c r="OC1283" s="4"/>
      <c r="OD1283" s="6"/>
    </row>
    <row r="1284" spans="1:394" x14ac:dyDescent="0.25">
      <c r="A1284" s="47"/>
      <c r="B1284" s="48"/>
      <c r="C1284" s="133"/>
      <c r="D1284" s="133"/>
      <c r="E1284" s="133"/>
      <c r="F1284" s="133"/>
      <c r="G1284" s="133"/>
      <c r="H1284" s="133"/>
      <c r="I1284" s="133"/>
      <c r="J1284" s="133"/>
      <c r="K1284" s="133"/>
      <c r="L1284" s="133"/>
      <c r="NW1284" s="6"/>
      <c r="NX1284" s="6"/>
      <c r="NY1284" s="6"/>
      <c r="NZ1284" s="6"/>
      <c r="OA1284" s="6"/>
      <c r="OB1284" s="46"/>
      <c r="OC1284" s="4"/>
      <c r="OD1284" s="6"/>
    </row>
    <row r="1285" spans="1:394" x14ac:dyDescent="0.25">
      <c r="A1285" s="47"/>
      <c r="B1285" s="48"/>
      <c r="C1285" s="133"/>
      <c r="D1285" s="133"/>
      <c r="E1285" s="133"/>
      <c r="F1285" s="133"/>
      <c r="G1285" s="133"/>
      <c r="H1285" s="133"/>
      <c r="I1285" s="133"/>
      <c r="J1285" s="133"/>
      <c r="K1285" s="133"/>
      <c r="L1285" s="133"/>
      <c r="NW1285" s="6"/>
      <c r="NX1285" s="6"/>
      <c r="NY1285" s="6"/>
      <c r="NZ1285" s="6"/>
      <c r="OA1285" s="6"/>
      <c r="OB1285" s="46"/>
      <c r="OC1285" s="4"/>
      <c r="OD1285" s="6"/>
    </row>
    <row r="1286" spans="1:394" x14ac:dyDescent="0.25">
      <c r="A1286" s="47"/>
      <c r="B1286" s="48"/>
      <c r="C1286" s="133"/>
      <c r="D1286" s="133"/>
      <c r="E1286" s="133"/>
      <c r="F1286" s="133"/>
      <c r="G1286" s="133"/>
      <c r="H1286" s="133"/>
      <c r="I1286" s="133"/>
      <c r="J1286" s="133"/>
      <c r="K1286" s="133"/>
      <c r="L1286" s="133"/>
      <c r="NW1286" s="6"/>
      <c r="NX1286" s="6"/>
      <c r="NY1286" s="6"/>
      <c r="NZ1286" s="6"/>
      <c r="OA1286" s="6"/>
      <c r="OB1286" s="46"/>
      <c r="OC1286" s="4"/>
      <c r="OD1286" s="6"/>
    </row>
    <row r="1287" spans="1:394" x14ac:dyDescent="0.25">
      <c r="A1287" s="47"/>
      <c r="B1287" s="48"/>
      <c r="C1287" s="133"/>
      <c r="D1287" s="133"/>
      <c r="E1287" s="133"/>
      <c r="F1287" s="133"/>
      <c r="G1287" s="133"/>
      <c r="H1287" s="133"/>
      <c r="I1287" s="133"/>
      <c r="J1287" s="133"/>
      <c r="K1287" s="133"/>
      <c r="L1287" s="133"/>
      <c r="NW1287" s="6"/>
      <c r="NX1287" s="6"/>
      <c r="NY1287" s="6"/>
      <c r="NZ1287" s="6"/>
      <c r="OA1287" s="6"/>
      <c r="OB1287" s="46"/>
      <c r="OC1287" s="4"/>
      <c r="OD1287" s="6"/>
    </row>
    <row r="1288" spans="1:394" x14ac:dyDescent="0.25">
      <c r="A1288" s="47"/>
      <c r="B1288" s="48"/>
      <c r="C1288" s="133"/>
      <c r="D1288" s="133"/>
      <c r="E1288" s="133"/>
      <c r="F1288" s="133"/>
      <c r="G1288" s="133"/>
      <c r="H1288" s="133"/>
      <c r="I1288" s="133"/>
      <c r="J1288" s="133"/>
      <c r="K1288" s="133"/>
      <c r="L1288" s="133"/>
      <c r="NW1288" s="6"/>
      <c r="NX1288" s="6"/>
      <c r="NY1288" s="6"/>
      <c r="NZ1288" s="6"/>
      <c r="OA1288" s="6"/>
      <c r="OB1288" s="46"/>
      <c r="OC1288" s="4"/>
      <c r="OD1288" s="6"/>
    </row>
    <row r="1289" spans="1:394" x14ac:dyDescent="0.25">
      <c r="A1289" s="47"/>
      <c r="B1289" s="48"/>
      <c r="C1289" s="133"/>
      <c r="D1289" s="133"/>
      <c r="E1289" s="133"/>
      <c r="F1289" s="133"/>
      <c r="G1289" s="133"/>
      <c r="H1289" s="133"/>
      <c r="I1289" s="133"/>
      <c r="J1289" s="133"/>
      <c r="K1289" s="133"/>
      <c r="L1289" s="133"/>
      <c r="NW1289" s="6"/>
      <c r="NX1289" s="6"/>
      <c r="NY1289" s="6"/>
      <c r="NZ1289" s="6"/>
      <c r="OA1289" s="6"/>
      <c r="OB1289" s="46"/>
      <c r="OC1289" s="4"/>
      <c r="OD1289" s="6"/>
    </row>
    <row r="1290" spans="1:394" x14ac:dyDescent="0.25">
      <c r="A1290" s="47"/>
      <c r="B1290" s="48"/>
      <c r="C1290" s="133"/>
      <c r="D1290" s="133"/>
      <c r="E1290" s="133"/>
      <c r="F1290" s="133"/>
      <c r="G1290" s="133"/>
      <c r="H1290" s="133"/>
      <c r="I1290" s="133"/>
      <c r="J1290" s="133"/>
      <c r="K1290" s="133"/>
      <c r="L1290" s="133"/>
      <c r="NW1290" s="6"/>
      <c r="NX1290" s="6"/>
      <c r="NY1290" s="6"/>
      <c r="NZ1290" s="6"/>
      <c r="OA1290" s="6"/>
      <c r="OB1290" s="46"/>
      <c r="OC1290" s="4"/>
      <c r="OD1290" s="6"/>
    </row>
    <row r="1291" spans="1:394" x14ac:dyDescent="0.25">
      <c r="A1291" s="47"/>
      <c r="B1291" s="48"/>
      <c r="C1291" s="133"/>
      <c r="D1291" s="133"/>
      <c r="E1291" s="133"/>
      <c r="F1291" s="133"/>
      <c r="G1291" s="133"/>
      <c r="H1291" s="133"/>
      <c r="I1291" s="133"/>
      <c r="J1291" s="133"/>
      <c r="K1291" s="133"/>
      <c r="L1291" s="133"/>
      <c r="NW1291" s="6"/>
      <c r="NX1291" s="6"/>
      <c r="NY1291" s="6"/>
      <c r="NZ1291" s="6"/>
      <c r="OA1291" s="6"/>
      <c r="OB1291" s="46"/>
      <c r="OC1291" s="4"/>
      <c r="OD1291" s="6"/>
    </row>
    <row r="1292" spans="1:394" x14ac:dyDescent="0.25">
      <c r="A1292" s="47"/>
      <c r="B1292" s="48"/>
      <c r="C1292" s="133"/>
      <c r="D1292" s="133"/>
      <c r="E1292" s="133"/>
      <c r="F1292" s="133"/>
      <c r="G1292" s="133"/>
      <c r="H1292" s="133"/>
      <c r="I1292" s="133"/>
      <c r="J1292" s="133"/>
      <c r="K1292" s="133"/>
      <c r="L1292" s="133"/>
      <c r="NW1292" s="6"/>
      <c r="NX1292" s="6"/>
      <c r="NY1292" s="6"/>
      <c r="NZ1292" s="6"/>
      <c r="OA1292" s="6"/>
      <c r="OB1292" s="46"/>
      <c r="OC1292" s="4"/>
      <c r="OD1292" s="6"/>
    </row>
    <row r="1293" spans="1:394" x14ac:dyDescent="0.25">
      <c r="A1293" s="47"/>
      <c r="B1293" s="48"/>
      <c r="C1293" s="133"/>
      <c r="D1293" s="133"/>
      <c r="E1293" s="133"/>
      <c r="F1293" s="133"/>
      <c r="G1293" s="133"/>
      <c r="H1293" s="133"/>
      <c r="I1293" s="133"/>
      <c r="J1293" s="133"/>
      <c r="K1293" s="133"/>
      <c r="L1293" s="133"/>
      <c r="NW1293" s="6"/>
      <c r="NX1293" s="6"/>
      <c r="NY1293" s="6"/>
      <c r="NZ1293" s="6"/>
      <c r="OA1293" s="6"/>
      <c r="OB1293" s="46"/>
      <c r="OC1293" s="4"/>
      <c r="OD1293" s="6"/>
    </row>
    <row r="1294" spans="1:394" x14ac:dyDescent="0.25">
      <c r="A1294" s="47"/>
      <c r="B1294" s="48"/>
      <c r="C1294" s="133"/>
      <c r="D1294" s="133"/>
      <c r="E1294" s="133"/>
      <c r="F1294" s="133"/>
      <c r="G1294" s="133"/>
      <c r="H1294" s="133"/>
      <c r="I1294" s="133"/>
      <c r="J1294" s="133"/>
      <c r="K1294" s="133"/>
      <c r="L1294" s="133"/>
      <c r="NW1294" s="6"/>
      <c r="NX1294" s="6"/>
      <c r="NY1294" s="6"/>
      <c r="NZ1294" s="6"/>
      <c r="OA1294" s="6"/>
      <c r="OB1294" s="46"/>
      <c r="OC1294" s="4"/>
      <c r="OD1294" s="6"/>
    </row>
    <row r="1295" spans="1:394" x14ac:dyDescent="0.25">
      <c r="A1295" s="47"/>
      <c r="B1295" s="48"/>
      <c r="C1295" s="133"/>
      <c r="D1295" s="133"/>
      <c r="E1295" s="133"/>
      <c r="F1295" s="133"/>
      <c r="G1295" s="133"/>
      <c r="H1295" s="133"/>
      <c r="I1295" s="133"/>
      <c r="J1295" s="133"/>
      <c r="K1295" s="133"/>
      <c r="L1295" s="133"/>
      <c r="NW1295" s="6"/>
      <c r="NX1295" s="6"/>
      <c r="NY1295" s="6"/>
      <c r="NZ1295" s="6"/>
      <c r="OA1295" s="6"/>
      <c r="OB1295" s="46"/>
      <c r="OC1295" s="4"/>
      <c r="OD1295" s="6"/>
    </row>
    <row r="1296" spans="1:394" x14ac:dyDescent="0.25">
      <c r="A1296" s="47"/>
      <c r="B1296" s="48"/>
      <c r="C1296" s="133"/>
      <c r="D1296" s="133"/>
      <c r="E1296" s="133"/>
      <c r="F1296" s="133"/>
      <c r="G1296" s="133"/>
      <c r="H1296" s="133"/>
      <c r="I1296" s="133"/>
      <c r="J1296" s="133"/>
      <c r="K1296" s="133"/>
      <c r="L1296" s="133"/>
      <c r="NW1296" s="6"/>
      <c r="NX1296" s="6"/>
      <c r="NY1296" s="6"/>
      <c r="NZ1296" s="6"/>
      <c r="OA1296" s="6"/>
      <c r="OB1296" s="46"/>
      <c r="OC1296" s="4"/>
      <c r="OD1296" s="6"/>
    </row>
    <row r="1297" spans="1:394" x14ac:dyDescent="0.25">
      <c r="A1297" s="47"/>
      <c r="B1297" s="48"/>
      <c r="C1297" s="133"/>
      <c r="D1297" s="133"/>
      <c r="E1297" s="133"/>
      <c r="F1297" s="133"/>
      <c r="G1297" s="133"/>
      <c r="H1297" s="133"/>
      <c r="I1297" s="133"/>
      <c r="J1297" s="133"/>
      <c r="K1297" s="133"/>
      <c r="L1297" s="133"/>
      <c r="NW1297" s="6"/>
      <c r="NX1297" s="6"/>
      <c r="NY1297" s="6"/>
      <c r="NZ1297" s="6"/>
      <c r="OA1297" s="6"/>
      <c r="OB1297" s="46"/>
      <c r="OC1297" s="4"/>
      <c r="OD1297" s="6"/>
    </row>
    <row r="1298" spans="1:394" x14ac:dyDescent="0.25">
      <c r="A1298" s="47"/>
      <c r="B1298" s="48"/>
      <c r="C1298" s="133"/>
      <c r="D1298" s="133"/>
      <c r="E1298" s="133"/>
      <c r="F1298" s="133"/>
      <c r="G1298" s="133"/>
      <c r="H1298" s="133"/>
      <c r="I1298" s="133"/>
      <c r="J1298" s="133"/>
      <c r="K1298" s="133"/>
      <c r="L1298" s="133"/>
      <c r="NW1298" s="6"/>
      <c r="NX1298" s="6"/>
      <c r="NY1298" s="6"/>
      <c r="NZ1298" s="6"/>
      <c r="OA1298" s="6"/>
      <c r="OB1298" s="46"/>
      <c r="OC1298" s="4"/>
      <c r="OD1298" s="6"/>
    </row>
    <row r="1299" spans="1:394" x14ac:dyDescent="0.25">
      <c r="A1299" s="47"/>
      <c r="B1299" s="48"/>
      <c r="C1299" s="133"/>
      <c r="D1299" s="133"/>
      <c r="E1299" s="133"/>
      <c r="F1299" s="133"/>
      <c r="G1299" s="133"/>
      <c r="H1299" s="133"/>
      <c r="I1299" s="133"/>
      <c r="J1299" s="133"/>
      <c r="K1299" s="133"/>
      <c r="L1299" s="133"/>
      <c r="NW1299" s="6"/>
      <c r="NX1299" s="6"/>
      <c r="NY1299" s="6"/>
      <c r="NZ1299" s="6"/>
      <c r="OA1299" s="6"/>
      <c r="OB1299" s="46"/>
      <c r="OC1299" s="4"/>
      <c r="OD1299" s="6"/>
    </row>
    <row r="1300" spans="1:394" x14ac:dyDescent="0.25">
      <c r="A1300" s="47"/>
      <c r="B1300" s="48"/>
      <c r="C1300" s="133"/>
      <c r="D1300" s="133"/>
      <c r="E1300" s="133"/>
      <c r="F1300" s="133"/>
      <c r="G1300" s="133"/>
      <c r="H1300" s="133"/>
      <c r="I1300" s="133"/>
      <c r="J1300" s="133"/>
      <c r="K1300" s="133"/>
      <c r="L1300" s="133"/>
      <c r="NW1300" s="6"/>
      <c r="NX1300" s="6"/>
      <c r="NY1300" s="6"/>
      <c r="NZ1300" s="6"/>
      <c r="OA1300" s="6"/>
      <c r="OB1300" s="46"/>
      <c r="OC1300" s="4"/>
      <c r="OD1300" s="6"/>
    </row>
    <row r="1301" spans="1:394" x14ac:dyDescent="0.25">
      <c r="A1301" s="47"/>
      <c r="B1301" s="48"/>
      <c r="C1301" s="133"/>
      <c r="D1301" s="133"/>
      <c r="E1301" s="133"/>
      <c r="F1301" s="133"/>
      <c r="G1301" s="133"/>
      <c r="H1301" s="133"/>
      <c r="I1301" s="133"/>
      <c r="J1301" s="133"/>
      <c r="K1301" s="133"/>
      <c r="L1301" s="133"/>
      <c r="NW1301" s="6"/>
      <c r="NX1301" s="6"/>
      <c r="NY1301" s="6"/>
      <c r="NZ1301" s="6"/>
      <c r="OA1301" s="6"/>
      <c r="OB1301" s="46"/>
      <c r="OC1301" s="4"/>
      <c r="OD1301" s="6"/>
    </row>
    <row r="1302" spans="1:394" x14ac:dyDescent="0.25">
      <c r="A1302" s="47"/>
      <c r="B1302" s="48"/>
      <c r="C1302" s="133"/>
      <c r="D1302" s="133"/>
      <c r="E1302" s="133"/>
      <c r="F1302" s="133"/>
      <c r="G1302" s="133"/>
      <c r="H1302" s="133"/>
      <c r="I1302" s="133"/>
      <c r="J1302" s="133"/>
      <c r="K1302" s="133"/>
      <c r="L1302" s="133"/>
      <c r="NW1302" s="6"/>
      <c r="NX1302" s="6"/>
      <c r="NY1302" s="6"/>
      <c r="NZ1302" s="6"/>
      <c r="OA1302" s="6"/>
      <c r="OB1302" s="46"/>
      <c r="OC1302" s="4"/>
      <c r="OD1302" s="6"/>
    </row>
    <row r="1303" spans="1:394" x14ac:dyDescent="0.25">
      <c r="A1303" s="47"/>
      <c r="B1303" s="48"/>
      <c r="C1303" s="133"/>
      <c r="D1303" s="133"/>
      <c r="E1303" s="133"/>
      <c r="F1303" s="133"/>
      <c r="G1303" s="133"/>
      <c r="H1303" s="133"/>
      <c r="I1303" s="133"/>
      <c r="J1303" s="133"/>
      <c r="K1303" s="133"/>
      <c r="L1303" s="133"/>
      <c r="NW1303" s="6"/>
      <c r="NX1303" s="6"/>
      <c r="NY1303" s="6"/>
      <c r="NZ1303" s="6"/>
      <c r="OA1303" s="6"/>
      <c r="OB1303" s="46"/>
      <c r="OC1303" s="4"/>
      <c r="OD1303" s="6"/>
    </row>
    <row r="1304" spans="1:394" x14ac:dyDescent="0.25">
      <c r="A1304" s="47"/>
      <c r="B1304" s="48"/>
      <c r="C1304" s="133"/>
      <c r="D1304" s="133"/>
      <c r="E1304" s="133"/>
      <c r="F1304" s="133"/>
      <c r="G1304" s="133"/>
      <c r="H1304" s="133"/>
      <c r="I1304" s="133"/>
      <c r="J1304" s="133"/>
      <c r="K1304" s="133"/>
      <c r="L1304" s="133"/>
      <c r="NW1304" s="6"/>
      <c r="NX1304" s="6"/>
      <c r="NY1304" s="6"/>
      <c r="NZ1304" s="6"/>
      <c r="OA1304" s="6"/>
      <c r="OB1304" s="46"/>
      <c r="OC1304" s="4"/>
      <c r="OD1304" s="6"/>
    </row>
    <row r="1305" spans="1:394" x14ac:dyDescent="0.25">
      <c r="A1305" s="47"/>
      <c r="B1305" s="48"/>
      <c r="C1305" s="133"/>
      <c r="D1305" s="133"/>
      <c r="E1305" s="133"/>
      <c r="F1305" s="133"/>
      <c r="G1305" s="133"/>
      <c r="H1305" s="133"/>
      <c r="I1305" s="133"/>
      <c r="J1305" s="133"/>
      <c r="K1305" s="133"/>
      <c r="L1305" s="133"/>
      <c r="NW1305" s="6"/>
      <c r="NX1305" s="6"/>
      <c r="NY1305" s="6"/>
      <c r="NZ1305" s="6"/>
      <c r="OA1305" s="6"/>
      <c r="OB1305" s="46"/>
      <c r="OC1305" s="4"/>
      <c r="OD1305" s="6"/>
    </row>
    <row r="1306" spans="1:394" x14ac:dyDescent="0.25">
      <c r="A1306" s="47"/>
      <c r="B1306" s="48"/>
      <c r="C1306" s="133"/>
      <c r="D1306" s="133"/>
      <c r="E1306" s="133"/>
      <c r="F1306" s="133"/>
      <c r="G1306" s="133"/>
      <c r="H1306" s="133"/>
      <c r="I1306" s="133"/>
      <c r="J1306" s="133"/>
      <c r="K1306" s="133"/>
      <c r="L1306" s="133"/>
      <c r="NW1306" s="6"/>
      <c r="NX1306" s="6"/>
      <c r="NY1306" s="6"/>
      <c r="NZ1306" s="6"/>
      <c r="OA1306" s="6"/>
      <c r="OB1306" s="46"/>
      <c r="OC1306" s="4"/>
      <c r="OD1306" s="6"/>
    </row>
    <row r="1307" spans="1:394" x14ac:dyDescent="0.25">
      <c r="A1307" s="47"/>
      <c r="B1307" s="48"/>
      <c r="C1307" s="133"/>
      <c r="D1307" s="133"/>
      <c r="E1307" s="133"/>
      <c r="F1307" s="133"/>
      <c r="G1307" s="133"/>
      <c r="H1307" s="133"/>
      <c r="I1307" s="133"/>
      <c r="J1307" s="133"/>
      <c r="K1307" s="133"/>
      <c r="L1307" s="133"/>
      <c r="NW1307" s="6"/>
      <c r="NX1307" s="6"/>
      <c r="NY1307" s="6"/>
      <c r="NZ1307" s="6"/>
      <c r="OA1307" s="6"/>
      <c r="OB1307" s="46"/>
      <c r="OC1307" s="4"/>
      <c r="OD1307" s="6"/>
    </row>
    <row r="1308" spans="1:394" x14ac:dyDescent="0.25">
      <c r="A1308" s="47"/>
      <c r="B1308" s="48"/>
      <c r="C1308" s="133"/>
      <c r="D1308" s="133"/>
      <c r="E1308" s="133"/>
      <c r="F1308" s="133"/>
      <c r="G1308" s="133"/>
      <c r="H1308" s="133"/>
      <c r="I1308" s="133"/>
      <c r="J1308" s="133"/>
      <c r="K1308" s="133"/>
      <c r="L1308" s="133"/>
      <c r="NW1308" s="6"/>
      <c r="NX1308" s="6"/>
      <c r="NY1308" s="6"/>
      <c r="NZ1308" s="6"/>
      <c r="OA1308" s="6"/>
      <c r="OB1308" s="46"/>
      <c r="OC1308" s="4"/>
      <c r="OD1308" s="6"/>
    </row>
    <row r="1309" spans="1:394" x14ac:dyDescent="0.25">
      <c r="A1309" s="47"/>
      <c r="B1309" s="48"/>
      <c r="C1309" s="133"/>
      <c r="D1309" s="133"/>
      <c r="E1309" s="133"/>
      <c r="F1309" s="133"/>
      <c r="G1309" s="133"/>
      <c r="H1309" s="133"/>
      <c r="I1309" s="133"/>
      <c r="J1309" s="133"/>
      <c r="K1309" s="133"/>
      <c r="L1309" s="133"/>
      <c r="NW1309" s="6"/>
      <c r="NX1309" s="6"/>
      <c r="NY1309" s="6"/>
      <c r="NZ1309" s="6"/>
      <c r="OA1309" s="6"/>
      <c r="OB1309" s="46"/>
      <c r="OC1309" s="4"/>
      <c r="OD1309" s="6"/>
    </row>
    <row r="1310" spans="1:394" x14ac:dyDescent="0.25">
      <c r="A1310" s="47"/>
      <c r="B1310" s="48"/>
      <c r="C1310" s="133"/>
      <c r="D1310" s="133"/>
      <c r="E1310" s="133"/>
      <c r="F1310" s="133"/>
      <c r="G1310" s="133"/>
      <c r="H1310" s="133"/>
      <c r="I1310" s="133"/>
      <c r="J1310" s="133"/>
      <c r="K1310" s="133"/>
      <c r="L1310" s="133"/>
      <c r="NW1310" s="6"/>
      <c r="NX1310" s="6"/>
      <c r="NY1310" s="6"/>
      <c r="NZ1310" s="6"/>
      <c r="OA1310" s="6"/>
      <c r="OB1310" s="46"/>
      <c r="OC1310" s="4"/>
      <c r="OD1310" s="6"/>
    </row>
    <row r="1311" spans="1:394" x14ac:dyDescent="0.25">
      <c r="A1311" s="47"/>
      <c r="B1311" s="48"/>
      <c r="C1311" s="133"/>
      <c r="D1311" s="133"/>
      <c r="E1311" s="133"/>
      <c r="F1311" s="133"/>
      <c r="G1311" s="133"/>
      <c r="H1311" s="133"/>
      <c r="I1311" s="133"/>
      <c r="J1311" s="133"/>
      <c r="K1311" s="133"/>
      <c r="L1311" s="133"/>
      <c r="NW1311" s="6"/>
      <c r="NX1311" s="6"/>
      <c r="NY1311" s="6"/>
      <c r="NZ1311" s="6"/>
      <c r="OA1311" s="6"/>
      <c r="OB1311" s="46"/>
      <c r="OC1311" s="4"/>
      <c r="OD1311" s="6"/>
    </row>
    <row r="1312" spans="1:394" x14ac:dyDescent="0.25">
      <c r="A1312" s="47"/>
      <c r="B1312" s="48"/>
      <c r="C1312" s="133"/>
      <c r="D1312" s="133"/>
      <c r="E1312" s="133"/>
      <c r="F1312" s="133"/>
      <c r="G1312" s="133"/>
      <c r="H1312" s="133"/>
      <c r="I1312" s="133"/>
      <c r="J1312" s="133"/>
      <c r="K1312" s="133"/>
      <c r="L1312" s="133"/>
      <c r="NW1312" s="6"/>
      <c r="NX1312" s="6"/>
      <c r="NY1312" s="6"/>
      <c r="NZ1312" s="6"/>
      <c r="OA1312" s="6"/>
      <c r="OB1312" s="46"/>
      <c r="OC1312" s="4"/>
      <c r="OD1312" s="6"/>
    </row>
    <row r="1313" spans="1:394" x14ac:dyDescent="0.25">
      <c r="A1313" s="47"/>
      <c r="B1313" s="48"/>
      <c r="C1313" s="133"/>
      <c r="D1313" s="133"/>
      <c r="E1313" s="133"/>
      <c r="F1313" s="133"/>
      <c r="G1313" s="133"/>
      <c r="H1313" s="133"/>
      <c r="I1313" s="133"/>
      <c r="J1313" s="133"/>
      <c r="K1313" s="133"/>
      <c r="L1313" s="133"/>
      <c r="NW1313" s="6"/>
      <c r="NX1313" s="6"/>
      <c r="NY1313" s="6"/>
      <c r="NZ1313" s="6"/>
      <c r="OA1313" s="6"/>
      <c r="OB1313" s="46"/>
      <c r="OC1313" s="4"/>
      <c r="OD1313" s="6"/>
    </row>
    <row r="1314" spans="1:394" x14ac:dyDescent="0.25">
      <c r="A1314" s="47"/>
      <c r="B1314" s="48"/>
      <c r="C1314" s="133"/>
      <c r="D1314" s="133"/>
      <c r="E1314" s="133"/>
      <c r="F1314" s="133"/>
      <c r="G1314" s="133"/>
      <c r="H1314" s="133"/>
      <c r="I1314" s="133"/>
      <c r="J1314" s="133"/>
      <c r="K1314" s="133"/>
      <c r="L1314" s="133"/>
      <c r="NW1314" s="6"/>
      <c r="NX1314" s="6"/>
      <c r="NY1314" s="6"/>
      <c r="NZ1314" s="6"/>
      <c r="OA1314" s="6"/>
      <c r="OB1314" s="46"/>
      <c r="OC1314" s="4"/>
      <c r="OD1314" s="6"/>
    </row>
    <row r="1315" spans="1:394" x14ac:dyDescent="0.25">
      <c r="A1315" s="47"/>
      <c r="B1315" s="48"/>
      <c r="C1315" s="133"/>
      <c r="D1315" s="133"/>
      <c r="E1315" s="133"/>
      <c r="F1315" s="133"/>
      <c r="G1315" s="133"/>
      <c r="H1315" s="133"/>
      <c r="I1315" s="133"/>
      <c r="J1315" s="133"/>
      <c r="K1315" s="133"/>
      <c r="L1315" s="133"/>
      <c r="NW1315" s="6"/>
      <c r="NX1315" s="6"/>
      <c r="NY1315" s="6"/>
      <c r="NZ1315" s="6"/>
      <c r="OA1315" s="6"/>
      <c r="OB1315" s="46"/>
      <c r="OC1315" s="4"/>
      <c r="OD1315" s="6"/>
    </row>
    <row r="1316" spans="1:394" x14ac:dyDescent="0.25">
      <c r="A1316" s="47"/>
      <c r="B1316" s="48"/>
      <c r="C1316" s="133"/>
      <c r="D1316" s="133"/>
      <c r="E1316" s="133"/>
      <c r="F1316" s="133"/>
      <c r="G1316" s="133"/>
      <c r="H1316" s="133"/>
      <c r="I1316" s="133"/>
      <c r="J1316" s="133"/>
      <c r="K1316" s="133"/>
      <c r="L1316" s="133"/>
      <c r="NW1316" s="6"/>
      <c r="NX1316" s="6"/>
      <c r="NY1316" s="6"/>
      <c r="NZ1316" s="6"/>
      <c r="OA1316" s="6"/>
      <c r="OB1316" s="46"/>
      <c r="OC1316" s="4"/>
      <c r="OD1316" s="6"/>
    </row>
    <row r="1317" spans="1:394" x14ac:dyDescent="0.25">
      <c r="A1317" s="47"/>
      <c r="B1317" s="48"/>
      <c r="C1317" s="133"/>
      <c r="D1317" s="133"/>
      <c r="E1317" s="133"/>
      <c r="F1317" s="133"/>
      <c r="G1317" s="133"/>
      <c r="H1317" s="133"/>
      <c r="I1317" s="133"/>
      <c r="J1317" s="133"/>
      <c r="K1317" s="133"/>
      <c r="L1317" s="133"/>
      <c r="NW1317" s="6"/>
      <c r="NX1317" s="6"/>
      <c r="NY1317" s="6"/>
      <c r="NZ1317" s="6"/>
      <c r="OA1317" s="6"/>
      <c r="OB1317" s="46"/>
      <c r="OC1317" s="4"/>
      <c r="OD1317" s="6"/>
    </row>
    <row r="1318" spans="1:394" x14ac:dyDescent="0.25">
      <c r="A1318" s="47"/>
      <c r="B1318" s="48"/>
      <c r="C1318" s="133"/>
      <c r="D1318" s="133"/>
      <c r="E1318" s="133"/>
      <c r="F1318" s="133"/>
      <c r="G1318" s="133"/>
      <c r="H1318" s="133"/>
      <c r="I1318" s="133"/>
      <c r="J1318" s="133"/>
      <c r="K1318" s="133"/>
      <c r="L1318" s="133"/>
      <c r="NW1318" s="6"/>
      <c r="NX1318" s="6"/>
      <c r="NY1318" s="6"/>
      <c r="NZ1318" s="6"/>
      <c r="OA1318" s="6"/>
      <c r="OB1318" s="46"/>
      <c r="OC1318" s="4"/>
      <c r="OD1318" s="6"/>
    </row>
    <row r="1319" spans="1:394" x14ac:dyDescent="0.25">
      <c r="A1319" s="47"/>
      <c r="B1319" s="48"/>
      <c r="C1319" s="133"/>
      <c r="D1319" s="133"/>
      <c r="E1319" s="133"/>
      <c r="F1319" s="133"/>
      <c r="G1319" s="133"/>
      <c r="H1319" s="133"/>
      <c r="I1319" s="133"/>
      <c r="J1319" s="133"/>
      <c r="K1319" s="133"/>
      <c r="L1319" s="133"/>
      <c r="NW1319" s="6"/>
      <c r="NX1319" s="6"/>
      <c r="NY1319" s="6"/>
      <c r="NZ1319" s="6"/>
      <c r="OA1319" s="6"/>
      <c r="OB1319" s="46"/>
      <c r="OC1319" s="4"/>
      <c r="OD1319" s="6"/>
    </row>
    <row r="1320" spans="1:394" x14ac:dyDescent="0.25">
      <c r="A1320" s="47"/>
      <c r="B1320" s="48"/>
      <c r="C1320" s="133"/>
      <c r="D1320" s="133"/>
      <c r="E1320" s="133"/>
      <c r="F1320" s="133"/>
      <c r="G1320" s="133"/>
      <c r="H1320" s="133"/>
      <c r="I1320" s="133"/>
      <c r="J1320" s="133"/>
      <c r="K1320" s="133"/>
      <c r="L1320" s="133"/>
      <c r="NW1320" s="6"/>
      <c r="NX1320" s="6"/>
      <c r="NY1320" s="6"/>
      <c r="NZ1320" s="6"/>
      <c r="OA1320" s="6"/>
      <c r="OB1320" s="46"/>
      <c r="OC1320" s="4"/>
      <c r="OD1320" s="6"/>
    </row>
    <row r="1321" spans="1:394" x14ac:dyDescent="0.25">
      <c r="A1321" s="47"/>
      <c r="B1321" s="48"/>
      <c r="C1321" s="133"/>
      <c r="D1321" s="133"/>
      <c r="E1321" s="133"/>
      <c r="F1321" s="133"/>
      <c r="G1321" s="133"/>
      <c r="H1321" s="133"/>
      <c r="I1321" s="133"/>
      <c r="J1321" s="133"/>
      <c r="K1321" s="133"/>
      <c r="L1321" s="133"/>
      <c r="NW1321" s="6"/>
      <c r="NX1321" s="6"/>
      <c r="NY1321" s="6"/>
      <c r="NZ1321" s="6"/>
      <c r="OA1321" s="6"/>
      <c r="OB1321" s="46"/>
      <c r="OC1321" s="4"/>
      <c r="OD1321" s="6"/>
    </row>
    <row r="1322" spans="1:394" x14ac:dyDescent="0.25">
      <c r="A1322" s="47"/>
      <c r="B1322" s="48"/>
      <c r="C1322" s="133"/>
      <c r="D1322" s="133"/>
      <c r="E1322" s="133"/>
      <c r="F1322" s="133"/>
      <c r="G1322" s="133"/>
      <c r="H1322" s="133"/>
      <c r="I1322" s="133"/>
      <c r="J1322" s="133"/>
      <c r="K1322" s="133"/>
      <c r="L1322" s="133"/>
      <c r="NW1322" s="6"/>
      <c r="NX1322" s="6"/>
      <c r="NY1322" s="6"/>
      <c r="NZ1322" s="6"/>
      <c r="OA1322" s="6"/>
      <c r="OB1322" s="46"/>
      <c r="OC1322" s="4"/>
      <c r="OD1322" s="6"/>
    </row>
    <row r="1323" spans="1:394" x14ac:dyDescent="0.25">
      <c r="A1323" s="47"/>
      <c r="B1323" s="48"/>
      <c r="C1323" s="133"/>
      <c r="D1323" s="133"/>
      <c r="E1323" s="133"/>
      <c r="F1323" s="133"/>
      <c r="G1323" s="133"/>
      <c r="H1323" s="133"/>
      <c r="I1323" s="133"/>
      <c r="J1323" s="133"/>
      <c r="K1323" s="133"/>
      <c r="L1323" s="133"/>
      <c r="NW1323" s="6"/>
      <c r="NX1323" s="6"/>
      <c r="NY1323" s="6"/>
      <c r="NZ1323" s="6"/>
      <c r="OA1323" s="6"/>
      <c r="OB1323" s="46"/>
      <c r="OC1323" s="4"/>
      <c r="OD1323" s="6"/>
    </row>
    <row r="1324" spans="1:394" x14ac:dyDescent="0.25">
      <c r="A1324" s="47"/>
      <c r="B1324" s="48"/>
      <c r="C1324" s="133"/>
      <c r="D1324" s="133"/>
      <c r="E1324" s="133"/>
      <c r="F1324" s="133"/>
      <c r="G1324" s="133"/>
      <c r="H1324" s="133"/>
      <c r="I1324" s="133"/>
      <c r="J1324" s="133"/>
      <c r="K1324" s="133"/>
      <c r="L1324" s="133"/>
      <c r="NW1324" s="6"/>
      <c r="NX1324" s="6"/>
      <c r="NY1324" s="6"/>
      <c r="NZ1324" s="6"/>
      <c r="OA1324" s="6"/>
      <c r="OB1324" s="46"/>
      <c r="OC1324" s="4"/>
      <c r="OD1324" s="6"/>
    </row>
    <row r="1325" spans="1:394" x14ac:dyDescent="0.25">
      <c r="A1325" s="47"/>
      <c r="B1325" s="48"/>
      <c r="C1325" s="133"/>
      <c r="D1325" s="133"/>
      <c r="E1325" s="133"/>
      <c r="F1325" s="133"/>
      <c r="G1325" s="133"/>
      <c r="H1325" s="133"/>
      <c r="I1325" s="133"/>
      <c r="J1325" s="133"/>
      <c r="K1325" s="133"/>
      <c r="L1325" s="133"/>
      <c r="NW1325" s="6"/>
      <c r="NX1325" s="6"/>
      <c r="NY1325" s="6"/>
      <c r="NZ1325" s="6"/>
      <c r="OA1325" s="6"/>
      <c r="OB1325" s="46"/>
      <c r="OC1325" s="4"/>
      <c r="OD1325" s="6"/>
    </row>
    <row r="1326" spans="1:394" x14ac:dyDescent="0.25">
      <c r="A1326" s="47"/>
      <c r="B1326" s="48"/>
      <c r="C1326" s="133"/>
      <c r="D1326" s="133"/>
      <c r="E1326" s="133"/>
      <c r="F1326" s="133"/>
      <c r="G1326" s="133"/>
      <c r="H1326" s="133"/>
      <c r="I1326" s="133"/>
      <c r="J1326" s="133"/>
      <c r="K1326" s="133"/>
      <c r="L1326" s="133"/>
      <c r="NW1326" s="6"/>
      <c r="NX1326" s="6"/>
      <c r="NY1326" s="6"/>
      <c r="NZ1326" s="6"/>
      <c r="OA1326" s="6"/>
      <c r="OB1326" s="46"/>
      <c r="OC1326" s="4"/>
      <c r="OD1326" s="6"/>
    </row>
    <row r="1327" spans="1:394" x14ac:dyDescent="0.25">
      <c r="A1327" s="47"/>
      <c r="B1327" s="48"/>
      <c r="C1327" s="133"/>
      <c r="D1327" s="133"/>
      <c r="E1327" s="133"/>
      <c r="F1327" s="133"/>
      <c r="G1327" s="133"/>
      <c r="H1327" s="133"/>
      <c r="I1327" s="133"/>
      <c r="J1327" s="133"/>
      <c r="K1327" s="133"/>
      <c r="L1327" s="133"/>
      <c r="NW1327" s="6"/>
      <c r="NX1327" s="6"/>
      <c r="NY1327" s="6"/>
      <c r="NZ1327" s="6"/>
      <c r="OA1327" s="6"/>
      <c r="OB1327" s="46"/>
      <c r="OC1327" s="4"/>
      <c r="OD1327" s="6"/>
    </row>
    <row r="1328" spans="1:394" x14ac:dyDescent="0.25">
      <c r="A1328" s="47"/>
      <c r="B1328" s="48"/>
      <c r="C1328" s="133"/>
      <c r="D1328" s="133"/>
      <c r="E1328" s="133"/>
      <c r="F1328" s="133"/>
      <c r="G1328" s="133"/>
      <c r="H1328" s="133"/>
      <c r="I1328" s="133"/>
      <c r="J1328" s="133"/>
      <c r="K1328" s="133"/>
      <c r="L1328" s="133"/>
      <c r="NW1328" s="6"/>
      <c r="NX1328" s="6"/>
      <c r="NY1328" s="6"/>
      <c r="NZ1328" s="6"/>
      <c r="OA1328" s="6"/>
      <c r="OB1328" s="46"/>
      <c r="OC1328" s="4"/>
      <c r="OD1328" s="6"/>
    </row>
    <row r="1329" spans="1:394" x14ac:dyDescent="0.25">
      <c r="A1329" s="47"/>
      <c r="B1329" s="48"/>
      <c r="C1329" s="133"/>
      <c r="D1329" s="133"/>
      <c r="E1329" s="133"/>
      <c r="F1329" s="133"/>
      <c r="G1329" s="133"/>
      <c r="H1329" s="133"/>
      <c r="I1329" s="133"/>
      <c r="J1329" s="133"/>
      <c r="K1329" s="133"/>
      <c r="L1329" s="133"/>
      <c r="NW1329" s="6"/>
      <c r="NX1329" s="6"/>
      <c r="NY1329" s="6"/>
      <c r="NZ1329" s="6"/>
      <c r="OA1329" s="6"/>
      <c r="OB1329" s="46"/>
      <c r="OC1329" s="4"/>
      <c r="OD1329" s="6"/>
    </row>
    <row r="1330" spans="1:394" x14ac:dyDescent="0.25">
      <c r="A1330" s="47"/>
      <c r="B1330" s="48"/>
      <c r="C1330" s="133"/>
      <c r="D1330" s="133"/>
      <c r="E1330" s="133"/>
      <c r="F1330" s="133"/>
      <c r="G1330" s="133"/>
      <c r="H1330" s="133"/>
      <c r="I1330" s="133"/>
      <c r="J1330" s="133"/>
      <c r="K1330" s="133"/>
      <c r="L1330" s="133"/>
      <c r="NW1330" s="6"/>
      <c r="NX1330" s="6"/>
      <c r="NY1330" s="6"/>
      <c r="NZ1330" s="6"/>
      <c r="OA1330" s="6"/>
      <c r="OB1330" s="46"/>
      <c r="OC1330" s="4"/>
      <c r="OD1330" s="6"/>
    </row>
    <row r="1331" spans="1:394" x14ac:dyDescent="0.25">
      <c r="A1331" s="47"/>
      <c r="B1331" s="48"/>
      <c r="C1331" s="133"/>
      <c r="D1331" s="133"/>
      <c r="E1331" s="133"/>
      <c r="F1331" s="133"/>
      <c r="G1331" s="133"/>
      <c r="H1331" s="133"/>
      <c r="I1331" s="133"/>
      <c r="J1331" s="133"/>
      <c r="K1331" s="133"/>
      <c r="L1331" s="133"/>
      <c r="NW1331" s="6"/>
      <c r="NX1331" s="6"/>
      <c r="NY1331" s="6"/>
      <c r="NZ1331" s="6"/>
      <c r="OA1331" s="6"/>
      <c r="OB1331" s="46"/>
      <c r="OC1331" s="4"/>
      <c r="OD1331" s="6"/>
    </row>
    <row r="1332" spans="1:394" x14ac:dyDescent="0.25">
      <c r="A1332" s="47"/>
      <c r="B1332" s="48"/>
      <c r="C1332" s="133"/>
      <c r="D1332" s="133"/>
      <c r="E1332" s="133"/>
      <c r="F1332" s="133"/>
      <c r="G1332" s="133"/>
      <c r="H1332" s="133"/>
      <c r="I1332" s="133"/>
      <c r="J1332" s="133"/>
      <c r="K1332" s="133"/>
      <c r="L1332" s="133"/>
      <c r="NW1332" s="6"/>
      <c r="NX1332" s="6"/>
      <c r="NY1332" s="6"/>
      <c r="NZ1332" s="6"/>
      <c r="OA1332" s="6"/>
      <c r="OB1332" s="46"/>
      <c r="OC1332" s="4"/>
      <c r="OD1332" s="6"/>
    </row>
    <row r="1333" spans="1:394" x14ac:dyDescent="0.25">
      <c r="A1333" s="47"/>
      <c r="B1333" s="48"/>
      <c r="C1333" s="133"/>
      <c r="D1333" s="133"/>
      <c r="E1333" s="133"/>
      <c r="F1333" s="133"/>
      <c r="G1333" s="133"/>
      <c r="H1333" s="133"/>
      <c r="I1333" s="133"/>
      <c r="J1333" s="133"/>
      <c r="K1333" s="133"/>
      <c r="L1333" s="133"/>
      <c r="NW1333" s="6"/>
      <c r="NX1333" s="6"/>
      <c r="NY1333" s="6"/>
      <c r="NZ1333" s="6"/>
      <c r="OA1333" s="6"/>
      <c r="OB1333" s="46"/>
      <c r="OC1333" s="4"/>
      <c r="OD1333" s="6"/>
    </row>
    <row r="1334" spans="1:394" x14ac:dyDescent="0.25">
      <c r="A1334" s="47"/>
      <c r="B1334" s="48"/>
      <c r="C1334" s="133"/>
      <c r="D1334" s="133"/>
      <c r="E1334" s="133"/>
      <c r="F1334" s="133"/>
      <c r="G1334" s="133"/>
      <c r="H1334" s="133"/>
      <c r="I1334" s="133"/>
      <c r="J1334" s="133"/>
      <c r="K1334" s="133"/>
      <c r="L1334" s="133"/>
      <c r="NW1334" s="6"/>
      <c r="NX1334" s="6"/>
      <c r="NY1334" s="6"/>
      <c r="NZ1334" s="6"/>
      <c r="OA1334" s="6"/>
      <c r="OB1334" s="46"/>
      <c r="OC1334" s="4"/>
      <c r="OD1334" s="6"/>
    </row>
    <row r="1335" spans="1:394" x14ac:dyDescent="0.25">
      <c r="A1335" s="47"/>
      <c r="B1335" s="48"/>
      <c r="C1335" s="133"/>
      <c r="D1335" s="133"/>
      <c r="E1335" s="133"/>
      <c r="F1335" s="133"/>
      <c r="G1335" s="133"/>
      <c r="H1335" s="133"/>
      <c r="I1335" s="133"/>
      <c r="J1335" s="133"/>
      <c r="K1335" s="133"/>
      <c r="L1335" s="133"/>
      <c r="NW1335" s="6"/>
      <c r="NX1335" s="6"/>
      <c r="NY1335" s="6"/>
      <c r="NZ1335" s="6"/>
      <c r="OA1335" s="6"/>
      <c r="OB1335" s="46"/>
      <c r="OC1335" s="4"/>
      <c r="OD1335" s="6"/>
    </row>
    <row r="1336" spans="1:394" x14ac:dyDescent="0.25">
      <c r="A1336" s="47"/>
      <c r="B1336" s="48"/>
      <c r="C1336" s="133"/>
      <c r="D1336" s="133"/>
      <c r="E1336" s="133"/>
      <c r="F1336" s="133"/>
      <c r="G1336" s="133"/>
      <c r="H1336" s="133"/>
      <c r="I1336" s="133"/>
      <c r="J1336" s="133"/>
      <c r="K1336" s="133"/>
      <c r="L1336" s="133"/>
      <c r="NW1336" s="6"/>
      <c r="NX1336" s="6"/>
      <c r="NY1336" s="6"/>
      <c r="NZ1336" s="6"/>
      <c r="OA1336" s="6"/>
      <c r="OB1336" s="46"/>
      <c r="OC1336" s="4"/>
      <c r="OD1336" s="6"/>
    </row>
    <row r="1337" spans="1:394" x14ac:dyDescent="0.25">
      <c r="A1337" s="47"/>
      <c r="B1337" s="48"/>
      <c r="C1337" s="133"/>
      <c r="D1337" s="133"/>
      <c r="E1337" s="133"/>
      <c r="F1337" s="133"/>
      <c r="G1337" s="133"/>
      <c r="H1337" s="133"/>
      <c r="I1337" s="133"/>
      <c r="J1337" s="133"/>
      <c r="K1337" s="133"/>
      <c r="L1337" s="133"/>
      <c r="NW1337" s="6"/>
      <c r="NX1337" s="6"/>
      <c r="NY1337" s="6"/>
      <c r="NZ1337" s="6"/>
      <c r="OA1337" s="6"/>
      <c r="OB1337" s="46"/>
      <c r="OC1337" s="4"/>
      <c r="OD1337" s="6"/>
    </row>
    <row r="1338" spans="1:394" x14ac:dyDescent="0.25">
      <c r="A1338" s="47"/>
      <c r="B1338" s="48"/>
      <c r="C1338" s="133"/>
      <c r="D1338" s="133"/>
      <c r="E1338" s="133"/>
      <c r="F1338" s="133"/>
      <c r="G1338" s="133"/>
      <c r="H1338" s="133"/>
      <c r="I1338" s="133"/>
      <c r="J1338" s="133"/>
      <c r="K1338" s="133"/>
      <c r="L1338" s="133"/>
      <c r="NW1338" s="6"/>
      <c r="NX1338" s="6"/>
      <c r="NY1338" s="6"/>
      <c r="NZ1338" s="6"/>
      <c r="OA1338" s="6"/>
      <c r="OB1338" s="46"/>
      <c r="OC1338" s="4"/>
      <c r="OD1338" s="6"/>
    </row>
    <row r="1339" spans="1:394" x14ac:dyDescent="0.25">
      <c r="A1339" s="47"/>
      <c r="B1339" s="48"/>
      <c r="C1339" s="133"/>
      <c r="D1339" s="133"/>
      <c r="E1339" s="133"/>
      <c r="F1339" s="133"/>
      <c r="G1339" s="133"/>
      <c r="H1339" s="133"/>
      <c r="I1339" s="133"/>
      <c r="J1339" s="133"/>
      <c r="K1339" s="133"/>
      <c r="L1339" s="133"/>
      <c r="NW1339" s="6"/>
      <c r="NX1339" s="6"/>
      <c r="NY1339" s="6"/>
      <c r="NZ1339" s="6"/>
      <c r="OA1339" s="6"/>
      <c r="OB1339" s="46"/>
      <c r="OC1339" s="4"/>
      <c r="OD1339" s="6"/>
    </row>
    <row r="1340" spans="1:394" x14ac:dyDescent="0.25">
      <c r="A1340" s="47"/>
      <c r="B1340" s="48"/>
      <c r="C1340" s="133"/>
      <c r="D1340" s="133"/>
      <c r="E1340" s="133"/>
      <c r="F1340" s="133"/>
      <c r="G1340" s="133"/>
      <c r="H1340" s="133"/>
      <c r="I1340" s="133"/>
      <c r="J1340" s="133"/>
      <c r="K1340" s="133"/>
      <c r="L1340" s="133"/>
      <c r="NW1340" s="6"/>
      <c r="NX1340" s="6"/>
      <c r="NY1340" s="6"/>
      <c r="NZ1340" s="6"/>
      <c r="OA1340" s="6"/>
      <c r="OB1340" s="46"/>
      <c r="OC1340" s="4"/>
      <c r="OD1340" s="6"/>
    </row>
    <row r="1341" spans="1:394" x14ac:dyDescent="0.25">
      <c r="A1341" s="47"/>
      <c r="B1341" s="48"/>
      <c r="C1341" s="133"/>
      <c r="D1341" s="133"/>
      <c r="E1341" s="133"/>
      <c r="F1341" s="133"/>
      <c r="G1341" s="133"/>
      <c r="H1341" s="133"/>
      <c r="I1341" s="133"/>
      <c r="J1341" s="133"/>
      <c r="K1341" s="133"/>
      <c r="L1341" s="133"/>
      <c r="NW1341" s="6"/>
      <c r="NX1341" s="6"/>
      <c r="NY1341" s="6"/>
      <c r="NZ1341" s="6"/>
      <c r="OA1341" s="6"/>
      <c r="OB1341" s="46"/>
      <c r="OC1341" s="4"/>
      <c r="OD1341" s="6"/>
    </row>
    <row r="1342" spans="1:394" x14ac:dyDescent="0.25">
      <c r="A1342" s="47"/>
      <c r="B1342" s="48"/>
      <c r="C1342" s="133"/>
      <c r="D1342" s="133"/>
      <c r="E1342" s="133"/>
      <c r="F1342" s="133"/>
      <c r="G1342" s="133"/>
      <c r="H1342" s="133"/>
      <c r="I1342" s="133"/>
      <c r="J1342" s="133"/>
      <c r="K1342" s="133"/>
      <c r="L1342" s="133"/>
      <c r="NW1342" s="6"/>
      <c r="NX1342" s="6"/>
      <c r="NY1342" s="6"/>
      <c r="NZ1342" s="6"/>
      <c r="OA1342" s="6"/>
      <c r="OB1342" s="46"/>
      <c r="OC1342" s="4"/>
      <c r="OD1342" s="6"/>
    </row>
    <row r="1343" spans="1:394" x14ac:dyDescent="0.25">
      <c r="A1343" s="47"/>
      <c r="B1343" s="48"/>
      <c r="C1343" s="133"/>
      <c r="D1343" s="133"/>
      <c r="E1343" s="133"/>
      <c r="F1343" s="133"/>
      <c r="G1343" s="133"/>
      <c r="H1343" s="133"/>
      <c r="I1343" s="133"/>
      <c r="J1343" s="133"/>
      <c r="K1343" s="133"/>
      <c r="L1343" s="133"/>
      <c r="NW1343" s="6"/>
      <c r="NX1343" s="6"/>
      <c r="NY1343" s="6"/>
      <c r="NZ1343" s="6"/>
      <c r="OA1343" s="6"/>
      <c r="OB1343" s="46"/>
      <c r="OC1343" s="4"/>
      <c r="OD1343" s="6"/>
    </row>
    <row r="1344" spans="1:394" x14ac:dyDescent="0.25">
      <c r="A1344" s="47"/>
      <c r="B1344" s="48"/>
      <c r="C1344" s="133"/>
      <c r="D1344" s="133"/>
      <c r="E1344" s="133"/>
      <c r="F1344" s="133"/>
      <c r="G1344" s="133"/>
      <c r="H1344" s="133"/>
      <c r="I1344" s="133"/>
      <c r="J1344" s="133"/>
      <c r="K1344" s="133"/>
      <c r="L1344" s="133"/>
      <c r="NW1344" s="6"/>
      <c r="NX1344" s="6"/>
      <c r="NY1344" s="6"/>
      <c r="NZ1344" s="6"/>
      <c r="OA1344" s="6"/>
      <c r="OB1344" s="46"/>
      <c r="OC1344" s="4"/>
      <c r="OD1344" s="6"/>
    </row>
    <row r="1345" spans="1:394" x14ac:dyDescent="0.25">
      <c r="A1345" s="47"/>
      <c r="B1345" s="48"/>
      <c r="C1345" s="133"/>
      <c r="D1345" s="133"/>
      <c r="E1345" s="133"/>
      <c r="F1345" s="133"/>
      <c r="G1345" s="133"/>
      <c r="H1345" s="133"/>
      <c r="I1345" s="133"/>
      <c r="J1345" s="133"/>
      <c r="K1345" s="133"/>
      <c r="L1345" s="133"/>
      <c r="NW1345" s="6"/>
      <c r="NX1345" s="6"/>
      <c r="NY1345" s="6"/>
      <c r="NZ1345" s="6"/>
      <c r="OA1345" s="6"/>
      <c r="OB1345" s="46"/>
      <c r="OC1345" s="4"/>
      <c r="OD1345" s="6"/>
    </row>
    <row r="1346" spans="1:394" x14ac:dyDescent="0.25">
      <c r="A1346" s="47"/>
      <c r="B1346" s="48"/>
      <c r="C1346" s="133"/>
      <c r="D1346" s="133"/>
      <c r="E1346" s="133"/>
      <c r="F1346" s="133"/>
      <c r="G1346" s="133"/>
      <c r="H1346" s="133"/>
      <c r="I1346" s="133"/>
      <c r="J1346" s="133"/>
      <c r="K1346" s="133"/>
      <c r="L1346" s="133"/>
      <c r="NW1346" s="6"/>
      <c r="NX1346" s="6"/>
      <c r="NY1346" s="6"/>
      <c r="NZ1346" s="6"/>
      <c r="OA1346" s="6"/>
      <c r="OB1346" s="46"/>
      <c r="OC1346" s="4"/>
      <c r="OD1346" s="6"/>
    </row>
    <row r="1347" spans="1:394" x14ac:dyDescent="0.25">
      <c r="A1347" s="47"/>
      <c r="B1347" s="48"/>
      <c r="C1347" s="133"/>
      <c r="D1347" s="133"/>
      <c r="E1347" s="133"/>
      <c r="F1347" s="133"/>
      <c r="G1347" s="133"/>
      <c r="H1347" s="133"/>
      <c r="I1347" s="133"/>
      <c r="J1347" s="133"/>
      <c r="K1347" s="133"/>
      <c r="L1347" s="133"/>
      <c r="NW1347" s="6"/>
      <c r="NX1347" s="6"/>
      <c r="NY1347" s="6"/>
      <c r="NZ1347" s="6"/>
      <c r="OA1347" s="6"/>
      <c r="OB1347" s="46"/>
      <c r="OC1347" s="4"/>
      <c r="OD1347" s="6"/>
    </row>
    <row r="1348" spans="1:394" x14ac:dyDescent="0.25">
      <c r="A1348" s="47"/>
      <c r="B1348" s="48"/>
      <c r="C1348" s="133"/>
      <c r="D1348" s="133"/>
      <c r="E1348" s="133"/>
      <c r="F1348" s="133"/>
      <c r="G1348" s="133"/>
      <c r="H1348" s="133"/>
      <c r="I1348" s="133"/>
      <c r="J1348" s="133"/>
      <c r="K1348" s="133"/>
      <c r="L1348" s="133"/>
      <c r="NW1348" s="6"/>
      <c r="NX1348" s="6"/>
      <c r="NY1348" s="6"/>
      <c r="NZ1348" s="6"/>
      <c r="OA1348" s="6"/>
      <c r="OB1348" s="46"/>
      <c r="OC1348" s="4"/>
      <c r="OD1348" s="6"/>
    </row>
    <row r="1349" spans="1:394" x14ac:dyDescent="0.25">
      <c r="A1349" s="47"/>
      <c r="B1349" s="48"/>
      <c r="C1349" s="133"/>
      <c r="D1349" s="133"/>
      <c r="E1349" s="133"/>
      <c r="F1349" s="133"/>
      <c r="G1349" s="133"/>
      <c r="H1349" s="133"/>
      <c r="I1349" s="133"/>
      <c r="J1349" s="133"/>
      <c r="K1349" s="133"/>
      <c r="L1349" s="133"/>
      <c r="NW1349" s="6"/>
      <c r="NX1349" s="6"/>
      <c r="NY1349" s="6"/>
      <c r="NZ1349" s="6"/>
      <c r="OA1349" s="6"/>
      <c r="OB1349" s="46"/>
      <c r="OC1349" s="4"/>
      <c r="OD1349" s="6"/>
    </row>
    <row r="1350" spans="1:394" x14ac:dyDescent="0.25">
      <c r="A1350" s="47"/>
      <c r="B1350" s="48"/>
      <c r="C1350" s="133"/>
      <c r="D1350" s="133"/>
      <c r="E1350" s="133"/>
      <c r="F1350" s="133"/>
      <c r="G1350" s="133"/>
      <c r="H1350" s="133"/>
      <c r="I1350" s="133"/>
      <c r="J1350" s="133"/>
      <c r="K1350" s="133"/>
      <c r="L1350" s="133"/>
      <c r="NW1350" s="6"/>
      <c r="NX1350" s="6"/>
      <c r="NY1350" s="6"/>
      <c r="NZ1350" s="6"/>
      <c r="OA1350" s="6"/>
      <c r="OB1350" s="46"/>
      <c r="OC1350" s="4"/>
      <c r="OD1350" s="6"/>
    </row>
    <row r="1351" spans="1:394" x14ac:dyDescent="0.25">
      <c r="A1351" s="47"/>
      <c r="B1351" s="48"/>
      <c r="C1351" s="133"/>
      <c r="D1351" s="133"/>
      <c r="E1351" s="133"/>
      <c r="F1351" s="133"/>
      <c r="G1351" s="133"/>
      <c r="H1351" s="133"/>
      <c r="I1351" s="133"/>
      <c r="J1351" s="133"/>
      <c r="K1351" s="133"/>
      <c r="L1351" s="133"/>
      <c r="NW1351" s="6"/>
      <c r="NX1351" s="6"/>
      <c r="NY1351" s="6"/>
      <c r="NZ1351" s="6"/>
      <c r="OA1351" s="6"/>
      <c r="OB1351" s="46"/>
      <c r="OC1351" s="4"/>
      <c r="OD1351" s="6"/>
    </row>
    <row r="1352" spans="1:394" x14ac:dyDescent="0.25">
      <c r="A1352" s="47"/>
      <c r="B1352" s="48"/>
      <c r="C1352" s="133"/>
      <c r="D1352" s="133"/>
      <c r="E1352" s="133"/>
      <c r="F1352" s="133"/>
      <c r="G1352" s="133"/>
      <c r="H1352" s="133"/>
      <c r="I1352" s="133"/>
      <c r="J1352" s="133"/>
      <c r="K1352" s="133"/>
      <c r="L1352" s="133"/>
      <c r="NW1352" s="6"/>
      <c r="NX1352" s="6"/>
      <c r="NY1352" s="6"/>
      <c r="NZ1352" s="6"/>
      <c r="OA1352" s="6"/>
      <c r="OB1352" s="46"/>
      <c r="OC1352" s="4"/>
      <c r="OD1352" s="6"/>
    </row>
    <row r="1353" spans="1:394" x14ac:dyDescent="0.25">
      <c r="A1353" s="47"/>
      <c r="B1353" s="48"/>
      <c r="C1353" s="133"/>
      <c r="D1353" s="133"/>
      <c r="E1353" s="133"/>
      <c r="F1353" s="133"/>
      <c r="G1353" s="133"/>
      <c r="H1353" s="133"/>
      <c r="I1353" s="133"/>
      <c r="J1353" s="133"/>
      <c r="K1353" s="133"/>
      <c r="L1353" s="133"/>
      <c r="NW1353" s="6"/>
      <c r="NX1353" s="6"/>
      <c r="NY1353" s="6"/>
      <c r="NZ1353" s="6"/>
      <c r="OA1353" s="6"/>
      <c r="OB1353" s="46"/>
      <c r="OC1353" s="4"/>
      <c r="OD1353" s="6"/>
    </row>
    <row r="1354" spans="1:394" x14ac:dyDescent="0.25">
      <c r="A1354" s="47"/>
      <c r="B1354" s="48"/>
      <c r="C1354" s="133"/>
      <c r="D1354" s="133"/>
      <c r="E1354" s="133"/>
      <c r="F1354" s="133"/>
      <c r="G1354" s="133"/>
      <c r="H1354" s="133"/>
      <c r="I1354" s="133"/>
      <c r="J1354" s="133"/>
      <c r="K1354" s="133"/>
      <c r="L1354" s="133"/>
      <c r="NW1354" s="6"/>
      <c r="NX1354" s="6"/>
      <c r="NY1354" s="6"/>
      <c r="NZ1354" s="6"/>
      <c r="OA1354" s="6"/>
      <c r="OB1354" s="46"/>
      <c r="OC1354" s="4"/>
      <c r="OD1354" s="6"/>
    </row>
    <row r="1355" spans="1:394" x14ac:dyDescent="0.25">
      <c r="A1355" s="47"/>
      <c r="B1355" s="48"/>
      <c r="C1355" s="133"/>
      <c r="D1355" s="133"/>
      <c r="E1355" s="133"/>
      <c r="F1355" s="133"/>
      <c r="G1355" s="133"/>
      <c r="H1355" s="133"/>
      <c r="I1355" s="133"/>
      <c r="J1355" s="133"/>
      <c r="K1355" s="133"/>
      <c r="L1355" s="133"/>
      <c r="NW1355" s="6"/>
      <c r="NX1355" s="6"/>
      <c r="NY1355" s="6"/>
      <c r="NZ1355" s="6"/>
      <c r="OA1355" s="6"/>
      <c r="OB1355" s="46"/>
      <c r="OC1355" s="4"/>
      <c r="OD1355" s="6"/>
    </row>
    <row r="1356" spans="1:394" x14ac:dyDescent="0.25">
      <c r="A1356" s="47"/>
      <c r="B1356" s="48"/>
      <c r="C1356" s="133"/>
      <c r="D1356" s="133"/>
      <c r="E1356" s="133"/>
      <c r="F1356" s="133"/>
      <c r="G1356" s="133"/>
      <c r="H1356" s="133"/>
      <c r="I1356" s="133"/>
      <c r="J1356" s="133"/>
      <c r="K1356" s="133"/>
      <c r="L1356" s="133"/>
      <c r="NW1356" s="6"/>
      <c r="NX1356" s="6"/>
      <c r="NY1356" s="6"/>
      <c r="NZ1356" s="6"/>
      <c r="OA1356" s="6"/>
      <c r="OB1356" s="46"/>
      <c r="OC1356" s="4"/>
      <c r="OD1356" s="6"/>
    </row>
    <row r="1357" spans="1:394" x14ac:dyDescent="0.25">
      <c r="A1357" s="47"/>
      <c r="B1357" s="48"/>
      <c r="C1357" s="133"/>
      <c r="D1357" s="133"/>
      <c r="E1357" s="133"/>
      <c r="F1357" s="133"/>
      <c r="G1357" s="133"/>
      <c r="H1357" s="133"/>
      <c r="I1357" s="133"/>
      <c r="J1357" s="133"/>
      <c r="K1357" s="133"/>
      <c r="L1357" s="133"/>
      <c r="NW1357" s="6"/>
      <c r="NX1357" s="6"/>
      <c r="NY1357" s="6"/>
      <c r="NZ1357" s="6"/>
      <c r="OA1357" s="6"/>
      <c r="OB1357" s="46"/>
      <c r="OC1357" s="4"/>
      <c r="OD1357" s="6"/>
    </row>
    <row r="1358" spans="1:394" x14ac:dyDescent="0.25">
      <c r="A1358" s="47"/>
      <c r="B1358" s="48"/>
      <c r="C1358" s="133"/>
      <c r="D1358" s="133"/>
      <c r="E1358" s="133"/>
      <c r="F1358" s="133"/>
      <c r="G1358" s="133"/>
      <c r="H1358" s="133"/>
      <c r="I1358" s="133"/>
      <c r="J1358" s="133"/>
      <c r="K1358" s="133"/>
      <c r="L1358" s="133"/>
      <c r="NW1358" s="6"/>
      <c r="NX1358" s="6"/>
      <c r="NY1358" s="6"/>
      <c r="NZ1358" s="6"/>
      <c r="OA1358" s="6"/>
      <c r="OB1358" s="46"/>
      <c r="OC1358" s="4"/>
      <c r="OD1358" s="6"/>
    </row>
    <row r="1359" spans="1:394" x14ac:dyDescent="0.25">
      <c r="A1359" s="47"/>
      <c r="B1359" s="48"/>
      <c r="C1359" s="133"/>
      <c r="D1359" s="133"/>
      <c r="E1359" s="133"/>
      <c r="F1359" s="133"/>
      <c r="G1359" s="133"/>
      <c r="H1359" s="133"/>
      <c r="I1359" s="133"/>
      <c r="J1359" s="133"/>
      <c r="K1359" s="133"/>
      <c r="L1359" s="133"/>
      <c r="NW1359" s="6"/>
      <c r="NX1359" s="6"/>
      <c r="NY1359" s="6"/>
      <c r="NZ1359" s="6"/>
      <c r="OA1359" s="6"/>
      <c r="OB1359" s="46"/>
      <c r="OC1359" s="4"/>
      <c r="OD1359" s="6"/>
    </row>
    <row r="1360" spans="1:394" x14ac:dyDescent="0.25">
      <c r="A1360" s="47"/>
      <c r="B1360" s="48"/>
      <c r="C1360" s="133"/>
      <c r="D1360" s="133"/>
      <c r="E1360" s="133"/>
      <c r="F1360" s="133"/>
      <c r="G1360" s="133"/>
      <c r="H1360" s="133"/>
      <c r="I1360" s="133"/>
      <c r="J1360" s="133"/>
      <c r="K1360" s="133"/>
      <c r="L1360" s="133"/>
      <c r="NW1360" s="6"/>
      <c r="NX1360" s="6"/>
      <c r="NY1360" s="6"/>
      <c r="NZ1360" s="6"/>
      <c r="OA1360" s="6"/>
      <c r="OB1360" s="46"/>
      <c r="OC1360" s="4"/>
      <c r="OD1360" s="6"/>
    </row>
    <row r="1361" spans="1:394" x14ac:dyDescent="0.25">
      <c r="A1361" s="47"/>
      <c r="B1361" s="48"/>
      <c r="C1361" s="133"/>
      <c r="D1361" s="133"/>
      <c r="E1361" s="133"/>
      <c r="F1361" s="133"/>
      <c r="G1361" s="133"/>
      <c r="H1361" s="133"/>
      <c r="I1361" s="133"/>
      <c r="J1361" s="133"/>
      <c r="K1361" s="133"/>
      <c r="L1361" s="133"/>
      <c r="NW1361" s="6"/>
      <c r="NX1361" s="6"/>
      <c r="NY1361" s="6"/>
      <c r="NZ1361" s="6"/>
      <c r="OA1361" s="6"/>
      <c r="OB1361" s="46"/>
      <c r="OC1361" s="4"/>
      <c r="OD1361" s="6"/>
    </row>
    <row r="1362" spans="1:394" x14ac:dyDescent="0.25">
      <c r="A1362" s="47"/>
      <c r="B1362" s="48"/>
      <c r="C1362" s="133"/>
      <c r="D1362" s="133"/>
      <c r="E1362" s="133"/>
      <c r="F1362" s="133"/>
      <c r="G1362" s="133"/>
      <c r="H1362" s="133"/>
      <c r="I1362" s="133"/>
      <c r="J1362" s="133"/>
      <c r="K1362" s="133"/>
      <c r="L1362" s="133"/>
      <c r="NW1362" s="6"/>
      <c r="NX1362" s="6"/>
      <c r="NY1362" s="6"/>
      <c r="NZ1362" s="6"/>
      <c r="OA1362" s="6"/>
      <c r="OB1362" s="46"/>
      <c r="OC1362" s="4"/>
      <c r="OD1362" s="6"/>
    </row>
    <row r="1363" spans="1:394" x14ac:dyDescent="0.25">
      <c r="A1363" s="47"/>
      <c r="B1363" s="48"/>
      <c r="C1363" s="133"/>
      <c r="D1363" s="133"/>
      <c r="E1363" s="133"/>
      <c r="F1363" s="133"/>
      <c r="G1363" s="133"/>
      <c r="H1363" s="133"/>
      <c r="I1363" s="133"/>
      <c r="J1363" s="133"/>
      <c r="K1363" s="133"/>
      <c r="L1363" s="133"/>
      <c r="NW1363" s="6"/>
      <c r="NX1363" s="6"/>
      <c r="NY1363" s="6"/>
      <c r="NZ1363" s="6"/>
      <c r="OA1363" s="6"/>
      <c r="OB1363" s="46"/>
      <c r="OC1363" s="4"/>
      <c r="OD1363" s="6"/>
    </row>
    <row r="1364" spans="1:394" x14ac:dyDescent="0.25">
      <c r="A1364" s="47"/>
      <c r="B1364" s="48"/>
      <c r="C1364" s="133"/>
      <c r="D1364" s="133"/>
      <c r="E1364" s="133"/>
      <c r="F1364" s="133"/>
      <c r="G1364" s="133"/>
      <c r="H1364" s="133"/>
      <c r="I1364" s="133"/>
      <c r="J1364" s="133"/>
      <c r="K1364" s="133"/>
      <c r="L1364" s="133"/>
      <c r="NW1364" s="6"/>
      <c r="NX1364" s="6"/>
      <c r="NY1364" s="6"/>
      <c r="NZ1364" s="6"/>
      <c r="OA1364" s="6"/>
      <c r="OB1364" s="46"/>
      <c r="OC1364" s="4"/>
      <c r="OD1364" s="6"/>
    </row>
    <row r="1365" spans="1:394" x14ac:dyDescent="0.25">
      <c r="A1365" s="47"/>
      <c r="B1365" s="48"/>
      <c r="C1365" s="133"/>
      <c r="D1365" s="133"/>
      <c r="E1365" s="133"/>
      <c r="F1365" s="133"/>
      <c r="G1365" s="133"/>
      <c r="H1365" s="133"/>
      <c r="I1365" s="133"/>
      <c r="J1365" s="133"/>
      <c r="K1365" s="133"/>
      <c r="L1365" s="133"/>
      <c r="NW1365" s="6"/>
      <c r="NX1365" s="6"/>
      <c r="NY1365" s="6"/>
      <c r="NZ1365" s="6"/>
      <c r="OA1365" s="6"/>
      <c r="OB1365" s="46"/>
      <c r="OC1365" s="4"/>
      <c r="OD1365" s="6"/>
    </row>
    <row r="1366" spans="1:394" x14ac:dyDescent="0.25">
      <c r="A1366" s="47"/>
      <c r="B1366" s="48"/>
      <c r="C1366" s="133"/>
      <c r="D1366" s="133"/>
      <c r="E1366" s="133"/>
      <c r="F1366" s="133"/>
      <c r="G1366" s="133"/>
      <c r="H1366" s="133"/>
      <c r="I1366" s="133"/>
      <c r="J1366" s="133"/>
      <c r="K1366" s="133"/>
      <c r="L1366" s="133"/>
      <c r="NW1366" s="6"/>
      <c r="NX1366" s="6"/>
      <c r="NY1366" s="6"/>
      <c r="NZ1366" s="6"/>
      <c r="OA1366" s="6"/>
      <c r="OB1366" s="46"/>
      <c r="OC1366" s="4"/>
      <c r="OD1366" s="6"/>
    </row>
    <row r="1367" spans="1:394" x14ac:dyDescent="0.25">
      <c r="A1367" s="47"/>
      <c r="B1367" s="48"/>
      <c r="C1367" s="133"/>
      <c r="D1367" s="133"/>
      <c r="E1367" s="133"/>
      <c r="F1367" s="133"/>
      <c r="G1367" s="133"/>
      <c r="H1367" s="133"/>
      <c r="I1367" s="133"/>
      <c r="J1367" s="133"/>
      <c r="K1367" s="133"/>
      <c r="L1367" s="133"/>
      <c r="NW1367" s="6"/>
      <c r="NX1367" s="6"/>
      <c r="NY1367" s="6"/>
      <c r="NZ1367" s="6"/>
      <c r="OA1367" s="6"/>
      <c r="OB1367" s="46"/>
      <c r="OC1367" s="4"/>
      <c r="OD1367" s="6"/>
    </row>
    <row r="1368" spans="1:394" x14ac:dyDescent="0.25">
      <c r="A1368" s="47"/>
      <c r="B1368" s="48"/>
      <c r="C1368" s="133"/>
      <c r="D1368" s="133"/>
      <c r="E1368" s="133"/>
      <c r="F1368" s="133"/>
      <c r="G1368" s="133"/>
      <c r="H1368" s="133"/>
      <c r="I1368" s="133"/>
      <c r="J1368" s="133"/>
      <c r="K1368" s="133"/>
      <c r="L1368" s="133"/>
      <c r="NW1368" s="6"/>
      <c r="NX1368" s="6"/>
      <c r="NY1368" s="6"/>
      <c r="NZ1368" s="6"/>
      <c r="OA1368" s="6"/>
      <c r="OB1368" s="46"/>
      <c r="OC1368" s="4"/>
      <c r="OD1368" s="6"/>
    </row>
    <row r="1369" spans="1:394" x14ac:dyDescent="0.25">
      <c r="A1369" s="47"/>
      <c r="B1369" s="48"/>
      <c r="C1369" s="133"/>
      <c r="D1369" s="133"/>
      <c r="E1369" s="133"/>
      <c r="F1369" s="133"/>
      <c r="G1369" s="133"/>
      <c r="H1369" s="133"/>
      <c r="I1369" s="133"/>
      <c r="J1369" s="133"/>
      <c r="K1369" s="133"/>
      <c r="L1369" s="133"/>
      <c r="NW1369" s="6"/>
      <c r="NX1369" s="6"/>
      <c r="NY1369" s="6"/>
      <c r="NZ1369" s="6"/>
      <c r="OA1369" s="6"/>
      <c r="OB1369" s="46"/>
      <c r="OC1369" s="4"/>
      <c r="OD1369" s="6"/>
    </row>
    <row r="1370" spans="1:394" x14ac:dyDescent="0.25">
      <c r="A1370" s="47"/>
      <c r="B1370" s="48"/>
      <c r="C1370" s="133"/>
      <c r="D1370" s="133"/>
      <c r="E1370" s="133"/>
      <c r="F1370" s="133"/>
      <c r="G1370" s="133"/>
      <c r="H1370" s="133"/>
      <c r="I1370" s="133"/>
      <c r="J1370" s="133"/>
      <c r="K1370" s="133"/>
      <c r="L1370" s="133"/>
      <c r="NW1370" s="6"/>
      <c r="NX1370" s="6"/>
      <c r="NY1370" s="6"/>
      <c r="NZ1370" s="6"/>
      <c r="OA1370" s="6"/>
      <c r="OB1370" s="46"/>
      <c r="OC1370" s="4"/>
      <c r="OD1370" s="6"/>
    </row>
    <row r="1371" spans="1:394" x14ac:dyDescent="0.25">
      <c r="A1371" s="47"/>
      <c r="B1371" s="48"/>
      <c r="C1371" s="133"/>
      <c r="D1371" s="133"/>
      <c r="E1371" s="133"/>
      <c r="F1371" s="133"/>
      <c r="G1371" s="133"/>
      <c r="H1371" s="133"/>
      <c r="I1371" s="133"/>
      <c r="J1371" s="133"/>
      <c r="K1371" s="133"/>
      <c r="L1371" s="133"/>
      <c r="NW1371" s="6"/>
      <c r="NX1371" s="6"/>
      <c r="NY1371" s="6"/>
      <c r="NZ1371" s="6"/>
      <c r="OA1371" s="6"/>
      <c r="OB1371" s="46"/>
      <c r="OC1371" s="4"/>
      <c r="OD1371" s="6"/>
    </row>
    <row r="1372" spans="1:394" x14ac:dyDescent="0.25">
      <c r="A1372" s="47"/>
      <c r="B1372" s="48"/>
      <c r="C1372" s="133"/>
      <c r="D1372" s="133"/>
      <c r="E1372" s="133"/>
      <c r="F1372" s="133"/>
      <c r="G1372" s="133"/>
      <c r="H1372" s="133"/>
      <c r="I1372" s="133"/>
      <c r="J1372" s="133"/>
      <c r="K1372" s="133"/>
      <c r="L1372" s="133"/>
      <c r="NW1372" s="6"/>
      <c r="NX1372" s="6"/>
      <c r="NY1372" s="6"/>
      <c r="NZ1372" s="6"/>
      <c r="OA1372" s="6"/>
      <c r="OB1372" s="46"/>
      <c r="OC1372" s="4"/>
      <c r="OD1372" s="6"/>
    </row>
    <row r="1373" spans="1:394" x14ac:dyDescent="0.25">
      <c r="A1373" s="47"/>
      <c r="B1373" s="48"/>
      <c r="C1373" s="133"/>
      <c r="D1373" s="133"/>
      <c r="E1373" s="133"/>
      <c r="F1373" s="133"/>
      <c r="G1373" s="133"/>
      <c r="H1373" s="133"/>
      <c r="I1373" s="133"/>
      <c r="J1373" s="133"/>
      <c r="K1373" s="133"/>
      <c r="L1373" s="133"/>
      <c r="NW1373" s="6"/>
      <c r="NX1373" s="6"/>
      <c r="NY1373" s="6"/>
      <c r="NZ1373" s="6"/>
      <c r="OA1373" s="6"/>
      <c r="OB1373" s="46"/>
      <c r="OC1373" s="4"/>
      <c r="OD1373" s="6"/>
    </row>
    <row r="1374" spans="1:394" x14ac:dyDescent="0.25">
      <c r="A1374" s="47"/>
      <c r="B1374" s="48"/>
      <c r="C1374" s="133"/>
      <c r="D1374" s="133"/>
      <c r="E1374" s="133"/>
      <c r="F1374" s="133"/>
      <c r="G1374" s="133"/>
      <c r="H1374" s="133"/>
      <c r="I1374" s="133"/>
      <c r="J1374" s="133"/>
      <c r="K1374" s="133"/>
      <c r="L1374" s="133"/>
      <c r="NW1374" s="6"/>
      <c r="NX1374" s="6"/>
      <c r="NY1374" s="6"/>
      <c r="NZ1374" s="6"/>
      <c r="OA1374" s="6"/>
      <c r="OB1374" s="46"/>
      <c r="OC1374" s="4"/>
      <c r="OD1374" s="6"/>
    </row>
    <row r="1375" spans="1:394" x14ac:dyDescent="0.25">
      <c r="A1375" s="47"/>
      <c r="B1375" s="48"/>
      <c r="C1375" s="133"/>
      <c r="D1375" s="133"/>
      <c r="E1375" s="133"/>
      <c r="F1375" s="133"/>
      <c r="G1375" s="133"/>
      <c r="H1375" s="133"/>
      <c r="I1375" s="133"/>
      <c r="J1375" s="133"/>
      <c r="K1375" s="133"/>
      <c r="L1375" s="133"/>
      <c r="NW1375" s="6"/>
      <c r="NX1375" s="6"/>
      <c r="NY1375" s="6"/>
      <c r="NZ1375" s="6"/>
      <c r="OA1375" s="6"/>
      <c r="OB1375" s="46"/>
      <c r="OC1375" s="4"/>
      <c r="OD1375" s="6"/>
    </row>
    <row r="1376" spans="1:394" x14ac:dyDescent="0.25">
      <c r="A1376" s="47"/>
      <c r="B1376" s="48"/>
      <c r="C1376" s="133"/>
      <c r="D1376" s="133"/>
      <c r="E1376" s="133"/>
      <c r="F1376" s="133"/>
      <c r="G1376" s="133"/>
      <c r="H1376" s="133"/>
      <c r="I1376" s="133"/>
      <c r="J1376" s="133"/>
      <c r="K1376" s="133"/>
      <c r="L1376" s="133"/>
      <c r="NW1376" s="6"/>
      <c r="NX1376" s="6"/>
      <c r="NY1376" s="6"/>
      <c r="NZ1376" s="6"/>
      <c r="OA1376" s="6"/>
      <c r="OB1376" s="46"/>
      <c r="OC1376" s="4"/>
      <c r="OD1376" s="6"/>
    </row>
    <row r="1377" spans="1:394" x14ac:dyDescent="0.25">
      <c r="A1377" s="47"/>
      <c r="B1377" s="48"/>
      <c r="C1377" s="133"/>
      <c r="D1377" s="133"/>
      <c r="E1377" s="133"/>
      <c r="F1377" s="133"/>
      <c r="G1377" s="133"/>
      <c r="H1377" s="133"/>
      <c r="I1377" s="133"/>
      <c r="J1377" s="133"/>
      <c r="K1377" s="133"/>
      <c r="L1377" s="133"/>
      <c r="NW1377" s="6"/>
      <c r="NX1377" s="6"/>
      <c r="NY1377" s="6"/>
      <c r="NZ1377" s="6"/>
      <c r="OA1377" s="6"/>
      <c r="OB1377" s="46"/>
      <c r="OC1377" s="4"/>
      <c r="OD1377" s="6"/>
    </row>
    <row r="1378" spans="1:394" x14ac:dyDescent="0.25">
      <c r="A1378" s="47"/>
      <c r="B1378" s="48"/>
      <c r="C1378" s="133"/>
      <c r="D1378" s="133"/>
      <c r="E1378" s="133"/>
      <c r="F1378" s="133"/>
      <c r="G1378" s="133"/>
      <c r="H1378" s="133"/>
      <c r="I1378" s="133"/>
      <c r="J1378" s="133"/>
      <c r="K1378" s="133"/>
      <c r="L1378" s="133"/>
      <c r="NW1378" s="6"/>
      <c r="NX1378" s="6"/>
      <c r="NY1378" s="6"/>
      <c r="NZ1378" s="6"/>
      <c r="OA1378" s="6"/>
      <c r="OB1378" s="46"/>
      <c r="OC1378" s="4"/>
      <c r="OD1378" s="6"/>
    </row>
    <row r="1379" spans="1:394" x14ac:dyDescent="0.25">
      <c r="A1379" s="47"/>
      <c r="B1379" s="48"/>
      <c r="C1379" s="133"/>
      <c r="D1379" s="133"/>
      <c r="E1379" s="133"/>
      <c r="F1379" s="133"/>
      <c r="G1379" s="133"/>
      <c r="H1379" s="133"/>
      <c r="I1379" s="133"/>
      <c r="J1379" s="133"/>
      <c r="K1379" s="133"/>
      <c r="L1379" s="133"/>
      <c r="NW1379" s="6"/>
      <c r="NX1379" s="6"/>
      <c r="NY1379" s="6"/>
      <c r="NZ1379" s="6"/>
      <c r="OA1379" s="6"/>
      <c r="OB1379" s="46"/>
      <c r="OC1379" s="4"/>
      <c r="OD1379" s="6"/>
    </row>
    <row r="1380" spans="1:394" x14ac:dyDescent="0.25">
      <c r="A1380" s="47"/>
      <c r="B1380" s="48"/>
      <c r="C1380" s="133"/>
      <c r="D1380" s="133"/>
      <c r="E1380" s="133"/>
      <c r="F1380" s="133"/>
      <c r="G1380" s="133"/>
      <c r="H1380" s="133"/>
      <c r="I1380" s="133"/>
      <c r="J1380" s="133"/>
      <c r="K1380" s="133"/>
      <c r="L1380" s="133"/>
      <c r="NW1380" s="6"/>
      <c r="NX1380" s="6"/>
      <c r="NY1380" s="6"/>
      <c r="NZ1380" s="6"/>
      <c r="OA1380" s="6"/>
      <c r="OB1380" s="46"/>
      <c r="OC1380" s="4"/>
      <c r="OD1380" s="6"/>
    </row>
    <row r="1381" spans="1:394" x14ac:dyDescent="0.25">
      <c r="A1381" s="47"/>
      <c r="B1381" s="48"/>
      <c r="C1381" s="133"/>
      <c r="D1381" s="133"/>
      <c r="E1381" s="133"/>
      <c r="F1381" s="133"/>
      <c r="G1381" s="133"/>
      <c r="H1381" s="133"/>
      <c r="I1381" s="133"/>
      <c r="J1381" s="133"/>
      <c r="K1381" s="133"/>
      <c r="L1381" s="133"/>
      <c r="NW1381" s="6"/>
      <c r="NX1381" s="6"/>
      <c r="NY1381" s="6"/>
      <c r="NZ1381" s="6"/>
      <c r="OA1381" s="6"/>
      <c r="OB1381" s="46"/>
      <c r="OC1381" s="4"/>
      <c r="OD1381" s="6"/>
    </row>
    <row r="1382" spans="1:394" x14ac:dyDescent="0.25">
      <c r="A1382" s="47"/>
      <c r="B1382" s="48"/>
      <c r="C1382" s="133"/>
      <c r="D1382" s="133"/>
      <c r="E1382" s="133"/>
      <c r="F1382" s="133"/>
      <c r="G1382" s="133"/>
      <c r="H1382" s="133"/>
      <c r="I1382" s="133"/>
      <c r="J1382" s="133"/>
      <c r="K1382" s="133"/>
      <c r="L1382" s="133"/>
      <c r="NW1382" s="6"/>
      <c r="NX1382" s="6"/>
      <c r="NY1382" s="6"/>
      <c r="NZ1382" s="6"/>
      <c r="OA1382" s="6"/>
      <c r="OB1382" s="46"/>
      <c r="OC1382" s="4"/>
      <c r="OD1382" s="6"/>
    </row>
    <row r="1383" spans="1:394" x14ac:dyDescent="0.25">
      <c r="A1383" s="47"/>
      <c r="B1383" s="48"/>
      <c r="C1383" s="133"/>
      <c r="D1383" s="133"/>
      <c r="E1383" s="133"/>
      <c r="F1383" s="133"/>
      <c r="G1383" s="133"/>
      <c r="H1383" s="133"/>
      <c r="I1383" s="133"/>
      <c r="J1383" s="133"/>
      <c r="K1383" s="133"/>
      <c r="L1383" s="133"/>
      <c r="NW1383" s="6"/>
      <c r="NX1383" s="6"/>
      <c r="NY1383" s="6"/>
      <c r="NZ1383" s="6"/>
      <c r="OA1383" s="6"/>
      <c r="OB1383" s="46"/>
      <c r="OC1383" s="4"/>
      <c r="OD1383" s="6"/>
    </row>
    <row r="1384" spans="1:394" x14ac:dyDescent="0.25">
      <c r="A1384" s="47"/>
      <c r="B1384" s="48"/>
      <c r="C1384" s="133"/>
      <c r="D1384" s="133"/>
      <c r="E1384" s="133"/>
      <c r="F1384" s="133"/>
      <c r="G1384" s="133"/>
      <c r="H1384" s="133"/>
      <c r="I1384" s="133"/>
      <c r="J1384" s="133"/>
      <c r="K1384" s="133"/>
      <c r="L1384" s="133"/>
      <c r="NW1384" s="6"/>
      <c r="NX1384" s="6"/>
      <c r="NY1384" s="6"/>
      <c r="NZ1384" s="6"/>
      <c r="OA1384" s="6"/>
      <c r="OB1384" s="46"/>
      <c r="OC1384" s="4"/>
      <c r="OD1384" s="6"/>
    </row>
    <row r="1385" spans="1:394" x14ac:dyDescent="0.25">
      <c r="A1385" s="47"/>
      <c r="B1385" s="48"/>
      <c r="C1385" s="133"/>
      <c r="D1385" s="133"/>
      <c r="E1385" s="133"/>
      <c r="F1385" s="133"/>
      <c r="G1385" s="133"/>
      <c r="H1385" s="133"/>
      <c r="I1385" s="133"/>
      <c r="J1385" s="133"/>
      <c r="K1385" s="133"/>
      <c r="L1385" s="133"/>
      <c r="NW1385" s="6"/>
      <c r="NX1385" s="6"/>
      <c r="NY1385" s="6"/>
      <c r="NZ1385" s="6"/>
      <c r="OA1385" s="6"/>
      <c r="OB1385" s="46"/>
      <c r="OC1385" s="4"/>
      <c r="OD1385" s="6"/>
    </row>
    <row r="1386" spans="1:394" x14ac:dyDescent="0.25">
      <c r="A1386" s="47"/>
      <c r="B1386" s="48"/>
      <c r="C1386" s="133"/>
      <c r="D1386" s="133"/>
      <c r="E1386" s="133"/>
      <c r="F1386" s="133"/>
      <c r="G1386" s="133"/>
      <c r="H1386" s="133"/>
      <c r="I1386" s="133"/>
      <c r="J1386" s="133"/>
      <c r="K1386" s="133"/>
      <c r="L1386" s="133"/>
      <c r="NW1386" s="6"/>
      <c r="NX1386" s="6"/>
      <c r="NY1386" s="6"/>
      <c r="NZ1386" s="6"/>
      <c r="OA1386" s="6"/>
      <c r="OB1386" s="46"/>
      <c r="OC1386" s="4"/>
      <c r="OD1386" s="6"/>
    </row>
    <row r="1387" spans="1:394" x14ac:dyDescent="0.25">
      <c r="A1387" s="47"/>
      <c r="B1387" s="48"/>
      <c r="C1387" s="133"/>
      <c r="D1387" s="133"/>
      <c r="E1387" s="133"/>
      <c r="F1387" s="133"/>
      <c r="G1387" s="133"/>
      <c r="H1387" s="133"/>
      <c r="I1387" s="133"/>
      <c r="J1387" s="133"/>
      <c r="K1387" s="133"/>
      <c r="L1387" s="133"/>
      <c r="NW1387" s="6"/>
      <c r="NX1387" s="6"/>
      <c r="NY1387" s="6"/>
      <c r="NZ1387" s="6"/>
      <c r="OA1387" s="6"/>
      <c r="OB1387" s="46"/>
      <c r="OC1387" s="4"/>
      <c r="OD1387" s="6"/>
    </row>
    <row r="1388" spans="1:394" x14ac:dyDescent="0.25">
      <c r="A1388" s="47"/>
      <c r="B1388" s="48"/>
      <c r="C1388" s="133"/>
      <c r="D1388" s="133"/>
      <c r="E1388" s="133"/>
      <c r="F1388" s="133"/>
      <c r="G1388" s="133"/>
      <c r="H1388" s="133"/>
      <c r="I1388" s="133"/>
      <c r="J1388" s="133"/>
      <c r="K1388" s="133"/>
      <c r="L1388" s="133"/>
      <c r="NW1388" s="6"/>
      <c r="NX1388" s="6"/>
      <c r="NY1388" s="6"/>
      <c r="NZ1388" s="6"/>
      <c r="OA1388" s="6"/>
      <c r="OB1388" s="46"/>
      <c r="OC1388" s="4"/>
      <c r="OD1388" s="6"/>
    </row>
    <row r="1389" spans="1:394" x14ac:dyDescent="0.25">
      <c r="A1389" s="47"/>
      <c r="B1389" s="48"/>
      <c r="C1389" s="133"/>
      <c r="D1389" s="133"/>
      <c r="E1389" s="133"/>
      <c r="F1389" s="133"/>
      <c r="G1389" s="133"/>
      <c r="H1389" s="133"/>
      <c r="I1389" s="133"/>
      <c r="J1389" s="133"/>
      <c r="K1389" s="133"/>
      <c r="L1389" s="133"/>
      <c r="NW1389" s="6"/>
      <c r="NX1389" s="6"/>
      <c r="NY1389" s="6"/>
      <c r="NZ1389" s="6"/>
      <c r="OA1389" s="6"/>
      <c r="OB1389" s="46"/>
      <c r="OC1389" s="4"/>
      <c r="OD1389" s="6"/>
    </row>
    <row r="1390" spans="1:394" x14ac:dyDescent="0.25">
      <c r="A1390" s="47"/>
      <c r="B1390" s="48"/>
      <c r="C1390" s="133"/>
      <c r="D1390" s="133"/>
      <c r="E1390" s="133"/>
      <c r="F1390" s="133"/>
      <c r="G1390" s="133"/>
      <c r="H1390" s="133"/>
      <c r="I1390" s="133"/>
      <c r="J1390" s="133"/>
      <c r="K1390" s="133"/>
      <c r="L1390" s="133"/>
      <c r="NW1390" s="6"/>
      <c r="NX1390" s="6"/>
      <c r="NY1390" s="6"/>
      <c r="NZ1390" s="6"/>
      <c r="OA1390" s="6"/>
      <c r="OB1390" s="46"/>
      <c r="OC1390" s="4"/>
      <c r="OD1390" s="6"/>
    </row>
    <row r="1391" spans="1:394" x14ac:dyDescent="0.25">
      <c r="A1391" s="47"/>
      <c r="B1391" s="48"/>
      <c r="C1391" s="133"/>
      <c r="D1391" s="133"/>
      <c r="E1391" s="133"/>
      <c r="F1391" s="133"/>
      <c r="G1391" s="133"/>
      <c r="H1391" s="133"/>
      <c r="I1391" s="133"/>
      <c r="J1391" s="133"/>
      <c r="K1391" s="133"/>
      <c r="L1391" s="133"/>
      <c r="NW1391" s="6"/>
      <c r="NX1391" s="6"/>
      <c r="NY1391" s="6"/>
      <c r="NZ1391" s="6"/>
      <c r="OA1391" s="6"/>
      <c r="OB1391" s="46"/>
      <c r="OC1391" s="4"/>
      <c r="OD1391" s="6"/>
    </row>
    <row r="1392" spans="1:394" x14ac:dyDescent="0.25">
      <c r="A1392" s="47"/>
      <c r="B1392" s="48"/>
      <c r="C1392" s="133"/>
      <c r="D1392" s="133"/>
      <c r="E1392" s="133"/>
      <c r="F1392" s="133"/>
      <c r="G1392" s="133"/>
      <c r="H1392" s="133"/>
      <c r="I1392" s="133"/>
      <c r="J1392" s="133"/>
      <c r="K1392" s="133"/>
      <c r="L1392" s="133"/>
      <c r="NW1392" s="6"/>
      <c r="NX1392" s="6"/>
      <c r="NY1392" s="6"/>
      <c r="NZ1392" s="6"/>
      <c r="OA1392" s="6"/>
      <c r="OB1392" s="46"/>
      <c r="OC1392" s="4"/>
      <c r="OD1392" s="6"/>
    </row>
    <row r="1393" spans="1:394" x14ac:dyDescent="0.25">
      <c r="A1393" s="47"/>
      <c r="B1393" s="48"/>
      <c r="C1393" s="133"/>
      <c r="D1393" s="133"/>
      <c r="E1393" s="133"/>
      <c r="F1393" s="133"/>
      <c r="G1393" s="133"/>
      <c r="H1393" s="133"/>
      <c r="I1393" s="133"/>
      <c r="J1393" s="133"/>
      <c r="K1393" s="133"/>
      <c r="L1393" s="133"/>
      <c r="NW1393" s="6"/>
      <c r="NX1393" s="6"/>
      <c r="NY1393" s="6"/>
      <c r="NZ1393" s="6"/>
      <c r="OA1393" s="6"/>
      <c r="OB1393" s="46"/>
      <c r="OC1393" s="4"/>
      <c r="OD1393" s="6"/>
    </row>
    <row r="1394" spans="1:394" x14ac:dyDescent="0.25">
      <c r="A1394" s="47"/>
      <c r="B1394" s="48"/>
      <c r="C1394" s="133"/>
      <c r="D1394" s="133"/>
      <c r="E1394" s="133"/>
      <c r="F1394" s="133"/>
      <c r="G1394" s="133"/>
      <c r="H1394" s="133"/>
      <c r="I1394" s="133"/>
      <c r="J1394" s="133"/>
      <c r="K1394" s="133"/>
      <c r="L1394" s="133"/>
      <c r="NW1394" s="6"/>
      <c r="NX1394" s="6"/>
      <c r="NY1394" s="6"/>
      <c r="NZ1394" s="6"/>
      <c r="OA1394" s="6"/>
      <c r="OB1394" s="46"/>
      <c r="OC1394" s="4"/>
      <c r="OD1394" s="6"/>
    </row>
    <row r="1395" spans="1:394" x14ac:dyDescent="0.25">
      <c r="A1395" s="47"/>
      <c r="B1395" s="48"/>
      <c r="C1395" s="133"/>
      <c r="D1395" s="133"/>
      <c r="E1395" s="133"/>
      <c r="F1395" s="133"/>
      <c r="G1395" s="133"/>
      <c r="H1395" s="133"/>
      <c r="I1395" s="133"/>
      <c r="J1395" s="133"/>
      <c r="K1395" s="133"/>
      <c r="L1395" s="133"/>
      <c r="NW1395" s="6"/>
      <c r="NX1395" s="6"/>
      <c r="NY1395" s="6"/>
      <c r="NZ1395" s="6"/>
      <c r="OA1395" s="6"/>
      <c r="OB1395" s="46"/>
      <c r="OC1395" s="4"/>
      <c r="OD1395" s="6"/>
    </row>
    <row r="1396" spans="1:394" x14ac:dyDescent="0.25">
      <c r="A1396" s="47"/>
      <c r="B1396" s="48"/>
      <c r="C1396" s="133"/>
      <c r="D1396" s="133"/>
      <c r="E1396" s="133"/>
      <c r="F1396" s="133"/>
      <c r="G1396" s="133"/>
      <c r="H1396" s="133"/>
      <c r="I1396" s="133"/>
      <c r="J1396" s="133"/>
      <c r="K1396" s="133"/>
      <c r="L1396" s="133"/>
      <c r="NW1396" s="6"/>
      <c r="NX1396" s="6"/>
      <c r="NY1396" s="6"/>
      <c r="NZ1396" s="6"/>
      <c r="OA1396" s="6"/>
      <c r="OB1396" s="46"/>
      <c r="OC1396" s="4"/>
      <c r="OD1396" s="6"/>
    </row>
    <row r="1397" spans="1:394" x14ac:dyDescent="0.25">
      <c r="A1397" s="47"/>
      <c r="B1397" s="48"/>
      <c r="C1397" s="133"/>
      <c r="D1397" s="133"/>
      <c r="E1397" s="133"/>
      <c r="F1397" s="133"/>
      <c r="G1397" s="133"/>
      <c r="H1397" s="133"/>
      <c r="I1397" s="133"/>
      <c r="J1397" s="133"/>
      <c r="K1397" s="133"/>
      <c r="L1397" s="133"/>
      <c r="NW1397" s="6"/>
      <c r="NX1397" s="6"/>
      <c r="NY1397" s="6"/>
      <c r="NZ1397" s="6"/>
      <c r="OA1397" s="6"/>
      <c r="OB1397" s="46"/>
      <c r="OC1397" s="4"/>
      <c r="OD1397" s="6"/>
    </row>
    <row r="1398" spans="1:394" x14ac:dyDescent="0.25">
      <c r="A1398" s="47"/>
      <c r="B1398" s="48"/>
      <c r="C1398" s="133"/>
      <c r="D1398" s="133"/>
      <c r="E1398" s="133"/>
      <c r="F1398" s="133"/>
      <c r="G1398" s="133"/>
      <c r="H1398" s="133"/>
      <c r="I1398" s="133"/>
      <c r="J1398" s="133"/>
      <c r="K1398" s="133"/>
      <c r="L1398" s="133"/>
      <c r="NW1398" s="6"/>
      <c r="NX1398" s="6"/>
      <c r="NY1398" s="6"/>
      <c r="NZ1398" s="6"/>
      <c r="OA1398" s="6"/>
      <c r="OB1398" s="46"/>
      <c r="OC1398" s="4"/>
      <c r="OD1398" s="6"/>
    </row>
    <row r="1399" spans="1:394" x14ac:dyDescent="0.25">
      <c r="A1399" s="47"/>
      <c r="B1399" s="48"/>
      <c r="C1399" s="133"/>
      <c r="D1399" s="133"/>
      <c r="E1399" s="133"/>
      <c r="F1399" s="133"/>
      <c r="G1399" s="133"/>
      <c r="H1399" s="133"/>
      <c r="I1399" s="133"/>
      <c r="J1399" s="133"/>
      <c r="K1399" s="133"/>
      <c r="L1399" s="133"/>
      <c r="NW1399" s="6"/>
      <c r="NX1399" s="6"/>
      <c r="NY1399" s="6"/>
      <c r="NZ1399" s="6"/>
      <c r="OA1399" s="6"/>
      <c r="OB1399" s="46"/>
      <c r="OC1399" s="4"/>
      <c r="OD1399" s="6"/>
    </row>
    <row r="1400" spans="1:394" x14ac:dyDescent="0.25">
      <c r="A1400" s="47"/>
      <c r="B1400" s="48"/>
      <c r="C1400" s="133"/>
      <c r="D1400" s="133"/>
      <c r="E1400" s="133"/>
      <c r="F1400" s="133"/>
      <c r="G1400" s="133"/>
      <c r="H1400" s="133"/>
      <c r="I1400" s="133"/>
      <c r="J1400" s="133"/>
      <c r="K1400" s="133"/>
      <c r="L1400" s="133"/>
      <c r="NW1400" s="6"/>
      <c r="NX1400" s="6"/>
      <c r="NY1400" s="6"/>
      <c r="NZ1400" s="6"/>
      <c r="OA1400" s="6"/>
      <c r="OB1400" s="46"/>
      <c r="OC1400" s="4"/>
      <c r="OD1400" s="6"/>
    </row>
    <row r="1401" spans="1:394" x14ac:dyDescent="0.25">
      <c r="A1401" s="47"/>
      <c r="B1401" s="48"/>
      <c r="C1401" s="133"/>
      <c r="D1401" s="133"/>
      <c r="E1401" s="133"/>
      <c r="F1401" s="133"/>
      <c r="G1401" s="133"/>
      <c r="H1401" s="133"/>
      <c r="I1401" s="133"/>
      <c r="J1401" s="133"/>
      <c r="K1401" s="133"/>
      <c r="L1401" s="133"/>
      <c r="NW1401" s="6"/>
      <c r="NX1401" s="6"/>
      <c r="NY1401" s="6"/>
      <c r="NZ1401" s="6"/>
      <c r="OA1401" s="6"/>
      <c r="OB1401" s="46"/>
      <c r="OC1401" s="4"/>
      <c r="OD1401" s="6"/>
    </row>
    <row r="1402" spans="1:394" x14ac:dyDescent="0.25">
      <c r="A1402" s="47"/>
      <c r="B1402" s="48"/>
      <c r="C1402" s="133"/>
      <c r="D1402" s="133"/>
      <c r="E1402" s="133"/>
      <c r="F1402" s="133"/>
      <c r="G1402" s="133"/>
      <c r="H1402" s="133"/>
      <c r="I1402" s="133"/>
      <c r="J1402" s="133"/>
      <c r="K1402" s="133"/>
      <c r="L1402" s="133"/>
      <c r="NW1402" s="6"/>
      <c r="NX1402" s="6"/>
      <c r="NY1402" s="6"/>
      <c r="NZ1402" s="6"/>
      <c r="OA1402" s="6"/>
      <c r="OB1402" s="46"/>
      <c r="OC1402" s="4"/>
      <c r="OD1402" s="6"/>
    </row>
    <row r="1403" spans="1:394" x14ac:dyDescent="0.25">
      <c r="A1403" s="47"/>
      <c r="B1403" s="48"/>
      <c r="C1403" s="133"/>
      <c r="D1403" s="133"/>
      <c r="E1403" s="133"/>
      <c r="F1403" s="133"/>
      <c r="G1403" s="133"/>
      <c r="H1403" s="133"/>
      <c r="I1403" s="133"/>
      <c r="J1403" s="133"/>
      <c r="K1403" s="133"/>
      <c r="L1403" s="133"/>
      <c r="NW1403" s="6"/>
      <c r="NX1403" s="6"/>
      <c r="NY1403" s="6"/>
      <c r="NZ1403" s="6"/>
      <c r="OA1403" s="6"/>
      <c r="OB1403" s="46"/>
      <c r="OC1403" s="4"/>
      <c r="OD1403" s="6"/>
    </row>
    <row r="1404" spans="1:394" x14ac:dyDescent="0.25">
      <c r="A1404" s="47"/>
      <c r="B1404" s="48"/>
      <c r="C1404" s="133"/>
      <c r="D1404" s="133"/>
      <c r="E1404" s="133"/>
      <c r="F1404" s="133"/>
      <c r="G1404" s="133"/>
      <c r="H1404" s="133"/>
      <c r="I1404" s="133"/>
      <c r="J1404" s="133"/>
      <c r="K1404" s="133"/>
      <c r="L1404" s="133"/>
      <c r="NW1404" s="6"/>
      <c r="NX1404" s="6"/>
      <c r="NY1404" s="6"/>
      <c r="NZ1404" s="6"/>
      <c r="OA1404" s="6"/>
      <c r="OB1404" s="46"/>
      <c r="OC1404" s="4"/>
      <c r="OD1404" s="6"/>
    </row>
    <row r="1405" spans="1:394" x14ac:dyDescent="0.25">
      <c r="A1405" s="47"/>
      <c r="B1405" s="48"/>
      <c r="C1405" s="133"/>
      <c r="D1405" s="133"/>
      <c r="E1405" s="133"/>
      <c r="F1405" s="133"/>
      <c r="G1405" s="133"/>
      <c r="H1405" s="133"/>
      <c r="I1405" s="133"/>
      <c r="J1405" s="133"/>
      <c r="K1405" s="133"/>
      <c r="L1405" s="133"/>
      <c r="NW1405" s="6"/>
      <c r="NX1405" s="6"/>
      <c r="NY1405" s="6"/>
      <c r="NZ1405" s="6"/>
      <c r="OA1405" s="6"/>
      <c r="OB1405" s="46"/>
      <c r="OC1405" s="4"/>
      <c r="OD1405" s="6"/>
    </row>
    <row r="1406" spans="1:394" x14ac:dyDescent="0.25">
      <c r="A1406" s="47"/>
      <c r="B1406" s="48"/>
      <c r="C1406" s="133"/>
      <c r="D1406" s="133"/>
      <c r="E1406" s="133"/>
      <c r="F1406" s="133"/>
      <c r="G1406" s="133"/>
      <c r="H1406" s="133"/>
      <c r="I1406" s="133"/>
      <c r="J1406" s="133"/>
      <c r="K1406" s="133"/>
      <c r="L1406" s="133"/>
      <c r="NW1406" s="6"/>
      <c r="NX1406" s="6"/>
      <c r="NY1406" s="6"/>
      <c r="NZ1406" s="6"/>
      <c r="OA1406" s="6"/>
      <c r="OB1406" s="46"/>
      <c r="OC1406" s="4"/>
      <c r="OD1406" s="6"/>
    </row>
    <row r="1407" spans="1:394" x14ac:dyDescent="0.25">
      <c r="A1407" s="47"/>
      <c r="B1407" s="48"/>
      <c r="C1407" s="133"/>
      <c r="D1407" s="133"/>
      <c r="E1407" s="133"/>
      <c r="F1407" s="133"/>
      <c r="G1407" s="133"/>
      <c r="H1407" s="133"/>
      <c r="I1407" s="133"/>
      <c r="J1407" s="133"/>
      <c r="K1407" s="133"/>
      <c r="L1407" s="133"/>
      <c r="NW1407" s="6"/>
      <c r="NX1407" s="6"/>
      <c r="NY1407" s="6"/>
      <c r="NZ1407" s="6"/>
      <c r="OA1407" s="6"/>
      <c r="OB1407" s="46"/>
      <c r="OC1407" s="4"/>
      <c r="OD1407" s="6"/>
    </row>
    <row r="1408" spans="1:394" x14ac:dyDescent="0.25">
      <c r="A1408" s="47"/>
      <c r="B1408" s="48"/>
      <c r="C1408" s="133"/>
      <c r="D1408" s="133"/>
      <c r="E1408" s="133"/>
      <c r="F1408" s="133"/>
      <c r="G1408" s="133"/>
      <c r="H1408" s="133"/>
      <c r="I1408" s="133"/>
      <c r="J1408" s="133"/>
      <c r="K1408" s="133"/>
      <c r="L1408" s="133"/>
      <c r="NW1408" s="6"/>
      <c r="NX1408" s="6"/>
      <c r="NY1408" s="6"/>
      <c r="NZ1408" s="6"/>
      <c r="OA1408" s="6"/>
      <c r="OB1408" s="46"/>
      <c r="OC1408" s="4"/>
      <c r="OD1408" s="6"/>
    </row>
    <row r="1409" spans="1:394" x14ac:dyDescent="0.25">
      <c r="A1409" s="47"/>
      <c r="B1409" s="48"/>
      <c r="C1409" s="133"/>
      <c r="D1409" s="133"/>
      <c r="E1409" s="133"/>
      <c r="F1409" s="133"/>
      <c r="G1409" s="133"/>
      <c r="H1409" s="133"/>
      <c r="I1409" s="133"/>
      <c r="J1409" s="133"/>
      <c r="K1409" s="133"/>
      <c r="L1409" s="133"/>
      <c r="NW1409" s="6"/>
      <c r="NX1409" s="6"/>
      <c r="NY1409" s="6"/>
      <c r="NZ1409" s="6"/>
      <c r="OA1409" s="6"/>
      <c r="OB1409" s="46"/>
      <c r="OC1409" s="4"/>
      <c r="OD1409" s="6"/>
    </row>
    <row r="1410" spans="1:394" x14ac:dyDescent="0.25">
      <c r="A1410" s="47"/>
      <c r="B1410" s="48"/>
      <c r="C1410" s="133"/>
      <c r="D1410" s="133"/>
      <c r="E1410" s="133"/>
      <c r="F1410" s="133"/>
      <c r="G1410" s="133"/>
      <c r="H1410" s="133"/>
      <c r="I1410" s="133"/>
      <c r="J1410" s="133"/>
      <c r="K1410" s="133"/>
      <c r="L1410" s="133"/>
      <c r="NW1410" s="6"/>
      <c r="NX1410" s="6"/>
      <c r="NY1410" s="6"/>
      <c r="NZ1410" s="6"/>
      <c r="OA1410" s="6"/>
      <c r="OB1410" s="46"/>
      <c r="OC1410" s="4"/>
      <c r="OD1410" s="6"/>
    </row>
    <row r="1411" spans="1:394" x14ac:dyDescent="0.25">
      <c r="A1411" s="47"/>
      <c r="B1411" s="48"/>
      <c r="C1411" s="133"/>
      <c r="D1411" s="133"/>
      <c r="E1411" s="133"/>
      <c r="F1411" s="133"/>
      <c r="G1411" s="133"/>
      <c r="H1411" s="133"/>
      <c r="I1411" s="133"/>
      <c r="J1411" s="133"/>
      <c r="K1411" s="133"/>
      <c r="L1411" s="133"/>
      <c r="NW1411" s="6"/>
      <c r="NX1411" s="6"/>
      <c r="NY1411" s="6"/>
      <c r="NZ1411" s="6"/>
      <c r="OA1411" s="6"/>
      <c r="OB1411" s="46"/>
      <c r="OC1411" s="4"/>
      <c r="OD1411" s="6"/>
    </row>
    <row r="1412" spans="1:394" x14ac:dyDescent="0.25">
      <c r="A1412" s="47"/>
      <c r="B1412" s="48"/>
      <c r="C1412" s="133"/>
      <c r="D1412" s="133"/>
      <c r="E1412" s="133"/>
      <c r="F1412" s="133"/>
      <c r="G1412" s="133"/>
      <c r="H1412" s="133"/>
      <c r="I1412" s="133"/>
      <c r="J1412" s="133"/>
      <c r="K1412" s="133"/>
      <c r="L1412" s="133"/>
      <c r="NW1412" s="6"/>
      <c r="NX1412" s="6"/>
      <c r="NY1412" s="6"/>
      <c r="NZ1412" s="6"/>
      <c r="OA1412" s="6"/>
      <c r="OB1412" s="46"/>
      <c r="OC1412" s="4"/>
      <c r="OD1412" s="6"/>
    </row>
    <row r="1413" spans="1:394" x14ac:dyDescent="0.25">
      <c r="A1413" s="47"/>
      <c r="B1413" s="48"/>
      <c r="C1413" s="133"/>
      <c r="D1413" s="133"/>
      <c r="E1413" s="133"/>
      <c r="F1413" s="133"/>
      <c r="G1413" s="133"/>
      <c r="H1413" s="133"/>
      <c r="I1413" s="133"/>
      <c r="J1413" s="133"/>
      <c r="K1413" s="133"/>
      <c r="L1413" s="133"/>
      <c r="NW1413" s="6"/>
      <c r="NX1413" s="6"/>
      <c r="NY1413" s="6"/>
      <c r="NZ1413" s="6"/>
      <c r="OA1413" s="6"/>
      <c r="OB1413" s="46"/>
      <c r="OC1413" s="4"/>
      <c r="OD1413" s="6"/>
    </row>
    <row r="1414" spans="1:394" x14ac:dyDescent="0.25">
      <c r="A1414" s="47"/>
      <c r="B1414" s="48"/>
      <c r="C1414" s="133"/>
      <c r="D1414" s="133"/>
      <c r="E1414" s="133"/>
      <c r="F1414" s="133"/>
      <c r="G1414" s="133"/>
      <c r="H1414" s="133"/>
      <c r="I1414" s="133"/>
      <c r="J1414" s="133"/>
      <c r="K1414" s="133"/>
      <c r="L1414" s="133"/>
      <c r="NW1414" s="6"/>
      <c r="NX1414" s="6"/>
      <c r="NY1414" s="6"/>
      <c r="NZ1414" s="6"/>
      <c r="OA1414" s="6"/>
      <c r="OB1414" s="46"/>
      <c r="OC1414" s="4"/>
      <c r="OD1414" s="6"/>
    </row>
    <row r="1415" spans="1:394" x14ac:dyDescent="0.25">
      <c r="A1415" s="47"/>
      <c r="B1415" s="48"/>
      <c r="C1415" s="133"/>
      <c r="D1415" s="133"/>
      <c r="E1415" s="133"/>
      <c r="F1415" s="133"/>
      <c r="G1415" s="133"/>
      <c r="H1415" s="133"/>
      <c r="I1415" s="133"/>
      <c r="J1415" s="133"/>
      <c r="K1415" s="133"/>
      <c r="L1415" s="133"/>
      <c r="NW1415" s="6"/>
      <c r="NX1415" s="6"/>
      <c r="NY1415" s="6"/>
      <c r="NZ1415" s="6"/>
      <c r="OA1415" s="6"/>
      <c r="OB1415" s="46"/>
      <c r="OC1415" s="4"/>
      <c r="OD1415" s="6"/>
    </row>
    <row r="1416" spans="1:394" x14ac:dyDescent="0.25">
      <c r="A1416" s="47"/>
      <c r="B1416" s="48"/>
      <c r="C1416" s="133"/>
      <c r="D1416" s="133"/>
      <c r="E1416" s="133"/>
      <c r="F1416" s="133"/>
      <c r="G1416" s="133"/>
      <c r="H1416" s="133"/>
      <c r="I1416" s="133"/>
      <c r="J1416" s="133"/>
      <c r="K1416" s="133"/>
      <c r="L1416" s="133"/>
      <c r="NW1416" s="6"/>
      <c r="NX1416" s="6"/>
      <c r="NY1416" s="6"/>
      <c r="NZ1416" s="6"/>
      <c r="OA1416" s="6"/>
      <c r="OB1416" s="46"/>
      <c r="OC1416" s="4"/>
      <c r="OD1416" s="6"/>
    </row>
    <row r="1417" spans="1:394" x14ac:dyDescent="0.25">
      <c r="A1417" s="47"/>
      <c r="B1417" s="48"/>
      <c r="C1417" s="133"/>
      <c r="D1417" s="133"/>
      <c r="E1417" s="133"/>
      <c r="F1417" s="133"/>
      <c r="G1417" s="133"/>
      <c r="H1417" s="133"/>
      <c r="I1417" s="133"/>
      <c r="J1417" s="133"/>
      <c r="K1417" s="133"/>
      <c r="L1417" s="133"/>
      <c r="NW1417" s="6"/>
      <c r="NX1417" s="6"/>
      <c r="NY1417" s="6"/>
      <c r="NZ1417" s="6"/>
      <c r="OA1417" s="6"/>
      <c r="OB1417" s="46"/>
      <c r="OC1417" s="4"/>
      <c r="OD1417" s="6"/>
    </row>
    <row r="1418" spans="1:394" x14ac:dyDescent="0.25">
      <c r="A1418" s="47"/>
      <c r="B1418" s="48"/>
      <c r="C1418" s="133"/>
      <c r="D1418" s="133"/>
      <c r="E1418" s="133"/>
      <c r="F1418" s="133"/>
      <c r="G1418" s="133"/>
      <c r="H1418" s="133"/>
      <c r="I1418" s="133"/>
      <c r="J1418" s="133"/>
      <c r="K1418" s="133"/>
      <c r="L1418" s="133"/>
      <c r="NW1418" s="6"/>
      <c r="NX1418" s="6"/>
      <c r="NY1418" s="6"/>
      <c r="NZ1418" s="6"/>
      <c r="OA1418" s="6"/>
      <c r="OB1418" s="46"/>
      <c r="OC1418" s="4"/>
      <c r="OD1418" s="6"/>
    </row>
    <row r="1419" spans="1:394" x14ac:dyDescent="0.25">
      <c r="A1419" s="47"/>
      <c r="B1419" s="48"/>
      <c r="C1419" s="133"/>
      <c r="D1419" s="133"/>
      <c r="E1419" s="133"/>
      <c r="F1419" s="133"/>
      <c r="G1419" s="133"/>
      <c r="H1419" s="133"/>
      <c r="I1419" s="133"/>
      <c r="J1419" s="133"/>
      <c r="K1419" s="133"/>
      <c r="L1419" s="133"/>
      <c r="NW1419" s="6"/>
      <c r="NX1419" s="6"/>
      <c r="NY1419" s="6"/>
      <c r="NZ1419" s="6"/>
      <c r="OA1419" s="6"/>
      <c r="OB1419" s="46"/>
      <c r="OC1419" s="4"/>
      <c r="OD1419" s="6"/>
    </row>
    <row r="1420" spans="1:394" x14ac:dyDescent="0.25">
      <c r="A1420" s="47"/>
      <c r="B1420" s="48"/>
      <c r="C1420" s="133"/>
      <c r="D1420" s="133"/>
      <c r="E1420" s="133"/>
      <c r="F1420" s="133"/>
      <c r="G1420" s="133"/>
      <c r="H1420" s="133"/>
      <c r="I1420" s="133"/>
      <c r="J1420" s="133"/>
      <c r="K1420" s="133"/>
      <c r="L1420" s="133"/>
      <c r="NW1420" s="6"/>
      <c r="NX1420" s="6"/>
      <c r="NY1420" s="6"/>
      <c r="NZ1420" s="6"/>
      <c r="OA1420" s="6"/>
      <c r="OB1420" s="46"/>
      <c r="OC1420" s="4"/>
      <c r="OD1420" s="6"/>
    </row>
    <row r="1421" spans="1:394" x14ac:dyDescent="0.25">
      <c r="A1421" s="47"/>
      <c r="B1421" s="48"/>
      <c r="C1421" s="133"/>
      <c r="D1421" s="133"/>
      <c r="E1421" s="133"/>
      <c r="F1421" s="133"/>
      <c r="G1421" s="133"/>
      <c r="H1421" s="133"/>
      <c r="I1421" s="133"/>
      <c r="J1421" s="133"/>
      <c r="K1421" s="133"/>
      <c r="L1421" s="133"/>
      <c r="NW1421" s="6"/>
      <c r="NX1421" s="6"/>
      <c r="NY1421" s="6"/>
      <c r="NZ1421" s="6"/>
      <c r="OA1421" s="6"/>
      <c r="OB1421" s="46"/>
      <c r="OC1421" s="4"/>
      <c r="OD1421" s="6"/>
    </row>
    <row r="1422" spans="1:394" x14ac:dyDescent="0.25">
      <c r="A1422" s="47"/>
      <c r="B1422" s="48"/>
      <c r="C1422" s="133"/>
      <c r="D1422" s="133"/>
      <c r="E1422" s="133"/>
      <c r="F1422" s="133"/>
      <c r="G1422" s="133"/>
      <c r="H1422" s="133"/>
      <c r="I1422" s="133"/>
      <c r="J1422" s="133"/>
      <c r="K1422" s="133"/>
      <c r="L1422" s="133"/>
      <c r="NW1422" s="6"/>
      <c r="NX1422" s="6"/>
      <c r="NY1422" s="6"/>
      <c r="NZ1422" s="6"/>
      <c r="OA1422" s="6"/>
      <c r="OB1422" s="46"/>
      <c r="OC1422" s="4"/>
      <c r="OD1422" s="6"/>
    </row>
    <row r="1423" spans="1:394" x14ac:dyDescent="0.25">
      <c r="A1423" s="47"/>
      <c r="B1423" s="48"/>
      <c r="C1423" s="133"/>
      <c r="D1423" s="133"/>
      <c r="E1423" s="133"/>
      <c r="F1423" s="133"/>
      <c r="G1423" s="133"/>
      <c r="H1423" s="133"/>
      <c r="I1423" s="133"/>
      <c r="J1423" s="133"/>
      <c r="K1423" s="133"/>
      <c r="L1423" s="133"/>
      <c r="NW1423" s="6"/>
      <c r="NX1423" s="6"/>
      <c r="NY1423" s="6"/>
      <c r="NZ1423" s="6"/>
      <c r="OA1423" s="6"/>
      <c r="OB1423" s="46"/>
      <c r="OC1423" s="4"/>
      <c r="OD1423" s="6"/>
    </row>
    <row r="1424" spans="1:394" x14ac:dyDescent="0.25">
      <c r="A1424" s="47"/>
      <c r="B1424" s="48"/>
      <c r="C1424" s="133"/>
      <c r="D1424" s="133"/>
      <c r="E1424" s="133"/>
      <c r="F1424" s="133"/>
      <c r="G1424" s="133"/>
      <c r="H1424" s="133"/>
      <c r="I1424" s="133"/>
      <c r="J1424" s="133"/>
      <c r="K1424" s="133"/>
      <c r="L1424" s="133"/>
      <c r="NW1424" s="6"/>
      <c r="NX1424" s="6"/>
      <c r="NY1424" s="6"/>
      <c r="NZ1424" s="6"/>
      <c r="OA1424" s="6"/>
      <c r="OB1424" s="46"/>
      <c r="OC1424" s="4"/>
      <c r="OD1424" s="6"/>
    </row>
    <row r="1425" spans="1:394" x14ac:dyDescent="0.25">
      <c r="A1425" s="47"/>
      <c r="B1425" s="48"/>
      <c r="C1425" s="133"/>
      <c r="D1425" s="133"/>
      <c r="E1425" s="133"/>
      <c r="F1425" s="133"/>
      <c r="G1425" s="133"/>
      <c r="H1425" s="133"/>
      <c r="I1425" s="133"/>
      <c r="J1425" s="133"/>
      <c r="K1425" s="133"/>
      <c r="L1425" s="133"/>
      <c r="NW1425" s="6"/>
      <c r="NX1425" s="6"/>
      <c r="NY1425" s="6"/>
      <c r="NZ1425" s="6"/>
      <c r="OA1425" s="6"/>
      <c r="OB1425" s="46"/>
      <c r="OC1425" s="4"/>
      <c r="OD1425" s="6"/>
    </row>
    <row r="1426" spans="1:394" x14ac:dyDescent="0.25">
      <c r="A1426" s="47"/>
      <c r="B1426" s="48"/>
      <c r="C1426" s="133"/>
      <c r="D1426" s="133"/>
      <c r="E1426" s="133"/>
      <c r="F1426" s="133"/>
      <c r="G1426" s="133"/>
      <c r="H1426" s="133"/>
      <c r="I1426" s="133"/>
      <c r="J1426" s="133"/>
      <c r="K1426" s="133"/>
      <c r="L1426" s="133"/>
      <c r="NW1426" s="6"/>
      <c r="NX1426" s="6"/>
      <c r="NY1426" s="6"/>
      <c r="NZ1426" s="6"/>
      <c r="OA1426" s="6"/>
      <c r="OB1426" s="46"/>
      <c r="OC1426" s="4"/>
      <c r="OD1426" s="6"/>
    </row>
    <row r="1427" spans="1:394" x14ac:dyDescent="0.25">
      <c r="A1427" s="47"/>
      <c r="B1427" s="48"/>
      <c r="C1427" s="133"/>
      <c r="D1427" s="133"/>
      <c r="E1427" s="133"/>
      <c r="F1427" s="133"/>
      <c r="G1427" s="133"/>
      <c r="H1427" s="133"/>
      <c r="I1427" s="133"/>
      <c r="J1427" s="133"/>
      <c r="K1427" s="133"/>
      <c r="L1427" s="133"/>
      <c r="NW1427" s="6"/>
      <c r="NX1427" s="6"/>
      <c r="NY1427" s="6"/>
      <c r="NZ1427" s="6"/>
      <c r="OA1427" s="6"/>
      <c r="OB1427" s="46"/>
      <c r="OC1427" s="4"/>
      <c r="OD1427" s="6"/>
    </row>
    <row r="1428" spans="1:394" x14ac:dyDescent="0.25">
      <c r="A1428" s="47"/>
      <c r="B1428" s="48"/>
      <c r="C1428" s="133"/>
      <c r="D1428" s="133"/>
      <c r="E1428" s="133"/>
      <c r="F1428" s="133"/>
      <c r="G1428" s="133"/>
      <c r="H1428" s="133"/>
      <c r="I1428" s="133"/>
      <c r="J1428" s="133"/>
      <c r="K1428" s="133"/>
      <c r="L1428" s="133"/>
      <c r="NW1428" s="6"/>
      <c r="NX1428" s="6"/>
      <c r="NY1428" s="6"/>
      <c r="NZ1428" s="6"/>
      <c r="OA1428" s="6"/>
      <c r="OB1428" s="46"/>
      <c r="OC1428" s="4"/>
      <c r="OD1428" s="6"/>
    </row>
    <row r="1429" spans="1:394" x14ac:dyDescent="0.25">
      <c r="A1429" s="47"/>
      <c r="B1429" s="48"/>
      <c r="C1429" s="133"/>
      <c r="D1429" s="133"/>
      <c r="E1429" s="133"/>
      <c r="F1429" s="133"/>
      <c r="G1429" s="133"/>
      <c r="H1429" s="133"/>
      <c r="I1429" s="133"/>
      <c r="J1429" s="133"/>
      <c r="K1429" s="133"/>
      <c r="L1429" s="133"/>
      <c r="NW1429" s="6"/>
      <c r="NX1429" s="6"/>
      <c r="NY1429" s="6"/>
      <c r="NZ1429" s="6"/>
      <c r="OA1429" s="6"/>
      <c r="OB1429" s="46"/>
      <c r="OC1429" s="4"/>
      <c r="OD1429" s="6"/>
    </row>
    <row r="1430" spans="1:394" x14ac:dyDescent="0.25">
      <c r="A1430" s="47"/>
      <c r="B1430" s="48"/>
      <c r="C1430" s="133"/>
      <c r="D1430" s="133"/>
      <c r="E1430" s="133"/>
      <c r="F1430" s="133"/>
      <c r="G1430" s="133"/>
      <c r="H1430" s="133"/>
      <c r="I1430" s="133"/>
      <c r="J1430" s="133"/>
      <c r="K1430" s="133"/>
      <c r="L1430" s="133"/>
      <c r="NW1430" s="6"/>
      <c r="NX1430" s="6"/>
      <c r="NY1430" s="6"/>
      <c r="NZ1430" s="6"/>
      <c r="OA1430" s="6"/>
      <c r="OB1430" s="46"/>
      <c r="OC1430" s="4"/>
      <c r="OD1430" s="6"/>
    </row>
    <row r="1431" spans="1:394" x14ac:dyDescent="0.25">
      <c r="A1431" s="47"/>
      <c r="B1431" s="48"/>
      <c r="C1431" s="133"/>
      <c r="D1431" s="133"/>
      <c r="E1431" s="133"/>
      <c r="F1431" s="133"/>
      <c r="G1431" s="133"/>
      <c r="H1431" s="133"/>
      <c r="I1431" s="133"/>
      <c r="J1431" s="133"/>
      <c r="K1431" s="133"/>
      <c r="L1431" s="133"/>
      <c r="NW1431" s="6"/>
      <c r="NX1431" s="6"/>
      <c r="NY1431" s="6"/>
      <c r="NZ1431" s="6"/>
      <c r="OA1431" s="6"/>
      <c r="OB1431" s="46"/>
      <c r="OC1431" s="4"/>
      <c r="OD1431" s="6"/>
    </row>
    <row r="1432" spans="1:394" x14ac:dyDescent="0.25">
      <c r="A1432" s="47"/>
      <c r="B1432" s="48"/>
      <c r="C1432" s="133"/>
      <c r="D1432" s="133"/>
      <c r="E1432" s="133"/>
      <c r="F1432" s="133"/>
      <c r="G1432" s="133"/>
      <c r="H1432" s="133"/>
      <c r="I1432" s="133"/>
      <c r="J1432" s="133"/>
      <c r="K1432" s="133"/>
      <c r="L1432" s="133"/>
      <c r="NW1432" s="6"/>
      <c r="NX1432" s="6"/>
      <c r="NY1432" s="6"/>
      <c r="NZ1432" s="6"/>
      <c r="OA1432" s="6"/>
      <c r="OB1432" s="46"/>
      <c r="OC1432" s="4"/>
      <c r="OD1432" s="6"/>
    </row>
    <row r="1433" spans="1:394" x14ac:dyDescent="0.25">
      <c r="A1433" s="47"/>
      <c r="B1433" s="48"/>
      <c r="C1433" s="133"/>
      <c r="D1433" s="133"/>
      <c r="E1433" s="133"/>
      <c r="F1433" s="133"/>
      <c r="G1433" s="133"/>
      <c r="H1433" s="133"/>
      <c r="I1433" s="133"/>
      <c r="J1433" s="133"/>
      <c r="K1433" s="133"/>
      <c r="L1433" s="133"/>
      <c r="NW1433" s="6"/>
      <c r="NX1433" s="6"/>
      <c r="NY1433" s="6"/>
      <c r="NZ1433" s="6"/>
      <c r="OA1433" s="6"/>
      <c r="OB1433" s="46"/>
      <c r="OC1433" s="4"/>
      <c r="OD1433" s="6"/>
    </row>
    <row r="1434" spans="1:394" x14ac:dyDescent="0.25">
      <c r="A1434" s="47"/>
      <c r="B1434" s="48"/>
      <c r="C1434" s="133"/>
      <c r="D1434" s="133"/>
      <c r="E1434" s="133"/>
      <c r="F1434" s="133"/>
      <c r="G1434" s="133"/>
      <c r="H1434" s="133"/>
      <c r="I1434" s="133"/>
      <c r="J1434" s="133"/>
      <c r="K1434" s="133"/>
      <c r="L1434" s="133"/>
      <c r="NW1434" s="6"/>
      <c r="NX1434" s="6"/>
      <c r="NY1434" s="6"/>
      <c r="NZ1434" s="6"/>
      <c r="OA1434" s="6"/>
      <c r="OB1434" s="46"/>
      <c r="OC1434" s="4"/>
      <c r="OD1434" s="6"/>
    </row>
    <row r="1435" spans="1:394" x14ac:dyDescent="0.25">
      <c r="A1435" s="47"/>
      <c r="B1435" s="48"/>
      <c r="C1435" s="133"/>
      <c r="D1435" s="133"/>
      <c r="E1435" s="133"/>
      <c r="F1435" s="133"/>
      <c r="G1435" s="133"/>
      <c r="H1435" s="133"/>
      <c r="I1435" s="133"/>
      <c r="J1435" s="133"/>
      <c r="K1435" s="133"/>
      <c r="L1435" s="133"/>
      <c r="NW1435" s="6"/>
      <c r="NX1435" s="6"/>
      <c r="NY1435" s="6"/>
      <c r="NZ1435" s="6"/>
      <c r="OA1435" s="6"/>
      <c r="OB1435" s="46"/>
      <c r="OC1435" s="4"/>
      <c r="OD1435" s="6"/>
    </row>
    <row r="1436" spans="1:394" x14ac:dyDescent="0.25">
      <c r="A1436" s="47"/>
      <c r="B1436" s="48"/>
      <c r="C1436" s="133"/>
      <c r="D1436" s="133"/>
      <c r="E1436" s="133"/>
      <c r="F1436" s="133"/>
      <c r="G1436" s="133"/>
      <c r="H1436" s="133"/>
      <c r="I1436" s="133"/>
      <c r="J1436" s="133"/>
      <c r="K1436" s="133"/>
      <c r="L1436" s="133"/>
      <c r="NW1436" s="6"/>
      <c r="NX1436" s="6"/>
      <c r="NY1436" s="6"/>
      <c r="NZ1436" s="6"/>
      <c r="OA1436" s="6"/>
      <c r="OB1436" s="46"/>
      <c r="OC1436" s="4"/>
      <c r="OD1436" s="6"/>
    </row>
    <row r="1437" spans="1:394" x14ac:dyDescent="0.25">
      <c r="A1437" s="47"/>
      <c r="B1437" s="48"/>
      <c r="C1437" s="133"/>
      <c r="D1437" s="133"/>
      <c r="E1437" s="133"/>
      <c r="F1437" s="133"/>
      <c r="G1437" s="133"/>
      <c r="H1437" s="133"/>
      <c r="I1437" s="133"/>
      <c r="J1437" s="133"/>
      <c r="K1437" s="133"/>
      <c r="L1437" s="133"/>
      <c r="NW1437" s="6"/>
      <c r="NX1437" s="6"/>
      <c r="NY1437" s="6"/>
      <c r="NZ1437" s="6"/>
      <c r="OA1437" s="6"/>
      <c r="OB1437" s="46"/>
      <c r="OC1437" s="4"/>
      <c r="OD1437" s="6"/>
    </row>
    <row r="1438" spans="1:394" x14ac:dyDescent="0.25">
      <c r="A1438" s="47"/>
      <c r="B1438" s="48"/>
      <c r="C1438" s="133"/>
      <c r="D1438" s="133"/>
      <c r="E1438" s="133"/>
      <c r="F1438" s="133"/>
      <c r="G1438" s="133"/>
      <c r="H1438" s="133"/>
      <c r="I1438" s="133"/>
      <c r="J1438" s="133"/>
      <c r="K1438" s="133"/>
      <c r="L1438" s="133"/>
      <c r="NW1438" s="6"/>
      <c r="NX1438" s="6"/>
      <c r="NY1438" s="6"/>
      <c r="NZ1438" s="6"/>
      <c r="OA1438" s="6"/>
      <c r="OB1438" s="46"/>
      <c r="OC1438" s="4"/>
      <c r="OD1438" s="6"/>
    </row>
    <row r="1439" spans="1:394" x14ac:dyDescent="0.25">
      <c r="A1439" s="47"/>
      <c r="B1439" s="48"/>
      <c r="C1439" s="133"/>
      <c r="D1439" s="133"/>
      <c r="E1439" s="133"/>
      <c r="F1439" s="133"/>
      <c r="G1439" s="133"/>
      <c r="H1439" s="133"/>
      <c r="I1439" s="133"/>
      <c r="J1439" s="133"/>
      <c r="K1439" s="133"/>
      <c r="L1439" s="133"/>
      <c r="NW1439" s="6"/>
      <c r="NX1439" s="6"/>
      <c r="NY1439" s="6"/>
      <c r="NZ1439" s="6"/>
      <c r="OA1439" s="6"/>
      <c r="OB1439" s="46"/>
      <c r="OC1439" s="4"/>
      <c r="OD1439" s="6"/>
    </row>
    <row r="1440" spans="1:394" x14ac:dyDescent="0.25">
      <c r="A1440" s="47"/>
      <c r="B1440" s="48"/>
      <c r="C1440" s="133"/>
      <c r="D1440" s="133"/>
      <c r="E1440" s="133"/>
      <c r="F1440" s="133"/>
      <c r="G1440" s="133"/>
      <c r="H1440" s="133"/>
      <c r="I1440" s="133"/>
      <c r="J1440" s="133"/>
      <c r="K1440" s="133"/>
      <c r="L1440" s="133"/>
      <c r="NW1440" s="6"/>
      <c r="NX1440" s="6"/>
      <c r="NY1440" s="6"/>
      <c r="NZ1440" s="6"/>
      <c r="OA1440" s="6"/>
      <c r="OB1440" s="46"/>
      <c r="OC1440" s="4"/>
      <c r="OD1440" s="6"/>
    </row>
    <row r="1441" spans="1:394" x14ac:dyDescent="0.25">
      <c r="A1441" s="47"/>
      <c r="B1441" s="48"/>
      <c r="C1441" s="133"/>
      <c r="D1441" s="133"/>
      <c r="E1441" s="133"/>
      <c r="F1441" s="133"/>
      <c r="G1441" s="133"/>
      <c r="H1441" s="133"/>
      <c r="I1441" s="133"/>
      <c r="J1441" s="133"/>
      <c r="K1441" s="133"/>
      <c r="L1441" s="133"/>
      <c r="NW1441" s="6"/>
      <c r="NX1441" s="6"/>
      <c r="NY1441" s="6"/>
      <c r="NZ1441" s="6"/>
      <c r="OA1441" s="6"/>
      <c r="OB1441" s="46"/>
      <c r="OC1441" s="4"/>
      <c r="OD1441" s="6"/>
    </row>
    <row r="1442" spans="1:394" x14ac:dyDescent="0.25">
      <c r="A1442" s="47"/>
      <c r="B1442" s="48"/>
      <c r="C1442" s="133"/>
      <c r="D1442" s="133"/>
      <c r="E1442" s="133"/>
      <c r="F1442" s="133"/>
      <c r="G1442" s="133"/>
      <c r="H1442" s="133"/>
      <c r="I1442" s="133"/>
      <c r="J1442" s="133"/>
      <c r="K1442" s="133"/>
      <c r="L1442" s="133"/>
      <c r="NW1442" s="6"/>
      <c r="NX1442" s="6"/>
      <c r="NY1442" s="6"/>
      <c r="NZ1442" s="6"/>
      <c r="OA1442" s="6"/>
      <c r="OB1442" s="46"/>
      <c r="OC1442" s="4"/>
      <c r="OD1442" s="6"/>
    </row>
    <row r="1443" spans="1:394" x14ac:dyDescent="0.25">
      <c r="A1443" s="47"/>
      <c r="B1443" s="48"/>
      <c r="C1443" s="133"/>
      <c r="D1443" s="133"/>
      <c r="E1443" s="133"/>
      <c r="F1443" s="133"/>
      <c r="G1443" s="133"/>
      <c r="H1443" s="133"/>
      <c r="I1443" s="133"/>
      <c r="J1443" s="133"/>
      <c r="K1443" s="133"/>
      <c r="L1443" s="133"/>
      <c r="NW1443" s="6"/>
      <c r="NX1443" s="6"/>
      <c r="NY1443" s="6"/>
      <c r="NZ1443" s="6"/>
      <c r="OA1443" s="6"/>
      <c r="OB1443" s="46"/>
      <c r="OC1443" s="4"/>
      <c r="OD1443" s="6"/>
    </row>
    <row r="1444" spans="1:394" x14ac:dyDescent="0.25">
      <c r="A1444" s="47"/>
      <c r="B1444" s="48"/>
      <c r="C1444" s="133"/>
      <c r="D1444" s="133"/>
      <c r="E1444" s="133"/>
      <c r="F1444" s="133"/>
      <c r="G1444" s="133"/>
      <c r="H1444" s="133"/>
      <c r="I1444" s="133"/>
      <c r="J1444" s="133"/>
      <c r="K1444" s="133"/>
      <c r="L1444" s="133"/>
      <c r="NW1444" s="6"/>
      <c r="NX1444" s="6"/>
      <c r="NY1444" s="6"/>
      <c r="NZ1444" s="6"/>
      <c r="OA1444" s="6"/>
      <c r="OB1444" s="46"/>
      <c r="OC1444" s="4"/>
      <c r="OD1444" s="6"/>
    </row>
    <row r="1445" spans="1:394" x14ac:dyDescent="0.25">
      <c r="A1445" s="47"/>
      <c r="B1445" s="48"/>
      <c r="C1445" s="133"/>
      <c r="D1445" s="133"/>
      <c r="E1445" s="133"/>
      <c r="F1445" s="133"/>
      <c r="G1445" s="133"/>
      <c r="H1445" s="133"/>
      <c r="I1445" s="133"/>
      <c r="J1445" s="133"/>
      <c r="K1445" s="133"/>
      <c r="L1445" s="133"/>
      <c r="NW1445" s="6"/>
      <c r="NX1445" s="6"/>
      <c r="NY1445" s="6"/>
      <c r="NZ1445" s="6"/>
      <c r="OA1445" s="6"/>
      <c r="OB1445" s="46"/>
      <c r="OC1445" s="4"/>
      <c r="OD1445" s="6"/>
    </row>
    <row r="1446" spans="1:394" x14ac:dyDescent="0.25">
      <c r="A1446" s="47"/>
      <c r="B1446" s="48"/>
      <c r="C1446" s="133"/>
      <c r="D1446" s="133"/>
      <c r="E1446" s="133"/>
      <c r="F1446" s="133"/>
      <c r="G1446" s="133"/>
      <c r="H1446" s="133"/>
      <c r="I1446" s="133"/>
      <c r="J1446" s="133"/>
      <c r="K1446" s="133"/>
      <c r="L1446" s="133"/>
      <c r="NW1446" s="6"/>
      <c r="NX1446" s="6"/>
      <c r="NY1446" s="6"/>
      <c r="NZ1446" s="6"/>
      <c r="OA1446" s="6"/>
      <c r="OB1446" s="46"/>
      <c r="OC1446" s="4"/>
      <c r="OD1446" s="6"/>
    </row>
    <row r="1447" spans="1:394" x14ac:dyDescent="0.25">
      <c r="A1447" s="47"/>
      <c r="B1447" s="48"/>
      <c r="C1447" s="133"/>
      <c r="D1447" s="133"/>
      <c r="E1447" s="133"/>
      <c r="F1447" s="133"/>
      <c r="G1447" s="133"/>
      <c r="H1447" s="133"/>
      <c r="I1447" s="133"/>
      <c r="J1447" s="133"/>
      <c r="K1447" s="133"/>
      <c r="L1447" s="133"/>
      <c r="NW1447" s="6"/>
      <c r="NX1447" s="6"/>
      <c r="NY1447" s="6"/>
      <c r="NZ1447" s="6"/>
      <c r="OA1447" s="6"/>
      <c r="OB1447" s="46"/>
      <c r="OC1447" s="4"/>
      <c r="OD1447" s="6"/>
    </row>
    <row r="1448" spans="1:394" x14ac:dyDescent="0.25">
      <c r="A1448" s="47"/>
      <c r="B1448" s="48"/>
      <c r="C1448" s="133"/>
      <c r="D1448" s="133"/>
      <c r="E1448" s="133"/>
      <c r="F1448" s="133"/>
      <c r="G1448" s="133"/>
      <c r="H1448" s="133"/>
      <c r="I1448" s="133"/>
      <c r="J1448" s="133"/>
      <c r="K1448" s="133"/>
      <c r="L1448" s="133"/>
      <c r="NW1448" s="6"/>
      <c r="NX1448" s="6"/>
      <c r="NY1448" s="6"/>
      <c r="NZ1448" s="6"/>
      <c r="OA1448" s="6"/>
      <c r="OB1448" s="46"/>
      <c r="OC1448" s="4"/>
      <c r="OD1448" s="6"/>
    </row>
    <row r="1449" spans="1:394" x14ac:dyDescent="0.25">
      <c r="A1449" s="47"/>
      <c r="B1449" s="48"/>
      <c r="C1449" s="133"/>
      <c r="D1449" s="133"/>
      <c r="E1449" s="133"/>
      <c r="F1449" s="133"/>
      <c r="G1449" s="133"/>
      <c r="H1449" s="133"/>
      <c r="I1449" s="133"/>
      <c r="J1449" s="133"/>
      <c r="K1449" s="133"/>
      <c r="L1449" s="133"/>
      <c r="NW1449" s="6"/>
      <c r="NX1449" s="6"/>
      <c r="NY1449" s="6"/>
      <c r="NZ1449" s="6"/>
      <c r="OA1449" s="6"/>
      <c r="OB1449" s="46"/>
      <c r="OC1449" s="4"/>
      <c r="OD1449" s="6"/>
    </row>
    <row r="1450" spans="1:394" x14ac:dyDescent="0.25">
      <c r="A1450" s="47"/>
      <c r="B1450" s="48"/>
      <c r="C1450" s="133"/>
      <c r="D1450" s="133"/>
      <c r="E1450" s="133"/>
      <c r="F1450" s="133"/>
      <c r="G1450" s="133"/>
      <c r="H1450" s="133"/>
      <c r="I1450" s="133"/>
      <c r="J1450" s="133"/>
      <c r="K1450" s="133"/>
      <c r="L1450" s="133"/>
      <c r="NW1450" s="6"/>
      <c r="NX1450" s="6"/>
      <c r="NY1450" s="6"/>
      <c r="NZ1450" s="6"/>
      <c r="OA1450" s="6"/>
      <c r="OB1450" s="46"/>
      <c r="OC1450" s="4"/>
      <c r="OD1450" s="6"/>
    </row>
    <row r="1451" spans="1:394" x14ac:dyDescent="0.25">
      <c r="A1451" s="47"/>
      <c r="B1451" s="48"/>
      <c r="C1451" s="133"/>
      <c r="D1451" s="133"/>
      <c r="E1451" s="133"/>
      <c r="F1451" s="133"/>
      <c r="G1451" s="133"/>
      <c r="H1451" s="133"/>
      <c r="I1451" s="133"/>
      <c r="J1451" s="133"/>
      <c r="K1451" s="133"/>
      <c r="L1451" s="133"/>
      <c r="NW1451" s="6"/>
      <c r="NX1451" s="6"/>
      <c r="NY1451" s="6"/>
      <c r="NZ1451" s="6"/>
      <c r="OA1451" s="6"/>
      <c r="OB1451" s="46"/>
      <c r="OC1451" s="4"/>
      <c r="OD1451" s="6"/>
    </row>
    <row r="1452" spans="1:394" x14ac:dyDescent="0.25">
      <c r="A1452" s="47"/>
      <c r="B1452" s="48"/>
      <c r="C1452" s="133"/>
      <c r="D1452" s="133"/>
      <c r="E1452" s="133"/>
      <c r="F1452" s="133"/>
      <c r="G1452" s="133"/>
      <c r="H1452" s="133"/>
      <c r="I1452" s="133"/>
      <c r="J1452" s="133"/>
      <c r="K1452" s="133"/>
      <c r="L1452" s="133"/>
      <c r="NW1452" s="6"/>
      <c r="NX1452" s="6"/>
      <c r="NY1452" s="6"/>
      <c r="NZ1452" s="6"/>
      <c r="OA1452" s="6"/>
      <c r="OB1452" s="46"/>
      <c r="OC1452" s="4"/>
      <c r="OD1452" s="6"/>
    </row>
    <row r="1453" spans="1:394" x14ac:dyDescent="0.25">
      <c r="A1453" s="47"/>
      <c r="B1453" s="48"/>
      <c r="C1453" s="133"/>
      <c r="D1453" s="133"/>
      <c r="E1453" s="133"/>
      <c r="F1453" s="133"/>
      <c r="G1453" s="133"/>
      <c r="H1453" s="133"/>
      <c r="I1453" s="133"/>
      <c r="J1453" s="133"/>
      <c r="K1453" s="133"/>
      <c r="L1453" s="133"/>
      <c r="NW1453" s="6"/>
      <c r="NX1453" s="6"/>
      <c r="NY1453" s="6"/>
      <c r="NZ1453" s="6"/>
      <c r="OA1453" s="6"/>
      <c r="OB1453" s="46"/>
      <c r="OC1453" s="4"/>
      <c r="OD1453" s="6"/>
    </row>
    <row r="1454" spans="1:394" x14ac:dyDescent="0.25">
      <c r="A1454" s="47"/>
      <c r="B1454" s="48"/>
      <c r="C1454" s="133"/>
      <c r="D1454" s="133"/>
      <c r="E1454" s="133"/>
      <c r="F1454" s="133"/>
      <c r="G1454" s="133"/>
      <c r="H1454" s="133"/>
      <c r="I1454" s="133"/>
      <c r="J1454" s="133"/>
      <c r="K1454" s="133"/>
      <c r="L1454" s="133"/>
      <c r="NW1454" s="6"/>
      <c r="NX1454" s="6"/>
      <c r="NY1454" s="6"/>
      <c r="NZ1454" s="6"/>
      <c r="OA1454" s="6"/>
      <c r="OB1454" s="46"/>
      <c r="OC1454" s="4"/>
      <c r="OD1454" s="6"/>
    </row>
    <row r="1455" spans="1:394" x14ac:dyDescent="0.25">
      <c r="A1455" s="47"/>
      <c r="B1455" s="48"/>
      <c r="C1455" s="133"/>
      <c r="D1455" s="133"/>
      <c r="E1455" s="133"/>
      <c r="F1455" s="133"/>
      <c r="G1455" s="133"/>
      <c r="H1455" s="133"/>
      <c r="I1455" s="133"/>
      <c r="J1455" s="133"/>
      <c r="K1455" s="133"/>
      <c r="L1455" s="133"/>
      <c r="NW1455" s="6"/>
      <c r="NX1455" s="6"/>
      <c r="NY1455" s="6"/>
      <c r="NZ1455" s="6"/>
      <c r="OA1455" s="6"/>
      <c r="OB1455" s="46"/>
      <c r="OC1455" s="4"/>
      <c r="OD1455" s="6"/>
    </row>
    <row r="1456" spans="1:394" x14ac:dyDescent="0.25">
      <c r="A1456" s="47"/>
      <c r="B1456" s="48"/>
      <c r="C1456" s="133"/>
      <c r="D1456" s="133"/>
      <c r="E1456" s="133"/>
      <c r="F1456" s="133"/>
      <c r="G1456" s="133"/>
      <c r="H1456" s="133"/>
      <c r="I1456" s="133"/>
      <c r="J1456" s="133"/>
      <c r="K1456" s="133"/>
      <c r="L1456" s="133"/>
      <c r="NW1456" s="6"/>
      <c r="NX1456" s="6"/>
      <c r="NY1456" s="6"/>
      <c r="NZ1456" s="6"/>
      <c r="OA1456" s="6"/>
      <c r="OB1456" s="46"/>
      <c r="OC1456" s="4"/>
      <c r="OD1456" s="6"/>
    </row>
    <row r="1457" spans="1:394" x14ac:dyDescent="0.25">
      <c r="A1457" s="47"/>
      <c r="B1457" s="48"/>
      <c r="C1457" s="133"/>
      <c r="D1457" s="133"/>
      <c r="E1457" s="133"/>
      <c r="F1457" s="133"/>
      <c r="G1457" s="133"/>
      <c r="H1457" s="133"/>
      <c r="I1457" s="133"/>
      <c r="J1457" s="133"/>
      <c r="K1457" s="133"/>
      <c r="L1457" s="133"/>
      <c r="NW1457" s="6"/>
      <c r="NX1457" s="6"/>
      <c r="NY1457" s="6"/>
      <c r="NZ1457" s="6"/>
      <c r="OA1457" s="6"/>
      <c r="OB1457" s="46"/>
      <c r="OC1457" s="4"/>
      <c r="OD1457" s="6"/>
    </row>
    <row r="1458" spans="1:394" x14ac:dyDescent="0.25">
      <c r="A1458" s="47"/>
      <c r="B1458" s="48"/>
      <c r="C1458" s="133"/>
      <c r="D1458" s="133"/>
      <c r="E1458" s="133"/>
      <c r="F1458" s="133"/>
      <c r="G1458" s="133"/>
      <c r="H1458" s="133"/>
      <c r="I1458" s="133"/>
      <c r="J1458" s="133"/>
      <c r="K1458" s="133"/>
      <c r="L1458" s="133"/>
      <c r="NW1458" s="6"/>
      <c r="NX1458" s="6"/>
      <c r="NY1458" s="6"/>
      <c r="NZ1458" s="6"/>
      <c r="OA1458" s="6"/>
      <c r="OB1458" s="46"/>
      <c r="OC1458" s="4"/>
      <c r="OD1458" s="6"/>
    </row>
    <row r="1459" spans="1:394" x14ac:dyDescent="0.25">
      <c r="A1459" s="47"/>
      <c r="B1459" s="48"/>
      <c r="C1459" s="133"/>
      <c r="D1459" s="133"/>
      <c r="E1459" s="133"/>
      <c r="F1459" s="133"/>
      <c r="G1459" s="133"/>
      <c r="H1459" s="133"/>
      <c r="I1459" s="133"/>
      <c r="J1459" s="133"/>
      <c r="K1459" s="133"/>
      <c r="L1459" s="133"/>
      <c r="NW1459" s="6"/>
      <c r="NX1459" s="6"/>
      <c r="NY1459" s="6"/>
      <c r="NZ1459" s="6"/>
      <c r="OA1459" s="6"/>
      <c r="OB1459" s="46"/>
      <c r="OC1459" s="4"/>
      <c r="OD1459" s="6"/>
    </row>
    <row r="1460" spans="1:394" x14ac:dyDescent="0.25">
      <c r="A1460" s="47"/>
      <c r="B1460" s="48"/>
      <c r="C1460" s="133"/>
      <c r="D1460" s="133"/>
      <c r="E1460" s="133"/>
      <c r="F1460" s="133"/>
      <c r="G1460" s="133"/>
      <c r="H1460" s="133"/>
      <c r="I1460" s="133"/>
      <c r="J1460" s="133"/>
      <c r="K1460" s="133"/>
      <c r="L1460" s="133"/>
      <c r="NW1460" s="6"/>
      <c r="NX1460" s="6"/>
      <c r="NY1460" s="6"/>
      <c r="NZ1460" s="6"/>
      <c r="OA1460" s="6"/>
      <c r="OB1460" s="46"/>
      <c r="OC1460" s="4"/>
      <c r="OD1460" s="6"/>
    </row>
    <row r="1461" spans="1:394" x14ac:dyDescent="0.25">
      <c r="A1461" s="47"/>
      <c r="B1461" s="48"/>
      <c r="C1461" s="133"/>
      <c r="D1461" s="133"/>
      <c r="E1461" s="133"/>
      <c r="F1461" s="133"/>
      <c r="G1461" s="133"/>
      <c r="H1461" s="133"/>
      <c r="I1461" s="133"/>
      <c r="J1461" s="133"/>
      <c r="K1461" s="133"/>
      <c r="L1461" s="133"/>
      <c r="NW1461" s="6"/>
      <c r="NX1461" s="6"/>
      <c r="NY1461" s="6"/>
      <c r="NZ1461" s="6"/>
      <c r="OA1461" s="6"/>
      <c r="OB1461" s="46"/>
      <c r="OC1461" s="4"/>
      <c r="OD1461" s="6"/>
    </row>
    <row r="1462" spans="1:394" x14ac:dyDescent="0.25">
      <c r="A1462" s="47"/>
      <c r="B1462" s="48"/>
      <c r="C1462" s="133"/>
      <c r="D1462" s="133"/>
      <c r="E1462" s="133"/>
      <c r="F1462" s="133"/>
      <c r="G1462" s="133"/>
      <c r="H1462" s="133"/>
      <c r="I1462" s="133"/>
      <c r="J1462" s="133"/>
      <c r="K1462" s="133"/>
      <c r="L1462" s="133"/>
      <c r="NW1462" s="6"/>
      <c r="NX1462" s="6"/>
      <c r="NY1462" s="6"/>
      <c r="NZ1462" s="6"/>
      <c r="OA1462" s="6"/>
      <c r="OB1462" s="46"/>
      <c r="OC1462" s="4"/>
      <c r="OD1462" s="6"/>
    </row>
    <row r="1463" spans="1:394" x14ac:dyDescent="0.25">
      <c r="A1463" s="47"/>
      <c r="B1463" s="48"/>
      <c r="C1463" s="133"/>
      <c r="D1463" s="133"/>
      <c r="E1463" s="133"/>
      <c r="F1463" s="133"/>
      <c r="G1463" s="133"/>
      <c r="H1463" s="133"/>
      <c r="I1463" s="133"/>
      <c r="J1463" s="133"/>
      <c r="K1463" s="133"/>
      <c r="L1463" s="133"/>
      <c r="NW1463" s="6"/>
      <c r="NX1463" s="6"/>
      <c r="NY1463" s="6"/>
      <c r="NZ1463" s="6"/>
      <c r="OA1463" s="6"/>
      <c r="OB1463" s="46"/>
      <c r="OC1463" s="4"/>
      <c r="OD1463" s="6"/>
    </row>
    <row r="1464" spans="1:394" x14ac:dyDescent="0.25">
      <c r="A1464" s="47"/>
      <c r="B1464" s="48"/>
      <c r="C1464" s="133"/>
      <c r="D1464" s="133"/>
      <c r="E1464" s="133"/>
      <c r="F1464" s="133"/>
      <c r="G1464" s="133"/>
      <c r="H1464" s="133"/>
      <c r="I1464" s="133"/>
      <c r="J1464" s="133"/>
      <c r="K1464" s="133"/>
      <c r="L1464" s="133"/>
      <c r="NW1464" s="6"/>
      <c r="NX1464" s="6"/>
      <c r="NY1464" s="6"/>
      <c r="NZ1464" s="6"/>
      <c r="OA1464" s="6"/>
      <c r="OB1464" s="46"/>
      <c r="OC1464" s="4"/>
      <c r="OD1464" s="6"/>
    </row>
    <row r="1465" spans="1:394" x14ac:dyDescent="0.25">
      <c r="A1465" s="47"/>
      <c r="B1465" s="48"/>
      <c r="C1465" s="133"/>
      <c r="D1465" s="133"/>
      <c r="E1465" s="133"/>
      <c r="F1465" s="133"/>
      <c r="G1465" s="133"/>
      <c r="H1465" s="133"/>
      <c r="I1465" s="133"/>
      <c r="J1465" s="133"/>
      <c r="K1465" s="133"/>
      <c r="L1465" s="133"/>
      <c r="NW1465" s="6"/>
      <c r="NX1465" s="6"/>
      <c r="NY1465" s="6"/>
      <c r="NZ1465" s="6"/>
      <c r="OA1465" s="6"/>
      <c r="OB1465" s="46"/>
      <c r="OC1465" s="4"/>
      <c r="OD1465" s="6"/>
    </row>
    <row r="1466" spans="1:394" x14ac:dyDescent="0.25">
      <c r="A1466" s="47"/>
      <c r="B1466" s="48"/>
      <c r="C1466" s="133"/>
      <c r="D1466" s="133"/>
      <c r="E1466" s="133"/>
      <c r="F1466" s="133"/>
      <c r="G1466" s="133"/>
      <c r="H1466" s="133"/>
      <c r="I1466" s="133"/>
      <c r="J1466" s="133"/>
      <c r="K1466" s="133"/>
      <c r="L1466" s="133"/>
      <c r="NW1466" s="6"/>
      <c r="NX1466" s="6"/>
      <c r="NY1466" s="6"/>
      <c r="NZ1466" s="6"/>
      <c r="OA1466" s="6"/>
      <c r="OB1466" s="46"/>
      <c r="OC1466" s="4"/>
      <c r="OD1466" s="6"/>
    </row>
    <row r="1467" spans="1:394" x14ac:dyDescent="0.25">
      <c r="A1467" s="47"/>
      <c r="B1467" s="48"/>
      <c r="C1467" s="133"/>
      <c r="D1467" s="133"/>
      <c r="E1467" s="133"/>
      <c r="F1467" s="133"/>
      <c r="G1467" s="133"/>
      <c r="H1467" s="133"/>
      <c r="I1467" s="133"/>
      <c r="J1467" s="133"/>
      <c r="K1467" s="133"/>
      <c r="L1467" s="133"/>
      <c r="NW1467" s="6"/>
      <c r="NX1467" s="6"/>
      <c r="NY1467" s="6"/>
      <c r="NZ1467" s="6"/>
      <c r="OA1467" s="6"/>
      <c r="OB1467" s="46"/>
      <c r="OC1467" s="4"/>
      <c r="OD1467" s="6"/>
    </row>
    <row r="1468" spans="1:394" x14ac:dyDescent="0.25">
      <c r="A1468" s="47"/>
      <c r="B1468" s="48"/>
      <c r="C1468" s="133"/>
      <c r="D1468" s="133"/>
      <c r="E1468" s="133"/>
      <c r="F1468" s="133"/>
      <c r="G1468" s="133"/>
      <c r="H1468" s="133"/>
      <c r="I1468" s="133"/>
      <c r="J1468" s="133"/>
      <c r="K1468" s="133"/>
      <c r="L1468" s="133"/>
      <c r="NW1468" s="6"/>
      <c r="NX1468" s="6"/>
      <c r="NY1468" s="6"/>
      <c r="NZ1468" s="6"/>
      <c r="OA1468" s="6"/>
      <c r="OB1468" s="46"/>
      <c r="OC1468" s="4"/>
      <c r="OD1468" s="6"/>
    </row>
    <row r="1469" spans="1:394" x14ac:dyDescent="0.25">
      <c r="A1469" s="47"/>
      <c r="B1469" s="48"/>
      <c r="C1469" s="133"/>
      <c r="D1469" s="133"/>
      <c r="E1469" s="133"/>
      <c r="F1469" s="133"/>
      <c r="G1469" s="133"/>
      <c r="H1469" s="133"/>
      <c r="I1469" s="133"/>
      <c r="J1469" s="133"/>
      <c r="K1469" s="133"/>
      <c r="L1469" s="133"/>
      <c r="NW1469" s="6"/>
      <c r="NX1469" s="6"/>
      <c r="NY1469" s="6"/>
      <c r="NZ1469" s="6"/>
      <c r="OA1469" s="6"/>
      <c r="OB1469" s="46"/>
      <c r="OC1469" s="4"/>
      <c r="OD1469" s="6"/>
    </row>
    <row r="1470" spans="1:394" x14ac:dyDescent="0.25">
      <c r="A1470" s="47"/>
      <c r="B1470" s="48"/>
      <c r="C1470" s="133"/>
      <c r="D1470" s="133"/>
      <c r="E1470" s="133"/>
      <c r="F1470" s="133"/>
      <c r="G1470" s="133"/>
      <c r="H1470" s="133"/>
      <c r="I1470" s="133"/>
      <c r="J1470" s="133"/>
      <c r="K1470" s="133"/>
      <c r="L1470" s="133"/>
      <c r="NW1470" s="6"/>
      <c r="NX1470" s="6"/>
      <c r="NY1470" s="6"/>
      <c r="NZ1470" s="6"/>
      <c r="OA1470" s="6"/>
      <c r="OB1470" s="46"/>
      <c r="OC1470" s="4"/>
      <c r="OD1470" s="6"/>
    </row>
    <row r="1471" spans="1:394" x14ac:dyDescent="0.25">
      <c r="A1471" s="47"/>
      <c r="B1471" s="48"/>
      <c r="C1471" s="133"/>
      <c r="D1471" s="133"/>
      <c r="E1471" s="133"/>
      <c r="F1471" s="133"/>
      <c r="G1471" s="133"/>
      <c r="H1471" s="133"/>
      <c r="I1471" s="133"/>
      <c r="J1471" s="133"/>
      <c r="K1471" s="133"/>
      <c r="L1471" s="133"/>
      <c r="NW1471" s="6"/>
      <c r="NX1471" s="6"/>
      <c r="NY1471" s="6"/>
      <c r="NZ1471" s="6"/>
      <c r="OA1471" s="6"/>
      <c r="OB1471" s="46"/>
      <c r="OC1471" s="4"/>
      <c r="OD1471" s="6"/>
    </row>
    <row r="1472" spans="1:394" x14ac:dyDescent="0.25">
      <c r="A1472" s="47"/>
      <c r="B1472" s="48"/>
      <c r="C1472" s="133"/>
      <c r="D1472" s="133"/>
      <c r="E1472" s="133"/>
      <c r="F1472" s="133"/>
      <c r="G1472" s="133"/>
      <c r="H1472" s="133"/>
      <c r="I1472" s="133"/>
      <c r="J1472" s="133"/>
      <c r="K1472" s="133"/>
      <c r="L1472" s="133"/>
      <c r="NW1472" s="6"/>
      <c r="NX1472" s="6"/>
      <c r="NY1472" s="6"/>
      <c r="NZ1472" s="6"/>
      <c r="OA1472" s="6"/>
      <c r="OB1472" s="46"/>
      <c r="OC1472" s="4"/>
      <c r="OD1472" s="6"/>
    </row>
    <row r="1473" spans="1:394" x14ac:dyDescent="0.25">
      <c r="A1473" s="47"/>
      <c r="B1473" s="48"/>
      <c r="C1473" s="133"/>
      <c r="D1473" s="133"/>
      <c r="E1473" s="133"/>
      <c r="F1473" s="133"/>
      <c r="G1473" s="133"/>
      <c r="H1473" s="133"/>
      <c r="I1473" s="133"/>
      <c r="J1473" s="133"/>
      <c r="K1473" s="133"/>
      <c r="L1473" s="133"/>
      <c r="NW1473" s="6"/>
      <c r="NX1473" s="6"/>
      <c r="NY1473" s="6"/>
      <c r="NZ1473" s="6"/>
      <c r="OA1473" s="6"/>
      <c r="OB1473" s="46"/>
      <c r="OC1473" s="4"/>
      <c r="OD1473" s="6"/>
    </row>
    <row r="1474" spans="1:394" x14ac:dyDescent="0.25">
      <c r="A1474" s="47"/>
      <c r="B1474" s="48"/>
      <c r="C1474" s="133"/>
      <c r="D1474" s="133"/>
      <c r="E1474" s="133"/>
      <c r="F1474" s="133"/>
      <c r="G1474" s="133"/>
      <c r="H1474" s="133"/>
      <c r="I1474" s="133"/>
      <c r="J1474" s="133"/>
      <c r="K1474" s="133"/>
      <c r="L1474" s="133"/>
      <c r="NW1474" s="6"/>
      <c r="NX1474" s="6"/>
      <c r="NY1474" s="6"/>
      <c r="NZ1474" s="6"/>
      <c r="OA1474" s="6"/>
      <c r="OB1474" s="46"/>
      <c r="OC1474" s="4"/>
      <c r="OD1474" s="6"/>
    </row>
    <row r="1475" spans="1:394" x14ac:dyDescent="0.25">
      <c r="A1475" s="47"/>
      <c r="B1475" s="48"/>
      <c r="C1475" s="133"/>
      <c r="D1475" s="133"/>
      <c r="E1475" s="133"/>
      <c r="F1475" s="133"/>
      <c r="G1475" s="133"/>
      <c r="H1475" s="133"/>
      <c r="I1475" s="133"/>
      <c r="J1475" s="133"/>
      <c r="K1475" s="133"/>
      <c r="L1475" s="133"/>
      <c r="NW1475" s="6"/>
      <c r="NX1475" s="6"/>
      <c r="NY1475" s="6"/>
      <c r="NZ1475" s="6"/>
      <c r="OA1475" s="6"/>
      <c r="OB1475" s="46"/>
      <c r="OC1475" s="4"/>
      <c r="OD1475" s="6"/>
    </row>
    <row r="1476" spans="1:394" x14ac:dyDescent="0.25">
      <c r="A1476" s="47"/>
      <c r="B1476" s="48"/>
      <c r="C1476" s="133"/>
      <c r="D1476" s="133"/>
      <c r="E1476" s="133"/>
      <c r="F1476" s="133"/>
      <c r="G1476" s="133"/>
      <c r="H1476" s="133"/>
      <c r="I1476" s="133"/>
      <c r="J1476" s="133"/>
      <c r="K1476" s="133"/>
      <c r="L1476" s="133"/>
      <c r="NW1476" s="6"/>
      <c r="NX1476" s="6"/>
      <c r="NY1476" s="6"/>
      <c r="NZ1476" s="6"/>
      <c r="OA1476" s="6"/>
      <c r="OB1476" s="46"/>
      <c r="OC1476" s="4"/>
      <c r="OD1476" s="6"/>
    </row>
    <row r="1477" spans="1:394" x14ac:dyDescent="0.25">
      <c r="A1477" s="47"/>
      <c r="B1477" s="48"/>
      <c r="C1477" s="133"/>
      <c r="D1477" s="133"/>
      <c r="E1477" s="133"/>
      <c r="F1477" s="133"/>
      <c r="G1477" s="133"/>
      <c r="H1477" s="133"/>
      <c r="I1477" s="133"/>
      <c r="J1477" s="133"/>
      <c r="K1477" s="133"/>
      <c r="L1477" s="133"/>
      <c r="NW1477" s="6"/>
      <c r="NX1477" s="6"/>
      <c r="NY1477" s="6"/>
      <c r="NZ1477" s="6"/>
      <c r="OA1477" s="6"/>
      <c r="OB1477" s="46"/>
      <c r="OC1477" s="4"/>
      <c r="OD1477" s="6"/>
    </row>
    <row r="1478" spans="1:394" x14ac:dyDescent="0.25">
      <c r="A1478" s="47"/>
      <c r="B1478" s="48"/>
      <c r="C1478" s="133"/>
      <c r="D1478" s="133"/>
      <c r="E1478" s="133"/>
      <c r="F1478" s="133"/>
      <c r="G1478" s="133"/>
      <c r="H1478" s="133"/>
      <c r="I1478" s="133"/>
      <c r="J1478" s="133"/>
      <c r="K1478" s="133"/>
      <c r="L1478" s="133"/>
      <c r="NW1478" s="6"/>
      <c r="NX1478" s="6"/>
      <c r="NY1478" s="6"/>
      <c r="NZ1478" s="6"/>
      <c r="OA1478" s="6"/>
      <c r="OB1478" s="46"/>
      <c r="OC1478" s="4"/>
      <c r="OD1478" s="6"/>
    </row>
    <row r="1479" spans="1:394" x14ac:dyDescent="0.25">
      <c r="A1479" s="47"/>
      <c r="B1479" s="48"/>
      <c r="C1479" s="133"/>
      <c r="D1479" s="133"/>
      <c r="E1479" s="133"/>
      <c r="F1479" s="133"/>
      <c r="G1479" s="133"/>
      <c r="H1479" s="133"/>
      <c r="I1479" s="133"/>
      <c r="J1479" s="133"/>
      <c r="K1479" s="133"/>
      <c r="L1479" s="133"/>
      <c r="NW1479" s="6"/>
      <c r="NX1479" s="6"/>
      <c r="NY1479" s="6"/>
      <c r="NZ1479" s="6"/>
      <c r="OA1479" s="6"/>
      <c r="OB1479" s="46"/>
      <c r="OC1479" s="4"/>
      <c r="OD1479" s="6"/>
    </row>
    <row r="1480" spans="1:394" x14ac:dyDescent="0.25">
      <c r="A1480" s="47"/>
      <c r="B1480" s="48"/>
      <c r="C1480" s="133"/>
      <c r="D1480" s="133"/>
      <c r="E1480" s="133"/>
      <c r="F1480" s="133"/>
      <c r="G1480" s="133"/>
      <c r="H1480" s="133"/>
      <c r="I1480" s="133"/>
      <c r="J1480" s="133"/>
      <c r="K1480" s="133"/>
      <c r="L1480" s="133"/>
      <c r="NW1480" s="6"/>
      <c r="NX1480" s="6"/>
      <c r="NY1480" s="6"/>
      <c r="NZ1480" s="6"/>
      <c r="OA1480" s="6"/>
      <c r="OB1480" s="46"/>
      <c r="OC1480" s="4"/>
      <c r="OD1480" s="6"/>
    </row>
    <row r="1481" spans="1:394" x14ac:dyDescent="0.25">
      <c r="A1481" s="47"/>
      <c r="B1481" s="48"/>
      <c r="C1481" s="133"/>
      <c r="D1481" s="133"/>
      <c r="E1481" s="133"/>
      <c r="F1481" s="133"/>
      <c r="G1481" s="133"/>
      <c r="H1481" s="133"/>
      <c r="I1481" s="133"/>
      <c r="J1481" s="133"/>
      <c r="K1481" s="133"/>
      <c r="L1481" s="133"/>
      <c r="NW1481" s="6"/>
      <c r="NX1481" s="6"/>
      <c r="NY1481" s="6"/>
      <c r="NZ1481" s="6"/>
      <c r="OA1481" s="6"/>
      <c r="OB1481" s="46"/>
      <c r="OC1481" s="4"/>
      <c r="OD1481" s="6"/>
    </row>
    <row r="1482" spans="1:394" x14ac:dyDescent="0.25">
      <c r="A1482" s="47"/>
      <c r="B1482" s="48"/>
      <c r="C1482" s="133"/>
      <c r="D1482" s="133"/>
      <c r="E1482" s="133"/>
      <c r="F1482" s="133"/>
      <c r="G1482" s="133"/>
      <c r="H1482" s="133"/>
      <c r="I1482" s="133"/>
      <c r="J1482" s="133"/>
      <c r="K1482" s="133"/>
      <c r="L1482" s="133"/>
      <c r="NW1482" s="6"/>
      <c r="NX1482" s="6"/>
      <c r="NY1482" s="6"/>
      <c r="NZ1482" s="6"/>
      <c r="OA1482" s="6"/>
      <c r="OB1482" s="46"/>
      <c r="OC1482" s="4"/>
      <c r="OD1482" s="6"/>
    </row>
    <row r="1483" spans="1:394" x14ac:dyDescent="0.25">
      <c r="A1483" s="47"/>
      <c r="B1483" s="48"/>
      <c r="C1483" s="133"/>
      <c r="D1483" s="133"/>
      <c r="E1483" s="133"/>
      <c r="F1483" s="133"/>
      <c r="G1483" s="133"/>
      <c r="H1483" s="133"/>
      <c r="I1483" s="133"/>
      <c r="J1483" s="133"/>
      <c r="K1483" s="133"/>
      <c r="L1483" s="133"/>
      <c r="NW1483" s="6"/>
      <c r="NX1483" s="6"/>
      <c r="NY1483" s="6"/>
      <c r="NZ1483" s="6"/>
      <c r="OA1483" s="6"/>
      <c r="OB1483" s="46"/>
      <c r="OC1483" s="4"/>
      <c r="OD1483" s="6"/>
    </row>
    <row r="1484" spans="1:394" x14ac:dyDescent="0.25">
      <c r="A1484" s="47"/>
      <c r="B1484" s="48"/>
      <c r="C1484" s="133"/>
      <c r="D1484" s="133"/>
      <c r="E1484" s="133"/>
      <c r="F1484" s="133"/>
      <c r="G1484" s="133"/>
      <c r="H1484" s="133"/>
      <c r="I1484" s="133"/>
      <c r="J1484" s="133"/>
      <c r="K1484" s="133"/>
      <c r="L1484" s="133"/>
      <c r="NW1484" s="6"/>
      <c r="NX1484" s="6"/>
      <c r="NY1484" s="6"/>
      <c r="NZ1484" s="6"/>
      <c r="OA1484" s="6"/>
      <c r="OB1484" s="46"/>
      <c r="OC1484" s="4"/>
      <c r="OD1484" s="6"/>
    </row>
    <row r="1485" spans="1:394" x14ac:dyDescent="0.25">
      <c r="A1485" s="47"/>
      <c r="B1485" s="48"/>
      <c r="C1485" s="133"/>
      <c r="D1485" s="133"/>
      <c r="E1485" s="133"/>
      <c r="F1485" s="133"/>
      <c r="G1485" s="133"/>
      <c r="H1485" s="133"/>
      <c r="I1485" s="133"/>
      <c r="J1485" s="133"/>
      <c r="K1485" s="133"/>
      <c r="L1485" s="133"/>
      <c r="NW1485" s="6"/>
      <c r="NX1485" s="6"/>
      <c r="NY1485" s="6"/>
      <c r="NZ1485" s="6"/>
      <c r="OA1485" s="6"/>
      <c r="OB1485" s="46"/>
      <c r="OC1485" s="4"/>
      <c r="OD1485" s="6"/>
    </row>
    <row r="1486" spans="1:394" x14ac:dyDescent="0.25">
      <c r="A1486" s="47"/>
      <c r="B1486" s="48"/>
      <c r="C1486" s="133"/>
      <c r="D1486" s="133"/>
      <c r="E1486" s="133"/>
      <c r="F1486" s="133"/>
      <c r="G1486" s="133"/>
      <c r="H1486" s="133"/>
      <c r="I1486" s="133"/>
      <c r="J1486" s="133"/>
      <c r="K1486" s="133"/>
      <c r="L1486" s="133"/>
      <c r="NW1486" s="6"/>
      <c r="NX1486" s="6"/>
      <c r="NY1486" s="6"/>
      <c r="NZ1486" s="6"/>
      <c r="OA1486" s="6"/>
      <c r="OB1486" s="46"/>
      <c r="OC1486" s="4"/>
      <c r="OD1486" s="6"/>
    </row>
    <row r="1487" spans="1:394" x14ac:dyDescent="0.25">
      <c r="A1487" s="47"/>
      <c r="B1487" s="48"/>
      <c r="C1487" s="133"/>
      <c r="D1487" s="133"/>
      <c r="E1487" s="133"/>
      <c r="F1487" s="133"/>
      <c r="G1487" s="133"/>
      <c r="H1487" s="133"/>
      <c r="I1487" s="133"/>
      <c r="J1487" s="133"/>
      <c r="K1487" s="133"/>
      <c r="L1487" s="133"/>
      <c r="NW1487" s="6"/>
      <c r="NX1487" s="6"/>
      <c r="NY1487" s="6"/>
      <c r="NZ1487" s="6"/>
      <c r="OA1487" s="6"/>
      <c r="OB1487" s="46"/>
      <c r="OC1487" s="4"/>
      <c r="OD1487" s="6"/>
    </row>
    <row r="1488" spans="1:394" x14ac:dyDescent="0.25">
      <c r="A1488" s="47"/>
      <c r="B1488" s="48"/>
      <c r="C1488" s="133"/>
      <c r="D1488" s="133"/>
      <c r="E1488" s="133"/>
      <c r="F1488" s="133"/>
      <c r="G1488" s="133"/>
      <c r="H1488" s="133"/>
      <c r="I1488" s="133"/>
      <c r="J1488" s="133"/>
      <c r="K1488" s="133"/>
      <c r="L1488" s="133"/>
      <c r="NW1488" s="6"/>
      <c r="NX1488" s="6"/>
      <c r="NY1488" s="6"/>
      <c r="NZ1488" s="6"/>
      <c r="OA1488" s="6"/>
      <c r="OB1488" s="46"/>
      <c r="OC1488" s="4"/>
      <c r="OD1488" s="6"/>
    </row>
    <row r="1489" spans="1:394" x14ac:dyDescent="0.25">
      <c r="A1489" s="47"/>
      <c r="B1489" s="48"/>
      <c r="C1489" s="133"/>
      <c r="D1489" s="133"/>
      <c r="E1489" s="133"/>
      <c r="F1489" s="133"/>
      <c r="G1489" s="133"/>
      <c r="H1489" s="133"/>
      <c r="I1489" s="133"/>
      <c r="J1489" s="133"/>
      <c r="K1489" s="133"/>
      <c r="L1489" s="133"/>
      <c r="NW1489" s="6"/>
      <c r="NX1489" s="6"/>
      <c r="NY1489" s="6"/>
      <c r="NZ1489" s="6"/>
      <c r="OA1489" s="6"/>
      <c r="OB1489" s="46"/>
      <c r="OC1489" s="4"/>
      <c r="OD1489" s="6"/>
    </row>
    <row r="1490" spans="1:394" x14ac:dyDescent="0.25">
      <c r="A1490" s="47"/>
      <c r="B1490" s="48"/>
      <c r="C1490" s="133"/>
      <c r="D1490" s="133"/>
      <c r="E1490" s="133"/>
      <c r="F1490" s="133"/>
      <c r="G1490" s="133"/>
      <c r="H1490" s="133"/>
      <c r="I1490" s="133"/>
      <c r="J1490" s="133"/>
      <c r="K1490" s="133"/>
      <c r="L1490" s="133"/>
      <c r="NW1490" s="6"/>
      <c r="NX1490" s="6"/>
      <c r="NY1490" s="6"/>
      <c r="NZ1490" s="6"/>
      <c r="OA1490" s="6"/>
      <c r="OB1490" s="46"/>
      <c r="OC1490" s="4"/>
      <c r="OD1490" s="6"/>
    </row>
    <row r="1491" spans="1:394" x14ac:dyDescent="0.25">
      <c r="A1491" s="47"/>
      <c r="B1491" s="48"/>
      <c r="C1491" s="133"/>
      <c r="D1491" s="133"/>
      <c r="E1491" s="133"/>
      <c r="F1491" s="133"/>
      <c r="G1491" s="133"/>
      <c r="H1491" s="133"/>
      <c r="I1491" s="133"/>
      <c r="J1491" s="133"/>
      <c r="K1491" s="133"/>
      <c r="L1491" s="133"/>
      <c r="NW1491" s="6"/>
      <c r="NX1491" s="6"/>
      <c r="NY1491" s="6"/>
      <c r="NZ1491" s="6"/>
      <c r="OA1491" s="6"/>
      <c r="OB1491" s="46"/>
      <c r="OC1491" s="4"/>
      <c r="OD1491" s="6"/>
    </row>
    <row r="1492" spans="1:394" x14ac:dyDescent="0.25">
      <c r="A1492" s="47"/>
      <c r="B1492" s="48"/>
      <c r="C1492" s="133"/>
      <c r="D1492" s="133"/>
      <c r="E1492" s="133"/>
      <c r="F1492" s="133"/>
      <c r="G1492" s="133"/>
      <c r="H1492" s="133"/>
      <c r="I1492" s="133"/>
      <c r="J1492" s="133"/>
      <c r="K1492" s="133"/>
      <c r="L1492" s="133"/>
      <c r="NW1492" s="6"/>
      <c r="NX1492" s="6"/>
      <c r="NY1492" s="6"/>
      <c r="NZ1492" s="6"/>
      <c r="OA1492" s="6"/>
      <c r="OB1492" s="46"/>
      <c r="OC1492" s="4"/>
      <c r="OD1492" s="6"/>
    </row>
    <row r="1493" spans="1:394" x14ac:dyDescent="0.25">
      <c r="A1493" s="47"/>
      <c r="B1493" s="48"/>
      <c r="C1493" s="133"/>
      <c r="D1493" s="133"/>
      <c r="E1493" s="133"/>
      <c r="F1493" s="133"/>
      <c r="G1493" s="133"/>
      <c r="H1493" s="133"/>
      <c r="I1493" s="133"/>
      <c r="J1493" s="133"/>
      <c r="K1493" s="133"/>
      <c r="L1493" s="133"/>
      <c r="NW1493" s="6"/>
      <c r="NX1493" s="6"/>
      <c r="NY1493" s="6"/>
      <c r="NZ1493" s="6"/>
      <c r="OA1493" s="6"/>
      <c r="OB1493" s="46"/>
      <c r="OC1493" s="4"/>
      <c r="OD1493" s="6"/>
    </row>
    <row r="1494" spans="1:394" x14ac:dyDescent="0.25">
      <c r="A1494" s="47"/>
      <c r="B1494" s="48"/>
      <c r="C1494" s="133"/>
      <c r="D1494" s="133"/>
      <c r="E1494" s="133"/>
      <c r="F1494" s="133"/>
      <c r="G1494" s="133"/>
      <c r="H1494" s="133"/>
      <c r="I1494" s="133"/>
      <c r="J1494" s="133"/>
      <c r="K1494" s="133"/>
      <c r="L1494" s="133"/>
      <c r="NW1494" s="6"/>
      <c r="NX1494" s="6"/>
      <c r="NY1494" s="6"/>
      <c r="NZ1494" s="6"/>
      <c r="OA1494" s="6"/>
      <c r="OB1494" s="46"/>
      <c r="OC1494" s="4"/>
      <c r="OD1494" s="6"/>
    </row>
    <row r="1495" spans="1:394" x14ac:dyDescent="0.25">
      <c r="A1495" s="47"/>
      <c r="B1495" s="48"/>
      <c r="C1495" s="133"/>
      <c r="D1495" s="133"/>
      <c r="E1495" s="133"/>
      <c r="F1495" s="133"/>
      <c r="G1495" s="133"/>
      <c r="H1495" s="133"/>
      <c r="I1495" s="133"/>
      <c r="J1495" s="133"/>
      <c r="K1495" s="133"/>
      <c r="L1495" s="133"/>
      <c r="NW1495" s="6"/>
      <c r="NX1495" s="6"/>
      <c r="NY1495" s="6"/>
      <c r="NZ1495" s="6"/>
      <c r="OA1495" s="6"/>
      <c r="OB1495" s="46"/>
      <c r="OC1495" s="4"/>
      <c r="OD1495" s="6"/>
    </row>
    <row r="1496" spans="1:394" x14ac:dyDescent="0.25">
      <c r="A1496" s="47"/>
      <c r="B1496" s="48"/>
      <c r="C1496" s="133"/>
      <c r="D1496" s="133"/>
      <c r="E1496" s="133"/>
      <c r="F1496" s="133"/>
      <c r="G1496" s="133"/>
      <c r="H1496" s="133"/>
      <c r="I1496" s="133"/>
      <c r="J1496" s="133"/>
      <c r="K1496" s="133"/>
      <c r="L1496" s="133"/>
      <c r="NW1496" s="6"/>
      <c r="NX1496" s="6"/>
      <c r="NY1496" s="6"/>
      <c r="NZ1496" s="6"/>
      <c r="OA1496" s="6"/>
      <c r="OB1496" s="46"/>
      <c r="OC1496" s="4"/>
      <c r="OD1496" s="6"/>
    </row>
    <row r="1497" spans="1:394" x14ac:dyDescent="0.25">
      <c r="A1497" s="47"/>
      <c r="B1497" s="48"/>
      <c r="C1497" s="133"/>
      <c r="D1497" s="133"/>
      <c r="E1497" s="133"/>
      <c r="F1497" s="133"/>
      <c r="G1497" s="133"/>
      <c r="H1497" s="133"/>
      <c r="I1497" s="133"/>
      <c r="J1497" s="133"/>
      <c r="K1497" s="133"/>
      <c r="L1497" s="133"/>
      <c r="NW1497" s="6"/>
      <c r="NX1497" s="6"/>
      <c r="NY1497" s="6"/>
      <c r="NZ1497" s="6"/>
      <c r="OA1497" s="6"/>
      <c r="OB1497" s="46"/>
      <c r="OC1497" s="4"/>
      <c r="OD1497" s="6"/>
    </row>
    <row r="1498" spans="1:394" x14ac:dyDescent="0.25">
      <c r="A1498" s="47"/>
      <c r="B1498" s="48"/>
      <c r="C1498" s="133"/>
      <c r="D1498" s="133"/>
      <c r="E1498" s="133"/>
      <c r="F1498" s="133"/>
      <c r="G1498" s="133"/>
      <c r="H1498" s="133"/>
      <c r="I1498" s="133"/>
      <c r="J1498" s="133"/>
      <c r="K1498" s="133"/>
      <c r="L1498" s="133"/>
      <c r="NW1498" s="6"/>
      <c r="NX1498" s="6"/>
      <c r="NY1498" s="6"/>
      <c r="NZ1498" s="6"/>
      <c r="OA1498" s="6"/>
      <c r="OB1498" s="46"/>
      <c r="OC1498" s="4"/>
      <c r="OD1498" s="6"/>
    </row>
    <row r="1499" spans="1:394" x14ac:dyDescent="0.25">
      <c r="A1499" s="47"/>
      <c r="B1499" s="48"/>
      <c r="C1499" s="133"/>
      <c r="D1499" s="133"/>
      <c r="E1499" s="133"/>
      <c r="F1499" s="133"/>
      <c r="G1499" s="133"/>
      <c r="H1499" s="133"/>
      <c r="I1499" s="133"/>
      <c r="J1499" s="133"/>
      <c r="K1499" s="133"/>
      <c r="L1499" s="133"/>
      <c r="NW1499" s="6"/>
      <c r="NX1499" s="6"/>
      <c r="NY1499" s="6"/>
      <c r="NZ1499" s="6"/>
      <c r="OA1499" s="6"/>
      <c r="OB1499" s="46"/>
      <c r="OC1499" s="4"/>
      <c r="OD1499" s="6"/>
    </row>
    <row r="1500" spans="1:394" x14ac:dyDescent="0.25">
      <c r="A1500" s="47"/>
      <c r="B1500" s="48"/>
      <c r="C1500" s="133"/>
      <c r="D1500" s="133"/>
      <c r="E1500" s="133"/>
      <c r="F1500" s="133"/>
      <c r="G1500" s="133"/>
      <c r="H1500" s="133"/>
      <c r="I1500" s="133"/>
      <c r="J1500" s="133"/>
      <c r="K1500" s="133"/>
      <c r="L1500" s="133"/>
      <c r="NW1500" s="6"/>
      <c r="NX1500" s="6"/>
      <c r="NY1500" s="6"/>
      <c r="NZ1500" s="6"/>
      <c r="OA1500" s="6"/>
      <c r="OB1500" s="46"/>
      <c r="OC1500" s="4"/>
      <c r="OD1500" s="6"/>
    </row>
    <row r="1501" spans="1:394" x14ac:dyDescent="0.25">
      <c r="A1501" s="47"/>
      <c r="B1501" s="48"/>
      <c r="C1501" s="133"/>
      <c r="D1501" s="133"/>
      <c r="E1501" s="133"/>
      <c r="F1501" s="133"/>
      <c r="G1501" s="133"/>
      <c r="H1501" s="133"/>
      <c r="I1501" s="133"/>
      <c r="J1501" s="133"/>
      <c r="K1501" s="133"/>
      <c r="L1501" s="133"/>
      <c r="NW1501" s="6"/>
      <c r="NX1501" s="6"/>
      <c r="NY1501" s="6"/>
      <c r="NZ1501" s="6"/>
      <c r="OA1501" s="6"/>
      <c r="OB1501" s="46"/>
      <c r="OC1501" s="4"/>
      <c r="OD1501" s="6"/>
    </row>
    <row r="1502" spans="1:394" x14ac:dyDescent="0.25">
      <c r="A1502" s="47"/>
      <c r="B1502" s="48"/>
      <c r="C1502" s="133"/>
      <c r="D1502" s="133"/>
      <c r="E1502" s="133"/>
      <c r="F1502" s="133"/>
      <c r="G1502" s="133"/>
      <c r="H1502" s="133"/>
      <c r="I1502" s="133"/>
      <c r="J1502" s="133"/>
      <c r="K1502" s="133"/>
      <c r="L1502" s="133"/>
      <c r="NW1502" s="6"/>
      <c r="NX1502" s="6"/>
      <c r="NY1502" s="6"/>
      <c r="NZ1502" s="6"/>
      <c r="OA1502" s="6"/>
      <c r="OB1502" s="46"/>
      <c r="OC1502" s="4"/>
      <c r="OD1502" s="6"/>
    </row>
    <row r="1503" spans="1:394" x14ac:dyDescent="0.25">
      <c r="A1503" s="47"/>
      <c r="B1503" s="48"/>
      <c r="C1503" s="133"/>
      <c r="D1503" s="133"/>
      <c r="E1503" s="133"/>
      <c r="F1503" s="133"/>
      <c r="G1503" s="133"/>
      <c r="H1503" s="133"/>
      <c r="I1503" s="133"/>
      <c r="J1503" s="133"/>
      <c r="K1503" s="133"/>
      <c r="L1503" s="133"/>
      <c r="NW1503" s="6"/>
      <c r="NX1503" s="6"/>
      <c r="NY1503" s="6"/>
      <c r="NZ1503" s="6"/>
      <c r="OA1503" s="6"/>
      <c r="OB1503" s="46"/>
      <c r="OC1503" s="4"/>
      <c r="OD1503" s="6"/>
    </row>
    <row r="1504" spans="1:394" x14ac:dyDescent="0.25">
      <c r="A1504" s="47"/>
      <c r="B1504" s="48"/>
      <c r="C1504" s="133"/>
      <c r="D1504" s="133"/>
      <c r="E1504" s="133"/>
      <c r="F1504" s="133"/>
      <c r="G1504" s="133"/>
      <c r="H1504" s="133"/>
      <c r="I1504" s="133"/>
      <c r="J1504" s="133"/>
      <c r="K1504" s="133"/>
      <c r="L1504" s="133"/>
      <c r="NW1504" s="6"/>
      <c r="NX1504" s="6"/>
      <c r="NY1504" s="6"/>
      <c r="NZ1504" s="6"/>
      <c r="OA1504" s="6"/>
      <c r="OB1504" s="46"/>
      <c r="OC1504" s="4"/>
      <c r="OD1504" s="6"/>
    </row>
    <row r="1505" spans="1:394" x14ac:dyDescent="0.25">
      <c r="A1505" s="47"/>
      <c r="B1505" s="48"/>
      <c r="C1505" s="133"/>
      <c r="D1505" s="133"/>
      <c r="E1505" s="133"/>
      <c r="F1505" s="133"/>
      <c r="G1505" s="133"/>
      <c r="H1505" s="133"/>
      <c r="I1505" s="133"/>
      <c r="J1505" s="133"/>
      <c r="K1505" s="133"/>
      <c r="L1505" s="133"/>
      <c r="NW1505" s="6"/>
      <c r="NX1505" s="6"/>
      <c r="NY1505" s="6"/>
      <c r="NZ1505" s="6"/>
      <c r="OA1505" s="6"/>
      <c r="OB1505" s="46"/>
      <c r="OC1505" s="4"/>
      <c r="OD1505" s="6"/>
    </row>
    <row r="1506" spans="1:394" x14ac:dyDescent="0.25">
      <c r="A1506" s="47"/>
      <c r="B1506" s="48"/>
      <c r="C1506" s="133"/>
      <c r="D1506" s="133"/>
      <c r="E1506" s="133"/>
      <c r="F1506" s="133"/>
      <c r="G1506" s="133"/>
      <c r="H1506" s="133"/>
      <c r="I1506" s="133"/>
      <c r="J1506" s="133"/>
      <c r="K1506" s="133"/>
      <c r="L1506" s="133"/>
      <c r="NW1506" s="6"/>
      <c r="NX1506" s="6"/>
      <c r="NY1506" s="6"/>
      <c r="NZ1506" s="6"/>
      <c r="OA1506" s="6"/>
      <c r="OB1506" s="46"/>
      <c r="OC1506" s="4"/>
      <c r="OD1506" s="6"/>
    </row>
    <row r="1507" spans="1:394" x14ac:dyDescent="0.25">
      <c r="A1507" s="47"/>
      <c r="B1507" s="48"/>
      <c r="C1507" s="133"/>
      <c r="D1507" s="133"/>
      <c r="E1507" s="133"/>
      <c r="F1507" s="133"/>
      <c r="G1507" s="133"/>
      <c r="H1507" s="133"/>
      <c r="I1507" s="133"/>
      <c r="J1507" s="133"/>
      <c r="K1507" s="133"/>
      <c r="L1507" s="133"/>
      <c r="NW1507" s="6"/>
      <c r="NX1507" s="6"/>
      <c r="NY1507" s="6"/>
      <c r="NZ1507" s="6"/>
      <c r="OA1507" s="6"/>
      <c r="OB1507" s="46"/>
      <c r="OC1507" s="4"/>
      <c r="OD1507" s="6"/>
    </row>
    <row r="1508" spans="1:394" x14ac:dyDescent="0.25">
      <c r="A1508" s="47"/>
      <c r="B1508" s="48"/>
      <c r="C1508" s="133"/>
      <c r="D1508" s="133"/>
      <c r="E1508" s="133"/>
      <c r="F1508" s="133"/>
      <c r="G1508" s="133"/>
      <c r="H1508" s="133"/>
      <c r="I1508" s="133"/>
      <c r="J1508" s="133"/>
      <c r="K1508" s="133"/>
      <c r="L1508" s="133"/>
      <c r="NW1508" s="6"/>
      <c r="NX1508" s="6"/>
      <c r="NY1508" s="6"/>
      <c r="NZ1508" s="6"/>
      <c r="OA1508" s="6"/>
      <c r="OB1508" s="46"/>
      <c r="OC1508" s="4"/>
      <c r="OD1508" s="6"/>
    </row>
    <row r="1509" spans="1:394" x14ac:dyDescent="0.25">
      <c r="A1509" s="47"/>
      <c r="B1509" s="48"/>
      <c r="C1509" s="133"/>
      <c r="D1509" s="133"/>
      <c r="E1509" s="133"/>
      <c r="F1509" s="133"/>
      <c r="G1509" s="133"/>
      <c r="H1509" s="133"/>
      <c r="I1509" s="133"/>
      <c r="J1509" s="133"/>
      <c r="K1509" s="133"/>
      <c r="L1509" s="133"/>
      <c r="NW1509" s="6"/>
      <c r="NX1509" s="6"/>
      <c r="NY1509" s="6"/>
      <c r="NZ1509" s="6"/>
      <c r="OA1509" s="6"/>
      <c r="OB1509" s="46"/>
      <c r="OC1509" s="4"/>
      <c r="OD1509" s="6"/>
    </row>
    <row r="1510" spans="1:394" x14ac:dyDescent="0.25">
      <c r="A1510" s="47"/>
      <c r="B1510" s="48"/>
      <c r="C1510" s="133"/>
      <c r="D1510" s="133"/>
      <c r="E1510" s="133"/>
      <c r="F1510" s="133"/>
      <c r="G1510" s="133"/>
      <c r="H1510" s="133"/>
      <c r="I1510" s="133"/>
      <c r="J1510" s="133"/>
      <c r="K1510" s="133"/>
      <c r="L1510" s="133"/>
      <c r="NW1510" s="6"/>
      <c r="NX1510" s="6"/>
      <c r="NY1510" s="6"/>
      <c r="NZ1510" s="6"/>
      <c r="OA1510" s="6"/>
      <c r="OB1510" s="46"/>
      <c r="OC1510" s="4"/>
      <c r="OD1510" s="6"/>
    </row>
    <row r="1511" spans="1:394" x14ac:dyDescent="0.25">
      <c r="A1511" s="47"/>
      <c r="B1511" s="48"/>
      <c r="C1511" s="133"/>
      <c r="D1511" s="133"/>
      <c r="E1511" s="133"/>
      <c r="F1511" s="133"/>
      <c r="G1511" s="133"/>
      <c r="H1511" s="133"/>
      <c r="I1511" s="133"/>
      <c r="J1511" s="133"/>
      <c r="K1511" s="133"/>
      <c r="L1511" s="133"/>
      <c r="NW1511" s="6"/>
      <c r="NX1511" s="6"/>
      <c r="NY1511" s="6"/>
      <c r="NZ1511" s="6"/>
      <c r="OA1511" s="6"/>
      <c r="OB1511" s="46"/>
      <c r="OC1511" s="4"/>
      <c r="OD1511" s="6"/>
    </row>
    <row r="1512" spans="1:394" x14ac:dyDescent="0.25">
      <c r="A1512" s="47"/>
      <c r="B1512" s="48"/>
      <c r="C1512" s="133"/>
      <c r="D1512" s="133"/>
      <c r="E1512" s="133"/>
      <c r="F1512" s="133"/>
      <c r="G1512" s="133"/>
      <c r="H1512" s="133"/>
      <c r="I1512" s="133"/>
      <c r="J1512" s="133"/>
      <c r="K1512" s="133"/>
      <c r="L1512" s="133"/>
      <c r="NW1512" s="6"/>
      <c r="NX1512" s="6"/>
      <c r="NY1512" s="6"/>
      <c r="NZ1512" s="6"/>
      <c r="OA1512" s="6"/>
      <c r="OB1512" s="46"/>
      <c r="OC1512" s="4"/>
      <c r="OD1512" s="6"/>
    </row>
    <row r="1513" spans="1:394" x14ac:dyDescent="0.25">
      <c r="A1513" s="47"/>
      <c r="B1513" s="48"/>
      <c r="C1513" s="133"/>
      <c r="D1513" s="133"/>
      <c r="E1513" s="133"/>
      <c r="F1513" s="133"/>
      <c r="G1513" s="133"/>
      <c r="H1513" s="133"/>
      <c r="I1513" s="133"/>
      <c r="J1513" s="133"/>
      <c r="K1513" s="133"/>
      <c r="L1513" s="133"/>
      <c r="NW1513" s="6"/>
      <c r="NX1513" s="6"/>
      <c r="NY1513" s="6"/>
      <c r="NZ1513" s="6"/>
      <c r="OA1513" s="6"/>
      <c r="OB1513" s="46"/>
      <c r="OC1513" s="4"/>
      <c r="OD1513" s="6"/>
    </row>
    <row r="1514" spans="1:394" x14ac:dyDescent="0.25">
      <c r="A1514" s="47"/>
      <c r="B1514" s="48"/>
      <c r="C1514" s="133"/>
      <c r="D1514" s="133"/>
      <c r="E1514" s="133"/>
      <c r="F1514" s="133"/>
      <c r="G1514" s="133"/>
      <c r="H1514" s="133"/>
      <c r="I1514" s="133"/>
      <c r="J1514" s="133"/>
      <c r="K1514" s="133"/>
      <c r="L1514" s="133"/>
      <c r="NW1514" s="6"/>
      <c r="NX1514" s="6"/>
      <c r="NY1514" s="6"/>
      <c r="NZ1514" s="6"/>
      <c r="OA1514" s="6"/>
      <c r="OB1514" s="46"/>
      <c r="OC1514" s="4"/>
      <c r="OD1514" s="6"/>
    </row>
    <row r="1515" spans="1:394" x14ac:dyDescent="0.25">
      <c r="A1515" s="47"/>
      <c r="B1515" s="48"/>
      <c r="C1515" s="133"/>
      <c r="D1515" s="133"/>
      <c r="E1515" s="133"/>
      <c r="F1515" s="133"/>
      <c r="G1515" s="133"/>
      <c r="H1515" s="133"/>
      <c r="I1515" s="133"/>
      <c r="J1515" s="133"/>
      <c r="K1515" s="133"/>
      <c r="L1515" s="133"/>
      <c r="NW1515" s="6"/>
      <c r="NX1515" s="6"/>
      <c r="NY1515" s="6"/>
      <c r="NZ1515" s="6"/>
      <c r="OA1515" s="6"/>
      <c r="OB1515" s="46"/>
      <c r="OC1515" s="4"/>
      <c r="OD1515" s="6"/>
    </row>
    <row r="1516" spans="1:394" x14ac:dyDescent="0.25">
      <c r="A1516" s="47"/>
      <c r="B1516" s="48"/>
      <c r="C1516" s="133"/>
      <c r="D1516" s="133"/>
      <c r="E1516" s="133"/>
      <c r="F1516" s="133"/>
      <c r="G1516" s="133"/>
      <c r="H1516" s="133"/>
      <c r="I1516" s="133"/>
      <c r="J1516" s="133"/>
      <c r="K1516" s="133"/>
      <c r="L1516" s="133"/>
      <c r="NW1516" s="6"/>
      <c r="NX1516" s="6"/>
      <c r="NY1516" s="6"/>
      <c r="NZ1516" s="6"/>
      <c r="OA1516" s="6"/>
      <c r="OB1516" s="46"/>
      <c r="OC1516" s="4"/>
      <c r="OD1516" s="6"/>
    </row>
    <row r="1517" spans="1:394" x14ac:dyDescent="0.25">
      <c r="A1517" s="47"/>
      <c r="B1517" s="48"/>
      <c r="C1517" s="133"/>
      <c r="D1517" s="133"/>
      <c r="E1517" s="133"/>
      <c r="F1517" s="133"/>
      <c r="G1517" s="133"/>
      <c r="H1517" s="133"/>
      <c r="I1517" s="133"/>
      <c r="J1517" s="133"/>
      <c r="K1517" s="133"/>
      <c r="L1517" s="133"/>
      <c r="NW1517" s="6"/>
      <c r="NX1517" s="6"/>
      <c r="NY1517" s="6"/>
      <c r="NZ1517" s="6"/>
      <c r="OA1517" s="6"/>
      <c r="OB1517" s="46"/>
      <c r="OC1517" s="4"/>
      <c r="OD1517" s="6"/>
    </row>
    <row r="1518" spans="1:394" x14ac:dyDescent="0.25">
      <c r="A1518" s="47"/>
      <c r="B1518" s="48"/>
      <c r="C1518" s="133"/>
      <c r="D1518" s="133"/>
      <c r="E1518" s="133"/>
      <c r="F1518" s="133"/>
      <c r="G1518" s="133"/>
      <c r="H1518" s="133"/>
      <c r="I1518" s="133"/>
      <c r="J1518" s="133"/>
      <c r="K1518" s="133"/>
      <c r="L1518" s="133"/>
      <c r="NW1518" s="6"/>
      <c r="NX1518" s="6"/>
      <c r="NY1518" s="6"/>
      <c r="NZ1518" s="6"/>
      <c r="OA1518" s="6"/>
      <c r="OB1518" s="46"/>
      <c r="OC1518" s="4"/>
      <c r="OD1518" s="6"/>
    </row>
    <row r="1519" spans="1:394" x14ac:dyDescent="0.25">
      <c r="A1519" s="47"/>
      <c r="B1519" s="48"/>
      <c r="C1519" s="133"/>
      <c r="D1519" s="133"/>
      <c r="E1519" s="133"/>
      <c r="F1519" s="133"/>
      <c r="G1519" s="133"/>
      <c r="H1519" s="133"/>
      <c r="I1519" s="133"/>
      <c r="J1519" s="133"/>
      <c r="K1519" s="133"/>
      <c r="L1519" s="133"/>
      <c r="NW1519" s="6"/>
      <c r="NX1519" s="6"/>
      <c r="NY1519" s="6"/>
      <c r="NZ1519" s="6"/>
      <c r="OA1519" s="6"/>
      <c r="OB1519" s="46"/>
      <c r="OC1519" s="4"/>
      <c r="OD1519" s="6"/>
    </row>
    <row r="1520" spans="1:394" x14ac:dyDescent="0.25">
      <c r="A1520" s="47"/>
      <c r="B1520" s="48"/>
      <c r="C1520" s="133"/>
      <c r="D1520" s="133"/>
      <c r="E1520" s="133"/>
      <c r="F1520" s="133"/>
      <c r="G1520" s="133"/>
      <c r="H1520" s="133"/>
      <c r="I1520" s="133"/>
      <c r="J1520" s="133"/>
      <c r="K1520" s="133"/>
      <c r="L1520" s="133"/>
      <c r="NW1520" s="6"/>
      <c r="NX1520" s="6"/>
      <c r="NY1520" s="6"/>
      <c r="NZ1520" s="6"/>
      <c r="OA1520" s="6"/>
      <c r="OB1520" s="46"/>
      <c r="OC1520" s="4"/>
      <c r="OD1520" s="6"/>
    </row>
    <row r="1521" spans="1:394" x14ac:dyDescent="0.25">
      <c r="A1521" s="47"/>
      <c r="B1521" s="48"/>
      <c r="C1521" s="133"/>
      <c r="D1521" s="133"/>
      <c r="E1521" s="133"/>
      <c r="F1521" s="133"/>
      <c r="G1521" s="133"/>
      <c r="H1521" s="133"/>
      <c r="I1521" s="133"/>
      <c r="J1521" s="133"/>
      <c r="K1521" s="133"/>
      <c r="L1521" s="133"/>
      <c r="NW1521" s="6"/>
      <c r="NX1521" s="6"/>
      <c r="NY1521" s="6"/>
      <c r="NZ1521" s="6"/>
      <c r="OA1521" s="6"/>
      <c r="OB1521" s="46"/>
      <c r="OC1521" s="4"/>
      <c r="OD1521" s="6"/>
    </row>
    <row r="1522" spans="1:394" x14ac:dyDescent="0.25">
      <c r="A1522" s="47"/>
      <c r="B1522" s="48"/>
      <c r="C1522" s="133"/>
      <c r="D1522" s="133"/>
      <c r="E1522" s="133"/>
      <c r="F1522" s="133"/>
      <c r="G1522" s="133"/>
      <c r="H1522" s="133"/>
      <c r="I1522" s="133"/>
      <c r="J1522" s="133"/>
      <c r="K1522" s="133"/>
      <c r="L1522" s="133"/>
      <c r="NW1522" s="6"/>
      <c r="NX1522" s="6"/>
      <c r="NY1522" s="6"/>
      <c r="NZ1522" s="6"/>
      <c r="OA1522" s="6"/>
      <c r="OB1522" s="46"/>
      <c r="OC1522" s="4"/>
      <c r="OD1522" s="6"/>
    </row>
    <row r="1523" spans="1:394" x14ac:dyDescent="0.25">
      <c r="A1523" s="47"/>
      <c r="B1523" s="48"/>
      <c r="C1523" s="133"/>
      <c r="D1523" s="133"/>
      <c r="E1523" s="133"/>
      <c r="F1523" s="133"/>
      <c r="G1523" s="133"/>
      <c r="H1523" s="133"/>
      <c r="I1523" s="133"/>
      <c r="J1523" s="133"/>
      <c r="K1523" s="133"/>
      <c r="L1523" s="133"/>
      <c r="NW1523" s="6"/>
      <c r="NX1523" s="6"/>
      <c r="NY1523" s="6"/>
      <c r="NZ1523" s="6"/>
      <c r="OA1523" s="6"/>
      <c r="OB1523" s="46"/>
      <c r="OC1523" s="4"/>
      <c r="OD1523" s="6"/>
    </row>
    <row r="1524" spans="1:394" x14ac:dyDescent="0.25">
      <c r="A1524" s="47"/>
      <c r="B1524" s="48"/>
      <c r="C1524" s="133"/>
      <c r="D1524" s="133"/>
      <c r="E1524" s="133"/>
      <c r="F1524" s="133"/>
      <c r="G1524" s="133"/>
      <c r="H1524" s="133"/>
      <c r="I1524" s="133"/>
      <c r="J1524" s="133"/>
      <c r="K1524" s="133"/>
      <c r="L1524" s="133"/>
      <c r="NW1524" s="6"/>
      <c r="NX1524" s="6"/>
      <c r="NY1524" s="6"/>
      <c r="NZ1524" s="6"/>
      <c r="OA1524" s="6"/>
      <c r="OB1524" s="46"/>
      <c r="OC1524" s="4"/>
      <c r="OD1524" s="6"/>
    </row>
    <row r="1525" spans="1:394" x14ac:dyDescent="0.25">
      <c r="A1525" s="47"/>
      <c r="B1525" s="48"/>
      <c r="C1525" s="133"/>
      <c r="D1525" s="133"/>
      <c r="E1525" s="133"/>
      <c r="F1525" s="133"/>
      <c r="G1525" s="133"/>
      <c r="H1525" s="133"/>
      <c r="I1525" s="133"/>
      <c r="J1525" s="133"/>
      <c r="K1525" s="133"/>
      <c r="L1525" s="133"/>
      <c r="NW1525" s="6"/>
      <c r="NX1525" s="6"/>
      <c r="NY1525" s="6"/>
      <c r="NZ1525" s="6"/>
      <c r="OA1525" s="6"/>
      <c r="OB1525" s="46"/>
      <c r="OC1525" s="4"/>
      <c r="OD1525" s="6"/>
    </row>
    <row r="1526" spans="1:394" x14ac:dyDescent="0.25">
      <c r="A1526" s="47"/>
      <c r="B1526" s="48"/>
      <c r="C1526" s="133"/>
      <c r="D1526" s="133"/>
      <c r="E1526" s="133"/>
      <c r="F1526" s="133"/>
      <c r="G1526" s="133"/>
      <c r="H1526" s="133"/>
      <c r="I1526" s="133"/>
      <c r="J1526" s="133"/>
      <c r="K1526" s="133"/>
      <c r="L1526" s="133"/>
      <c r="NW1526" s="6"/>
      <c r="NX1526" s="6"/>
      <c r="NY1526" s="6"/>
      <c r="NZ1526" s="6"/>
      <c r="OA1526" s="6"/>
      <c r="OB1526" s="46"/>
      <c r="OC1526" s="4"/>
      <c r="OD1526" s="6"/>
    </row>
    <row r="1527" spans="1:394" x14ac:dyDescent="0.25">
      <c r="A1527" s="47"/>
      <c r="B1527" s="48"/>
      <c r="C1527" s="133"/>
      <c r="D1527" s="133"/>
      <c r="E1527" s="133"/>
      <c r="F1527" s="133"/>
      <c r="G1527" s="133"/>
      <c r="H1527" s="133"/>
      <c r="I1527" s="133"/>
      <c r="J1527" s="133"/>
      <c r="K1527" s="133"/>
      <c r="L1527" s="133"/>
      <c r="NW1527" s="6"/>
      <c r="NX1527" s="6"/>
      <c r="NY1527" s="6"/>
      <c r="NZ1527" s="6"/>
      <c r="OA1527" s="6"/>
      <c r="OB1527" s="46"/>
      <c r="OC1527" s="4"/>
      <c r="OD1527" s="6"/>
    </row>
    <row r="1528" spans="1:394" x14ac:dyDescent="0.25">
      <c r="A1528" s="47"/>
      <c r="B1528" s="48"/>
      <c r="C1528" s="133"/>
      <c r="D1528" s="133"/>
      <c r="E1528" s="133"/>
      <c r="F1528" s="133"/>
      <c r="G1528" s="133"/>
      <c r="H1528" s="133"/>
      <c r="I1528" s="133"/>
      <c r="J1528" s="133"/>
      <c r="K1528" s="133"/>
      <c r="L1528" s="133"/>
      <c r="NW1528" s="6"/>
      <c r="NX1528" s="6"/>
      <c r="NY1528" s="6"/>
      <c r="NZ1528" s="6"/>
      <c r="OA1528" s="6"/>
      <c r="OB1528" s="46"/>
      <c r="OC1528" s="4"/>
      <c r="OD1528" s="6"/>
    </row>
    <row r="1529" spans="1:394" x14ac:dyDescent="0.25">
      <c r="A1529" s="47"/>
      <c r="B1529" s="48"/>
      <c r="C1529" s="133"/>
      <c r="D1529" s="133"/>
      <c r="E1529" s="133"/>
      <c r="F1529" s="133"/>
      <c r="G1529" s="133"/>
      <c r="H1529" s="133"/>
      <c r="I1529" s="133"/>
      <c r="J1529" s="133"/>
      <c r="K1529" s="133"/>
      <c r="L1529" s="133"/>
      <c r="NW1529" s="6"/>
      <c r="NX1529" s="6"/>
      <c r="NY1529" s="6"/>
      <c r="NZ1529" s="6"/>
      <c r="OA1529" s="6"/>
      <c r="OB1529" s="46"/>
      <c r="OC1529" s="4"/>
      <c r="OD1529" s="6"/>
    </row>
    <row r="1530" spans="1:394" x14ac:dyDescent="0.25">
      <c r="A1530" s="47"/>
      <c r="B1530" s="48"/>
      <c r="C1530" s="133"/>
      <c r="D1530" s="133"/>
      <c r="E1530" s="133"/>
      <c r="F1530" s="133"/>
      <c r="G1530" s="133"/>
      <c r="H1530" s="133"/>
      <c r="I1530" s="133"/>
      <c r="J1530" s="133"/>
      <c r="K1530" s="133"/>
      <c r="L1530" s="133"/>
      <c r="NW1530" s="6"/>
      <c r="NX1530" s="6"/>
      <c r="NY1530" s="6"/>
      <c r="NZ1530" s="6"/>
      <c r="OA1530" s="6"/>
      <c r="OB1530" s="46"/>
      <c r="OC1530" s="4"/>
      <c r="OD1530" s="6"/>
    </row>
    <row r="1531" spans="1:394" x14ac:dyDescent="0.25">
      <c r="A1531" s="47"/>
      <c r="B1531" s="48"/>
      <c r="C1531" s="133"/>
      <c r="D1531" s="133"/>
      <c r="E1531" s="133"/>
      <c r="F1531" s="133"/>
      <c r="G1531" s="133"/>
      <c r="H1531" s="133"/>
      <c r="I1531" s="133"/>
      <c r="J1531" s="133"/>
      <c r="K1531" s="133"/>
      <c r="L1531" s="133"/>
      <c r="NW1531" s="6"/>
      <c r="NX1531" s="6"/>
      <c r="NY1531" s="6"/>
      <c r="NZ1531" s="6"/>
      <c r="OA1531" s="6"/>
      <c r="OB1531" s="46"/>
      <c r="OC1531" s="4"/>
      <c r="OD1531" s="6"/>
    </row>
    <row r="1532" spans="1:394" x14ac:dyDescent="0.25">
      <c r="A1532" s="47"/>
      <c r="B1532" s="48"/>
      <c r="C1532" s="133"/>
      <c r="D1532" s="133"/>
      <c r="E1532" s="133"/>
      <c r="F1532" s="133"/>
      <c r="G1532" s="133"/>
      <c r="H1532" s="133"/>
      <c r="I1532" s="133"/>
      <c r="J1532" s="133"/>
      <c r="K1532" s="133"/>
      <c r="L1532" s="133"/>
      <c r="NW1532" s="6"/>
      <c r="NX1532" s="6"/>
      <c r="NY1532" s="6"/>
      <c r="NZ1532" s="6"/>
      <c r="OA1532" s="6"/>
      <c r="OB1532" s="46"/>
      <c r="OC1532" s="4"/>
      <c r="OD1532" s="6"/>
    </row>
    <row r="1533" spans="1:394" x14ac:dyDescent="0.25">
      <c r="A1533" s="47"/>
      <c r="B1533" s="48"/>
      <c r="C1533" s="133"/>
      <c r="D1533" s="133"/>
      <c r="E1533" s="133"/>
      <c r="F1533" s="133"/>
      <c r="G1533" s="133"/>
      <c r="H1533" s="133"/>
      <c r="I1533" s="133"/>
      <c r="J1533" s="133"/>
      <c r="K1533" s="133"/>
      <c r="L1533" s="133"/>
      <c r="NW1533" s="6"/>
      <c r="NX1533" s="6"/>
      <c r="NY1533" s="6"/>
      <c r="NZ1533" s="6"/>
      <c r="OA1533" s="6"/>
      <c r="OB1533" s="46"/>
      <c r="OC1533" s="4"/>
      <c r="OD1533" s="6"/>
    </row>
    <row r="1534" spans="1:394" x14ac:dyDescent="0.25">
      <c r="A1534" s="47"/>
      <c r="B1534" s="48"/>
      <c r="C1534" s="133"/>
      <c r="D1534" s="133"/>
      <c r="E1534" s="133"/>
      <c r="F1534" s="133"/>
      <c r="G1534" s="133"/>
      <c r="H1534" s="133"/>
      <c r="I1534" s="133"/>
      <c r="J1534" s="133"/>
      <c r="K1534" s="133"/>
      <c r="L1534" s="133"/>
      <c r="NW1534" s="6"/>
      <c r="NX1534" s="6"/>
      <c r="NY1534" s="6"/>
      <c r="NZ1534" s="6"/>
      <c r="OA1534" s="6"/>
      <c r="OB1534" s="46"/>
      <c r="OC1534" s="4"/>
      <c r="OD1534" s="6"/>
    </row>
    <row r="1535" spans="1:394" x14ac:dyDescent="0.25">
      <c r="A1535" s="47"/>
      <c r="B1535" s="48"/>
      <c r="C1535" s="133"/>
      <c r="D1535" s="133"/>
      <c r="E1535" s="133"/>
      <c r="F1535" s="133"/>
      <c r="G1535" s="133"/>
      <c r="H1535" s="133"/>
      <c r="I1535" s="133"/>
      <c r="J1535" s="133"/>
      <c r="K1535" s="133"/>
      <c r="L1535" s="133"/>
      <c r="NW1535" s="6"/>
      <c r="NX1535" s="6"/>
      <c r="NY1535" s="6"/>
      <c r="NZ1535" s="6"/>
      <c r="OA1535" s="6"/>
      <c r="OB1535" s="46"/>
      <c r="OC1535" s="4"/>
      <c r="OD1535" s="6"/>
    </row>
    <row r="1536" spans="1:394" x14ac:dyDescent="0.25">
      <c r="A1536" s="47"/>
      <c r="B1536" s="48"/>
      <c r="C1536" s="133"/>
      <c r="D1536" s="133"/>
      <c r="E1536" s="133"/>
      <c r="F1536" s="133"/>
      <c r="G1536" s="133"/>
      <c r="H1536" s="133"/>
      <c r="I1536" s="133"/>
      <c r="J1536" s="133"/>
      <c r="K1536" s="133"/>
      <c r="L1536" s="133"/>
      <c r="NW1536" s="6"/>
      <c r="NX1536" s="6"/>
      <c r="NY1536" s="6"/>
      <c r="NZ1536" s="6"/>
      <c r="OA1536" s="6"/>
      <c r="OB1536" s="46"/>
      <c r="OC1536" s="4"/>
      <c r="OD1536" s="6"/>
    </row>
    <row r="1537" spans="1:394" x14ac:dyDescent="0.25">
      <c r="A1537" s="47"/>
      <c r="B1537" s="48"/>
      <c r="C1537" s="133"/>
      <c r="D1537" s="133"/>
      <c r="E1537" s="133"/>
      <c r="F1537" s="133"/>
      <c r="G1537" s="133"/>
      <c r="H1537" s="133"/>
      <c r="I1537" s="133"/>
      <c r="J1537" s="133"/>
      <c r="K1537" s="133"/>
      <c r="L1537" s="133"/>
      <c r="NW1537" s="6"/>
      <c r="NX1537" s="6"/>
      <c r="NY1537" s="6"/>
      <c r="NZ1537" s="6"/>
      <c r="OA1537" s="6"/>
      <c r="OB1537" s="46"/>
      <c r="OC1537" s="4"/>
      <c r="OD1537" s="6"/>
    </row>
    <row r="1538" spans="1:394" x14ac:dyDescent="0.25">
      <c r="A1538" s="47"/>
      <c r="B1538" s="48"/>
      <c r="C1538" s="133"/>
      <c r="D1538" s="133"/>
      <c r="E1538" s="133"/>
      <c r="F1538" s="133"/>
      <c r="G1538" s="133"/>
      <c r="H1538" s="133"/>
      <c r="I1538" s="133"/>
      <c r="J1538" s="133"/>
      <c r="K1538" s="133"/>
      <c r="L1538" s="133"/>
      <c r="NW1538" s="6"/>
      <c r="NX1538" s="6"/>
      <c r="NY1538" s="6"/>
      <c r="NZ1538" s="6"/>
      <c r="OA1538" s="6"/>
      <c r="OB1538" s="46"/>
      <c r="OC1538" s="4"/>
      <c r="OD1538" s="6"/>
    </row>
    <row r="1539" spans="1:394" x14ac:dyDescent="0.25">
      <c r="A1539" s="47"/>
      <c r="B1539" s="48"/>
      <c r="C1539" s="133"/>
      <c r="D1539" s="133"/>
      <c r="E1539" s="133"/>
      <c r="F1539" s="133"/>
      <c r="G1539" s="133"/>
      <c r="H1539" s="133"/>
      <c r="I1539" s="133"/>
      <c r="J1539" s="133"/>
      <c r="K1539" s="133"/>
      <c r="L1539" s="133"/>
      <c r="NW1539" s="6"/>
      <c r="NX1539" s="6"/>
      <c r="NY1539" s="6"/>
      <c r="NZ1539" s="6"/>
      <c r="OA1539" s="6"/>
      <c r="OB1539" s="46"/>
      <c r="OC1539" s="4"/>
      <c r="OD1539" s="6"/>
    </row>
    <row r="1540" spans="1:394" x14ac:dyDescent="0.25">
      <c r="A1540" s="47"/>
      <c r="B1540" s="48"/>
      <c r="C1540" s="133"/>
      <c r="D1540" s="133"/>
      <c r="E1540" s="133"/>
      <c r="F1540" s="133"/>
      <c r="G1540" s="133"/>
      <c r="H1540" s="133"/>
      <c r="I1540" s="133"/>
      <c r="J1540" s="133"/>
      <c r="K1540" s="133"/>
      <c r="L1540" s="133"/>
      <c r="NW1540" s="6"/>
      <c r="NX1540" s="6"/>
      <c r="NY1540" s="6"/>
      <c r="NZ1540" s="6"/>
      <c r="OA1540" s="6"/>
      <c r="OB1540" s="46"/>
      <c r="OC1540" s="4"/>
      <c r="OD1540" s="6"/>
    </row>
    <row r="1541" spans="1:394" x14ac:dyDescent="0.25">
      <c r="A1541" s="47"/>
      <c r="B1541" s="48"/>
      <c r="C1541" s="133"/>
      <c r="D1541" s="133"/>
      <c r="E1541" s="133"/>
      <c r="F1541" s="133"/>
      <c r="G1541" s="133"/>
      <c r="H1541" s="133"/>
      <c r="I1541" s="133"/>
      <c r="J1541" s="133"/>
      <c r="K1541" s="133"/>
      <c r="L1541" s="133"/>
      <c r="NW1541" s="6"/>
      <c r="NX1541" s="6"/>
      <c r="NY1541" s="6"/>
      <c r="NZ1541" s="6"/>
      <c r="OA1541" s="6"/>
      <c r="OB1541" s="46"/>
      <c r="OC1541" s="4"/>
      <c r="OD1541" s="6"/>
    </row>
    <row r="1542" spans="1:394" x14ac:dyDescent="0.25">
      <c r="A1542" s="47"/>
      <c r="B1542" s="48"/>
      <c r="C1542" s="133"/>
      <c r="D1542" s="133"/>
      <c r="E1542" s="133"/>
      <c r="F1542" s="133"/>
      <c r="G1542" s="133"/>
      <c r="H1542" s="133"/>
      <c r="I1542" s="133"/>
      <c r="J1542" s="133"/>
      <c r="K1542" s="133"/>
      <c r="L1542" s="133"/>
      <c r="NW1542" s="6"/>
      <c r="NX1542" s="6"/>
      <c r="NY1542" s="6"/>
      <c r="NZ1542" s="6"/>
      <c r="OA1542" s="6"/>
      <c r="OB1542" s="46"/>
      <c r="OC1542" s="4"/>
      <c r="OD1542" s="6"/>
    </row>
    <row r="1543" spans="1:394" x14ac:dyDescent="0.25">
      <c r="A1543" s="47"/>
      <c r="B1543" s="48"/>
      <c r="C1543" s="133"/>
      <c r="D1543" s="133"/>
      <c r="E1543" s="133"/>
      <c r="F1543" s="133"/>
      <c r="G1543" s="133"/>
      <c r="H1543" s="133"/>
      <c r="I1543" s="133"/>
      <c r="J1543" s="133"/>
      <c r="K1543" s="133"/>
      <c r="L1543" s="133"/>
      <c r="NW1543" s="6"/>
      <c r="NX1543" s="6"/>
      <c r="NY1543" s="6"/>
      <c r="NZ1543" s="6"/>
      <c r="OA1543" s="6"/>
      <c r="OB1543" s="46"/>
      <c r="OC1543" s="4"/>
      <c r="OD1543" s="6"/>
    </row>
    <row r="1544" spans="1:394" x14ac:dyDescent="0.25">
      <c r="A1544" s="47"/>
      <c r="B1544" s="48"/>
      <c r="C1544" s="133"/>
      <c r="D1544" s="133"/>
      <c r="E1544" s="133"/>
      <c r="F1544" s="133"/>
      <c r="G1544" s="133"/>
      <c r="H1544" s="133"/>
      <c r="I1544" s="133"/>
      <c r="J1544" s="133"/>
      <c r="K1544" s="133"/>
      <c r="L1544" s="133"/>
      <c r="NW1544" s="6"/>
      <c r="NX1544" s="6"/>
      <c r="NY1544" s="6"/>
      <c r="NZ1544" s="6"/>
      <c r="OA1544" s="6"/>
      <c r="OB1544" s="46"/>
      <c r="OC1544" s="4"/>
      <c r="OD1544" s="6"/>
    </row>
    <row r="1545" spans="1:394" x14ac:dyDescent="0.25">
      <c r="A1545" s="47"/>
      <c r="B1545" s="48"/>
      <c r="C1545" s="133"/>
      <c r="D1545" s="133"/>
      <c r="E1545" s="133"/>
      <c r="F1545" s="133"/>
      <c r="G1545" s="133"/>
      <c r="H1545" s="133"/>
      <c r="I1545" s="133"/>
      <c r="J1545" s="133"/>
      <c r="K1545" s="133"/>
      <c r="L1545" s="133"/>
      <c r="NW1545" s="6"/>
      <c r="NX1545" s="6"/>
      <c r="NY1545" s="6"/>
      <c r="NZ1545" s="6"/>
      <c r="OA1545" s="6"/>
      <c r="OB1545" s="46"/>
      <c r="OC1545" s="4"/>
      <c r="OD1545" s="6"/>
    </row>
    <row r="1546" spans="1:394" x14ac:dyDescent="0.25">
      <c r="A1546" s="47"/>
      <c r="B1546" s="48"/>
      <c r="C1546" s="133"/>
      <c r="D1546" s="133"/>
      <c r="E1546" s="133"/>
      <c r="F1546" s="133"/>
      <c r="G1546" s="133"/>
      <c r="H1546" s="133"/>
      <c r="I1546" s="133"/>
      <c r="J1546" s="133"/>
      <c r="K1546" s="133"/>
      <c r="L1546" s="133"/>
      <c r="NW1546" s="6"/>
      <c r="NX1546" s="6"/>
      <c r="NY1546" s="6"/>
      <c r="NZ1546" s="6"/>
      <c r="OA1546" s="6"/>
      <c r="OB1546" s="46"/>
      <c r="OC1546" s="4"/>
      <c r="OD1546" s="6"/>
    </row>
    <row r="1547" spans="1:394" x14ac:dyDescent="0.25">
      <c r="A1547" s="47"/>
      <c r="B1547" s="48"/>
      <c r="C1547" s="133"/>
      <c r="D1547" s="133"/>
      <c r="E1547" s="133"/>
      <c r="F1547" s="133"/>
      <c r="G1547" s="133"/>
      <c r="H1547" s="133"/>
      <c r="I1547" s="133"/>
      <c r="J1547" s="133"/>
      <c r="K1547" s="133"/>
      <c r="L1547" s="133"/>
      <c r="NW1547" s="6"/>
      <c r="NX1547" s="6"/>
      <c r="NY1547" s="6"/>
      <c r="NZ1547" s="6"/>
      <c r="OA1547" s="6"/>
      <c r="OB1547" s="46"/>
      <c r="OC1547" s="4"/>
      <c r="OD1547" s="6"/>
    </row>
    <row r="1548" spans="1:394" x14ac:dyDescent="0.25">
      <c r="A1548" s="47"/>
      <c r="B1548" s="48"/>
      <c r="C1548" s="133"/>
      <c r="D1548" s="133"/>
      <c r="E1548" s="133"/>
      <c r="F1548" s="133"/>
      <c r="G1548" s="133"/>
      <c r="H1548" s="133"/>
      <c r="I1548" s="133"/>
      <c r="J1548" s="133"/>
      <c r="K1548" s="133"/>
      <c r="L1548" s="133"/>
      <c r="NW1548" s="6"/>
      <c r="NX1548" s="6"/>
      <c r="NY1548" s="6"/>
      <c r="NZ1548" s="6"/>
      <c r="OA1548" s="6"/>
      <c r="OB1548" s="46"/>
      <c r="OC1548" s="4"/>
      <c r="OD1548" s="6"/>
    </row>
    <row r="1549" spans="1:394" x14ac:dyDescent="0.25">
      <c r="A1549" s="47"/>
      <c r="B1549" s="48"/>
      <c r="C1549" s="133"/>
      <c r="D1549" s="133"/>
      <c r="E1549" s="133"/>
      <c r="F1549" s="133"/>
      <c r="G1549" s="133"/>
      <c r="H1549" s="133"/>
      <c r="I1549" s="133"/>
      <c r="J1549" s="133"/>
      <c r="K1549" s="133"/>
      <c r="L1549" s="133"/>
      <c r="NW1549" s="6"/>
      <c r="NX1549" s="6"/>
      <c r="NY1549" s="6"/>
      <c r="NZ1549" s="6"/>
      <c r="OA1549" s="6"/>
      <c r="OB1549" s="46"/>
      <c r="OC1549" s="4"/>
      <c r="OD1549" s="6"/>
    </row>
    <row r="1550" spans="1:394" x14ac:dyDescent="0.25">
      <c r="A1550" s="47"/>
      <c r="B1550" s="48"/>
      <c r="C1550" s="133"/>
      <c r="D1550" s="133"/>
      <c r="E1550" s="133"/>
      <c r="F1550" s="133"/>
      <c r="G1550" s="133"/>
      <c r="H1550" s="133"/>
      <c r="I1550" s="133"/>
      <c r="J1550" s="133"/>
      <c r="K1550" s="133"/>
      <c r="L1550" s="133"/>
      <c r="NW1550" s="6"/>
      <c r="NX1550" s="6"/>
      <c r="NY1550" s="6"/>
      <c r="NZ1550" s="6"/>
      <c r="OA1550" s="6"/>
      <c r="OB1550" s="46"/>
      <c r="OC1550" s="4"/>
      <c r="OD1550" s="6"/>
    </row>
    <row r="1551" spans="1:394" x14ac:dyDescent="0.25">
      <c r="A1551" s="47"/>
      <c r="B1551" s="48"/>
      <c r="C1551" s="133"/>
      <c r="D1551" s="133"/>
      <c r="E1551" s="133"/>
      <c r="F1551" s="133"/>
      <c r="G1551" s="133"/>
      <c r="H1551" s="133"/>
      <c r="I1551" s="133"/>
      <c r="J1551" s="133"/>
      <c r="K1551" s="133"/>
      <c r="L1551" s="133"/>
      <c r="NW1551" s="6"/>
      <c r="NX1551" s="6"/>
      <c r="NY1551" s="6"/>
      <c r="NZ1551" s="6"/>
      <c r="OA1551" s="6"/>
      <c r="OB1551" s="46"/>
      <c r="OC1551" s="4"/>
      <c r="OD1551" s="6"/>
    </row>
    <row r="1552" spans="1:394" x14ac:dyDescent="0.25">
      <c r="A1552" s="47"/>
      <c r="B1552" s="48"/>
      <c r="C1552" s="133"/>
      <c r="D1552" s="133"/>
      <c r="E1552" s="133"/>
      <c r="F1552" s="133"/>
      <c r="G1552" s="133"/>
      <c r="H1552" s="133"/>
      <c r="I1552" s="133"/>
      <c r="J1552" s="133"/>
      <c r="K1552" s="133"/>
      <c r="L1552" s="133"/>
      <c r="NW1552" s="6"/>
      <c r="NX1552" s="6"/>
      <c r="NY1552" s="6"/>
      <c r="NZ1552" s="6"/>
      <c r="OA1552" s="6"/>
      <c r="OB1552" s="46"/>
      <c r="OC1552" s="4"/>
      <c r="OD1552" s="6"/>
    </row>
    <row r="1553" spans="1:394" x14ac:dyDescent="0.25">
      <c r="A1553" s="47"/>
      <c r="B1553" s="48"/>
      <c r="C1553" s="133"/>
      <c r="D1553" s="133"/>
      <c r="E1553" s="133"/>
      <c r="F1553" s="133"/>
      <c r="G1553" s="133"/>
      <c r="H1553" s="133"/>
      <c r="I1553" s="133"/>
      <c r="J1553" s="133"/>
      <c r="K1553" s="133"/>
      <c r="L1553" s="133"/>
      <c r="NW1553" s="6"/>
      <c r="NX1553" s="6"/>
      <c r="NY1553" s="6"/>
      <c r="NZ1553" s="6"/>
      <c r="OA1553" s="6"/>
      <c r="OB1553" s="46"/>
      <c r="OC1553" s="4"/>
      <c r="OD1553" s="6"/>
    </row>
    <row r="1554" spans="1:394" x14ac:dyDescent="0.25">
      <c r="A1554" s="47"/>
      <c r="B1554" s="48"/>
      <c r="C1554" s="133"/>
      <c r="D1554" s="133"/>
      <c r="E1554" s="133"/>
      <c r="F1554" s="133"/>
      <c r="G1554" s="133"/>
      <c r="H1554" s="133"/>
      <c r="I1554" s="133"/>
      <c r="J1554" s="133"/>
      <c r="K1554" s="133"/>
      <c r="L1554" s="133"/>
      <c r="NW1554" s="6"/>
      <c r="NX1554" s="6"/>
      <c r="NY1554" s="6"/>
      <c r="NZ1554" s="6"/>
      <c r="OA1554" s="6"/>
      <c r="OB1554" s="46"/>
      <c r="OC1554" s="4"/>
      <c r="OD1554" s="6"/>
    </row>
    <row r="1555" spans="1:394" x14ac:dyDescent="0.25">
      <c r="A1555" s="47"/>
      <c r="B1555" s="48"/>
      <c r="C1555" s="133"/>
      <c r="D1555" s="133"/>
      <c r="E1555" s="133"/>
      <c r="F1555" s="133"/>
      <c r="G1555" s="133"/>
      <c r="H1555" s="133"/>
      <c r="I1555" s="133"/>
      <c r="J1555" s="133"/>
      <c r="K1555" s="133"/>
      <c r="L1555" s="133"/>
      <c r="NW1555" s="6"/>
      <c r="NX1555" s="6"/>
      <c r="NY1555" s="6"/>
      <c r="NZ1555" s="6"/>
      <c r="OA1555" s="6"/>
      <c r="OB1555" s="46"/>
      <c r="OC1555" s="4"/>
      <c r="OD1555" s="6"/>
    </row>
    <row r="1556" spans="1:394" x14ac:dyDescent="0.25">
      <c r="A1556" s="47"/>
      <c r="B1556" s="48"/>
      <c r="C1556" s="133"/>
      <c r="D1556" s="133"/>
      <c r="E1556" s="133"/>
      <c r="F1556" s="133"/>
      <c r="G1556" s="133"/>
      <c r="H1556" s="133"/>
      <c r="I1556" s="133"/>
      <c r="J1556" s="133"/>
      <c r="K1556" s="133"/>
      <c r="L1556" s="133"/>
      <c r="NW1556" s="6"/>
      <c r="NX1556" s="6"/>
      <c r="NY1556" s="6"/>
      <c r="NZ1556" s="6"/>
      <c r="OA1556" s="6"/>
      <c r="OB1556" s="46"/>
      <c r="OC1556" s="4"/>
      <c r="OD1556" s="6"/>
    </row>
    <row r="1557" spans="1:394" x14ac:dyDescent="0.25">
      <c r="A1557" s="47"/>
      <c r="B1557" s="48"/>
      <c r="C1557" s="133"/>
      <c r="D1557" s="133"/>
      <c r="E1557" s="133"/>
      <c r="F1557" s="133"/>
      <c r="G1557" s="133"/>
      <c r="H1557" s="133"/>
      <c r="I1557" s="133"/>
      <c r="J1557" s="133"/>
      <c r="K1557" s="133"/>
      <c r="L1557" s="133"/>
      <c r="NW1557" s="6"/>
      <c r="NX1557" s="6"/>
      <c r="NY1557" s="6"/>
      <c r="NZ1557" s="6"/>
      <c r="OA1557" s="6"/>
      <c r="OB1557" s="46"/>
      <c r="OC1557" s="4"/>
      <c r="OD1557" s="6"/>
    </row>
    <row r="1558" spans="1:394" x14ac:dyDescent="0.25">
      <c r="A1558" s="47"/>
      <c r="B1558" s="48"/>
      <c r="C1558" s="133"/>
      <c r="D1558" s="133"/>
      <c r="E1558" s="133"/>
      <c r="F1558" s="133"/>
      <c r="G1558" s="133"/>
      <c r="H1558" s="133"/>
      <c r="I1558" s="133"/>
      <c r="J1558" s="133"/>
      <c r="K1558" s="133"/>
      <c r="L1558" s="133"/>
      <c r="NW1558" s="6"/>
      <c r="NX1558" s="6"/>
      <c r="NY1558" s="6"/>
      <c r="NZ1558" s="6"/>
      <c r="OA1558" s="6"/>
      <c r="OB1558" s="46"/>
      <c r="OC1558" s="4"/>
      <c r="OD1558" s="6"/>
    </row>
    <row r="1559" spans="1:394" x14ac:dyDescent="0.25">
      <c r="A1559" s="47"/>
      <c r="B1559" s="48"/>
      <c r="C1559" s="133"/>
      <c r="D1559" s="133"/>
      <c r="E1559" s="133"/>
      <c r="F1559" s="133"/>
      <c r="G1559" s="133"/>
      <c r="H1559" s="133"/>
      <c r="I1559" s="133"/>
      <c r="J1559" s="133"/>
      <c r="K1559" s="133"/>
      <c r="L1559" s="133"/>
      <c r="NW1559" s="6"/>
      <c r="NX1559" s="6"/>
      <c r="NY1559" s="6"/>
      <c r="NZ1559" s="6"/>
      <c r="OA1559" s="6"/>
      <c r="OB1559" s="46"/>
      <c r="OC1559" s="4"/>
      <c r="OD1559" s="6"/>
    </row>
    <row r="1560" spans="1:394" x14ac:dyDescent="0.25">
      <c r="A1560" s="47"/>
      <c r="B1560" s="48"/>
      <c r="C1560" s="133"/>
      <c r="D1560" s="133"/>
      <c r="E1560" s="133"/>
      <c r="F1560" s="133"/>
      <c r="G1560" s="133"/>
      <c r="H1560" s="133"/>
      <c r="I1560" s="133"/>
      <c r="J1560" s="133"/>
      <c r="K1560" s="133"/>
      <c r="L1560" s="133"/>
      <c r="NW1560" s="6"/>
      <c r="NX1560" s="6"/>
      <c r="NY1560" s="6"/>
      <c r="NZ1560" s="6"/>
      <c r="OA1560" s="6"/>
      <c r="OB1560" s="46"/>
      <c r="OC1560" s="4"/>
      <c r="OD1560" s="6"/>
    </row>
    <row r="1561" spans="1:394" x14ac:dyDescent="0.25">
      <c r="A1561" s="47"/>
      <c r="B1561" s="48"/>
      <c r="C1561" s="133"/>
      <c r="D1561" s="133"/>
      <c r="E1561" s="133"/>
      <c r="F1561" s="133"/>
      <c r="G1561" s="133"/>
      <c r="H1561" s="133"/>
      <c r="I1561" s="133"/>
      <c r="J1561" s="133"/>
      <c r="K1561" s="133"/>
      <c r="L1561" s="133"/>
      <c r="NW1561" s="6"/>
      <c r="NX1561" s="6"/>
      <c r="NY1561" s="6"/>
      <c r="NZ1561" s="6"/>
      <c r="OA1561" s="6"/>
      <c r="OB1561" s="46"/>
      <c r="OC1561" s="4"/>
      <c r="OD1561" s="6"/>
    </row>
    <row r="1562" spans="1:394" x14ac:dyDescent="0.25">
      <c r="A1562" s="47"/>
      <c r="B1562" s="48"/>
      <c r="C1562" s="133"/>
      <c r="D1562" s="133"/>
      <c r="E1562" s="133"/>
      <c r="F1562" s="133"/>
      <c r="G1562" s="133"/>
      <c r="H1562" s="133"/>
      <c r="I1562" s="133"/>
      <c r="J1562" s="133"/>
      <c r="K1562" s="133"/>
      <c r="L1562" s="133"/>
      <c r="NW1562" s="6"/>
      <c r="NX1562" s="6"/>
      <c r="NY1562" s="6"/>
      <c r="NZ1562" s="6"/>
      <c r="OA1562" s="6"/>
      <c r="OB1562" s="46"/>
      <c r="OC1562" s="4"/>
      <c r="OD1562" s="6"/>
    </row>
    <row r="1563" spans="1:394" x14ac:dyDescent="0.25">
      <c r="A1563" s="47"/>
      <c r="B1563" s="48"/>
      <c r="C1563" s="133"/>
      <c r="D1563" s="133"/>
      <c r="E1563" s="133"/>
      <c r="F1563" s="133"/>
      <c r="G1563" s="133"/>
      <c r="H1563" s="133"/>
      <c r="I1563" s="133"/>
      <c r="J1563" s="133"/>
      <c r="K1563" s="133"/>
      <c r="L1563" s="133"/>
      <c r="NW1563" s="6"/>
      <c r="NX1563" s="6"/>
      <c r="NY1563" s="6"/>
      <c r="NZ1563" s="6"/>
      <c r="OA1563" s="6"/>
      <c r="OB1563" s="46"/>
      <c r="OC1563" s="4"/>
      <c r="OD1563" s="6"/>
    </row>
    <row r="1564" spans="1:394" x14ac:dyDescent="0.25">
      <c r="A1564" s="47"/>
      <c r="B1564" s="48"/>
      <c r="C1564" s="133"/>
      <c r="D1564" s="133"/>
      <c r="E1564" s="133"/>
      <c r="F1564" s="133"/>
      <c r="G1564" s="133"/>
      <c r="H1564" s="133"/>
      <c r="I1564" s="133"/>
      <c r="J1564" s="133"/>
      <c r="K1564" s="133"/>
      <c r="L1564" s="133"/>
      <c r="NW1564" s="6"/>
      <c r="NX1564" s="6"/>
      <c r="NY1564" s="6"/>
      <c r="NZ1564" s="6"/>
      <c r="OA1564" s="6"/>
      <c r="OB1564" s="46"/>
      <c r="OC1564" s="4"/>
      <c r="OD1564" s="6"/>
    </row>
    <row r="1565" spans="1:394" x14ac:dyDescent="0.25">
      <c r="A1565" s="47"/>
      <c r="B1565" s="48"/>
      <c r="C1565" s="133"/>
      <c r="D1565" s="133"/>
      <c r="E1565" s="133"/>
      <c r="F1565" s="133"/>
      <c r="G1565" s="133"/>
      <c r="H1565" s="133"/>
      <c r="I1565" s="133"/>
      <c r="J1565" s="133"/>
      <c r="K1565" s="133"/>
      <c r="L1565" s="133"/>
      <c r="NW1565" s="6"/>
      <c r="NX1565" s="6"/>
      <c r="NY1565" s="6"/>
      <c r="NZ1565" s="6"/>
      <c r="OA1565" s="6"/>
      <c r="OB1565" s="46"/>
      <c r="OC1565" s="4"/>
      <c r="OD1565" s="6"/>
    </row>
    <row r="1566" spans="1:394" x14ac:dyDescent="0.25">
      <c r="A1566" s="47"/>
      <c r="B1566" s="48"/>
      <c r="C1566" s="133"/>
      <c r="D1566" s="133"/>
      <c r="E1566" s="133"/>
      <c r="F1566" s="133"/>
      <c r="G1566" s="133"/>
      <c r="H1566" s="133"/>
      <c r="I1566" s="133"/>
      <c r="J1566" s="133"/>
      <c r="K1566" s="133"/>
      <c r="L1566" s="133"/>
      <c r="NW1566" s="6"/>
      <c r="NX1566" s="6"/>
      <c r="NY1566" s="6"/>
      <c r="NZ1566" s="6"/>
      <c r="OA1566" s="6"/>
      <c r="OB1566" s="46"/>
      <c r="OC1566" s="4"/>
      <c r="OD1566" s="6"/>
    </row>
    <row r="1567" spans="1:394" x14ac:dyDescent="0.25">
      <c r="A1567" s="47"/>
      <c r="B1567" s="48"/>
      <c r="C1567" s="133"/>
      <c r="D1567" s="133"/>
      <c r="E1567" s="133"/>
      <c r="F1567" s="133"/>
      <c r="G1567" s="133"/>
      <c r="H1567" s="133"/>
      <c r="I1567" s="133"/>
      <c r="J1567" s="133"/>
      <c r="K1567" s="133"/>
      <c r="L1567" s="133"/>
      <c r="NW1567" s="6"/>
      <c r="NX1567" s="6"/>
      <c r="NY1567" s="6"/>
      <c r="NZ1567" s="6"/>
      <c r="OA1567" s="6"/>
      <c r="OB1567" s="46"/>
      <c r="OC1567" s="4"/>
      <c r="OD1567" s="6"/>
    </row>
    <row r="1568" spans="1:394" x14ac:dyDescent="0.25">
      <c r="A1568" s="47"/>
      <c r="B1568" s="48"/>
      <c r="C1568" s="133"/>
      <c r="D1568" s="133"/>
      <c r="E1568" s="133"/>
      <c r="F1568" s="133"/>
      <c r="G1568" s="133"/>
      <c r="H1568" s="133"/>
      <c r="I1568" s="133"/>
      <c r="J1568" s="133"/>
      <c r="K1568" s="133"/>
      <c r="L1568" s="133"/>
      <c r="NW1568" s="6"/>
      <c r="NX1568" s="6"/>
      <c r="NY1568" s="6"/>
      <c r="NZ1568" s="6"/>
      <c r="OA1568" s="6"/>
      <c r="OB1568" s="46"/>
      <c r="OC1568" s="4"/>
      <c r="OD1568" s="6"/>
    </row>
    <row r="1569" spans="1:394" x14ac:dyDescent="0.25">
      <c r="A1569" s="47"/>
      <c r="B1569" s="48"/>
      <c r="C1569" s="133"/>
      <c r="D1569" s="133"/>
      <c r="E1569" s="133"/>
      <c r="F1569" s="133"/>
      <c r="G1569" s="133"/>
      <c r="H1569" s="133"/>
      <c r="I1569" s="133"/>
      <c r="J1569" s="133"/>
      <c r="K1569" s="133"/>
      <c r="L1569" s="133"/>
      <c r="NW1569" s="6"/>
      <c r="NX1569" s="6"/>
      <c r="NY1569" s="6"/>
      <c r="NZ1569" s="6"/>
      <c r="OA1569" s="6"/>
      <c r="OB1569" s="46"/>
      <c r="OC1569" s="4"/>
      <c r="OD1569" s="6"/>
    </row>
    <row r="1570" spans="1:394" x14ac:dyDescent="0.25">
      <c r="A1570" s="47"/>
      <c r="B1570" s="48"/>
      <c r="C1570" s="133"/>
      <c r="D1570" s="133"/>
      <c r="E1570" s="133"/>
      <c r="F1570" s="133"/>
      <c r="G1570" s="133"/>
      <c r="H1570" s="133"/>
      <c r="I1570" s="133"/>
      <c r="J1570" s="133"/>
      <c r="K1570" s="133"/>
      <c r="L1570" s="133"/>
      <c r="NW1570" s="6"/>
      <c r="NX1570" s="6"/>
      <c r="NY1570" s="6"/>
      <c r="NZ1570" s="6"/>
      <c r="OA1570" s="6"/>
      <c r="OB1570" s="46"/>
      <c r="OC1570" s="4"/>
      <c r="OD1570" s="6"/>
    </row>
    <row r="1571" spans="1:394" x14ac:dyDescent="0.25">
      <c r="A1571" s="47"/>
      <c r="B1571" s="48"/>
      <c r="C1571" s="133"/>
      <c r="D1571" s="133"/>
      <c r="E1571" s="133"/>
      <c r="F1571" s="133"/>
      <c r="G1571" s="133"/>
      <c r="H1571" s="133"/>
      <c r="I1571" s="133"/>
      <c r="J1571" s="133"/>
      <c r="K1571" s="133"/>
      <c r="L1571" s="133"/>
      <c r="NW1571" s="6"/>
      <c r="NX1571" s="6"/>
      <c r="NY1571" s="6"/>
      <c r="NZ1571" s="6"/>
      <c r="OA1571" s="6"/>
      <c r="OB1571" s="46"/>
      <c r="OC1571" s="4"/>
      <c r="OD1571" s="6"/>
    </row>
    <row r="1572" spans="1:394" x14ac:dyDescent="0.25">
      <c r="A1572" s="47"/>
      <c r="B1572" s="48"/>
      <c r="C1572" s="133"/>
      <c r="D1572" s="133"/>
      <c r="E1572" s="133"/>
      <c r="F1572" s="133"/>
      <c r="G1572" s="133"/>
      <c r="H1572" s="133"/>
      <c r="I1572" s="133"/>
      <c r="J1572" s="133"/>
      <c r="K1572" s="133"/>
      <c r="L1572" s="133"/>
      <c r="NW1572" s="6"/>
      <c r="NX1572" s="6"/>
      <c r="NY1572" s="6"/>
      <c r="NZ1572" s="6"/>
      <c r="OA1572" s="6"/>
      <c r="OB1572" s="46"/>
      <c r="OC1572" s="4"/>
      <c r="OD1572" s="6"/>
    </row>
    <row r="1573" spans="1:394" x14ac:dyDescent="0.25">
      <c r="A1573" s="47"/>
      <c r="B1573" s="48"/>
      <c r="C1573" s="133"/>
      <c r="D1573" s="133"/>
      <c r="E1573" s="133"/>
      <c r="F1573" s="133"/>
      <c r="G1573" s="133"/>
      <c r="H1573" s="133"/>
      <c r="I1573" s="133"/>
      <c r="J1573" s="133"/>
      <c r="K1573" s="133"/>
      <c r="L1573" s="133"/>
      <c r="NW1573" s="6"/>
      <c r="NX1573" s="6"/>
      <c r="NY1573" s="6"/>
      <c r="NZ1573" s="6"/>
      <c r="OA1573" s="6"/>
      <c r="OB1573" s="46"/>
      <c r="OC1573" s="4"/>
      <c r="OD1573" s="6"/>
    </row>
    <row r="1574" spans="1:394" x14ac:dyDescent="0.25">
      <c r="A1574" s="47"/>
      <c r="B1574" s="48"/>
      <c r="C1574" s="133"/>
      <c r="D1574" s="133"/>
      <c r="E1574" s="133"/>
      <c r="F1574" s="133"/>
      <c r="G1574" s="133"/>
      <c r="H1574" s="133"/>
      <c r="I1574" s="133"/>
      <c r="J1574" s="133"/>
      <c r="K1574" s="133"/>
      <c r="L1574" s="133"/>
      <c r="NW1574" s="6"/>
      <c r="NX1574" s="6"/>
      <c r="NY1574" s="6"/>
      <c r="NZ1574" s="6"/>
      <c r="OA1574" s="6"/>
      <c r="OB1574" s="46"/>
      <c r="OC1574" s="4"/>
      <c r="OD1574" s="6"/>
    </row>
    <row r="1575" spans="1:394" x14ac:dyDescent="0.25">
      <c r="A1575" s="47"/>
      <c r="B1575" s="48"/>
      <c r="C1575" s="133"/>
      <c r="D1575" s="133"/>
      <c r="E1575" s="133"/>
      <c r="F1575" s="133"/>
      <c r="G1575" s="133"/>
      <c r="H1575" s="133"/>
      <c r="I1575" s="133"/>
      <c r="J1575" s="133"/>
      <c r="K1575" s="133"/>
      <c r="L1575" s="133"/>
      <c r="NW1575" s="6"/>
      <c r="NX1575" s="6"/>
      <c r="NY1575" s="6"/>
      <c r="NZ1575" s="6"/>
      <c r="OA1575" s="6"/>
      <c r="OB1575" s="46"/>
      <c r="OC1575" s="4"/>
      <c r="OD1575" s="6"/>
    </row>
    <row r="1576" spans="1:394" x14ac:dyDescent="0.25">
      <c r="A1576" s="47"/>
      <c r="B1576" s="48"/>
      <c r="C1576" s="133"/>
      <c r="D1576" s="133"/>
      <c r="E1576" s="133"/>
      <c r="F1576" s="133"/>
      <c r="G1576" s="133"/>
      <c r="H1576" s="133"/>
      <c r="I1576" s="133"/>
      <c r="J1576" s="133"/>
      <c r="K1576" s="133"/>
      <c r="L1576" s="133"/>
      <c r="NW1576" s="6"/>
      <c r="NX1576" s="6"/>
      <c r="NY1576" s="6"/>
      <c r="NZ1576" s="6"/>
      <c r="OA1576" s="6"/>
      <c r="OB1576" s="46"/>
      <c r="OC1576" s="4"/>
      <c r="OD1576" s="6"/>
    </row>
    <row r="1577" spans="1:394" x14ac:dyDescent="0.25">
      <c r="A1577" s="47"/>
      <c r="B1577" s="48"/>
      <c r="C1577" s="133"/>
      <c r="D1577" s="133"/>
      <c r="E1577" s="133"/>
      <c r="F1577" s="133"/>
      <c r="G1577" s="133"/>
      <c r="H1577" s="133"/>
      <c r="I1577" s="133"/>
      <c r="J1577" s="133"/>
      <c r="K1577" s="133"/>
      <c r="L1577" s="133"/>
      <c r="NW1577" s="6"/>
      <c r="NX1577" s="6"/>
      <c r="NY1577" s="6"/>
      <c r="NZ1577" s="6"/>
      <c r="OA1577" s="6"/>
      <c r="OB1577" s="46"/>
      <c r="OC1577" s="4"/>
      <c r="OD1577" s="6"/>
    </row>
    <row r="1578" spans="1:394" x14ac:dyDescent="0.25">
      <c r="A1578" s="47"/>
      <c r="B1578" s="48"/>
      <c r="C1578" s="133"/>
      <c r="D1578" s="133"/>
      <c r="E1578" s="133"/>
      <c r="F1578" s="133"/>
      <c r="G1578" s="133"/>
      <c r="H1578" s="133"/>
      <c r="I1578" s="133"/>
      <c r="J1578" s="133"/>
      <c r="K1578" s="133"/>
      <c r="L1578" s="133"/>
      <c r="NW1578" s="6"/>
      <c r="NX1578" s="6"/>
      <c r="NY1578" s="6"/>
      <c r="NZ1578" s="6"/>
      <c r="OA1578" s="6"/>
      <c r="OB1578" s="46"/>
      <c r="OC1578" s="4"/>
      <c r="OD1578" s="6"/>
    </row>
    <row r="1579" spans="1:394" x14ac:dyDescent="0.25">
      <c r="A1579" s="47"/>
      <c r="B1579" s="48"/>
      <c r="C1579" s="133"/>
      <c r="D1579" s="133"/>
      <c r="E1579" s="133"/>
      <c r="F1579" s="133"/>
      <c r="G1579" s="133"/>
      <c r="H1579" s="133"/>
      <c r="I1579" s="133"/>
      <c r="J1579" s="133"/>
      <c r="K1579" s="133"/>
      <c r="L1579" s="133"/>
      <c r="NW1579" s="6"/>
      <c r="NX1579" s="6"/>
      <c r="NY1579" s="6"/>
      <c r="NZ1579" s="6"/>
      <c r="OA1579" s="6"/>
      <c r="OB1579" s="46"/>
      <c r="OC1579" s="4"/>
      <c r="OD1579" s="6"/>
    </row>
    <row r="1580" spans="1:394" x14ac:dyDescent="0.25">
      <c r="A1580" s="47"/>
      <c r="B1580" s="48"/>
      <c r="C1580" s="133"/>
      <c r="D1580" s="133"/>
      <c r="E1580" s="133"/>
      <c r="F1580" s="133"/>
      <c r="G1580" s="133"/>
      <c r="H1580" s="133"/>
      <c r="I1580" s="133"/>
      <c r="J1580" s="133"/>
      <c r="K1580" s="133"/>
      <c r="L1580" s="133"/>
      <c r="NW1580" s="6"/>
      <c r="NX1580" s="6"/>
      <c r="NY1580" s="6"/>
      <c r="NZ1580" s="6"/>
      <c r="OA1580" s="6"/>
      <c r="OB1580" s="46"/>
      <c r="OC1580" s="4"/>
      <c r="OD1580" s="6"/>
    </row>
    <row r="1581" spans="1:394" x14ac:dyDescent="0.25">
      <c r="A1581" s="47"/>
      <c r="B1581" s="48"/>
      <c r="C1581" s="133"/>
      <c r="D1581" s="133"/>
      <c r="E1581" s="133"/>
      <c r="F1581" s="133"/>
      <c r="G1581" s="133"/>
      <c r="H1581" s="133"/>
      <c r="I1581" s="133"/>
      <c r="J1581" s="133"/>
      <c r="K1581" s="133"/>
      <c r="L1581" s="133"/>
      <c r="NW1581" s="6"/>
      <c r="NX1581" s="6"/>
      <c r="NY1581" s="6"/>
      <c r="NZ1581" s="6"/>
      <c r="OA1581" s="6"/>
      <c r="OB1581" s="46"/>
      <c r="OC1581" s="4"/>
      <c r="OD1581" s="6"/>
    </row>
    <row r="1582" spans="1:394" x14ac:dyDescent="0.25">
      <c r="A1582" s="47"/>
      <c r="B1582" s="48"/>
      <c r="C1582" s="133"/>
      <c r="D1582" s="133"/>
      <c r="E1582" s="133"/>
      <c r="F1582" s="133"/>
      <c r="G1582" s="133"/>
      <c r="H1582" s="133"/>
      <c r="I1582" s="133"/>
      <c r="J1582" s="133"/>
      <c r="K1582" s="133"/>
      <c r="L1582" s="133"/>
      <c r="NW1582" s="6"/>
      <c r="NX1582" s="6"/>
      <c r="NY1582" s="6"/>
      <c r="NZ1582" s="6"/>
      <c r="OA1582" s="6"/>
      <c r="OB1582" s="46"/>
      <c r="OC1582" s="4"/>
      <c r="OD1582" s="6"/>
    </row>
    <row r="1583" spans="1:394" x14ac:dyDescent="0.25">
      <c r="A1583" s="47"/>
      <c r="B1583" s="48"/>
      <c r="C1583" s="133"/>
      <c r="D1583" s="133"/>
      <c r="E1583" s="133"/>
      <c r="F1583" s="133"/>
      <c r="G1583" s="133"/>
      <c r="H1583" s="133"/>
      <c r="I1583" s="133"/>
      <c r="J1583" s="133"/>
      <c r="K1583" s="133"/>
      <c r="L1583" s="133"/>
      <c r="NW1583" s="6"/>
      <c r="NX1583" s="6"/>
      <c r="NY1583" s="6"/>
      <c r="NZ1583" s="6"/>
      <c r="OA1583" s="6"/>
      <c r="OB1583" s="46"/>
      <c r="OC1583" s="4"/>
      <c r="OD1583" s="6"/>
    </row>
    <row r="1584" spans="1:394" x14ac:dyDescent="0.25">
      <c r="A1584" s="47"/>
      <c r="B1584" s="48"/>
      <c r="C1584" s="133"/>
      <c r="D1584" s="133"/>
      <c r="E1584" s="133"/>
      <c r="F1584" s="133"/>
      <c r="G1584" s="133"/>
      <c r="H1584" s="133"/>
      <c r="I1584" s="133"/>
      <c r="J1584" s="133"/>
      <c r="K1584" s="133"/>
      <c r="L1584" s="133"/>
      <c r="NW1584" s="6"/>
      <c r="NX1584" s="6"/>
      <c r="NY1584" s="6"/>
      <c r="NZ1584" s="6"/>
      <c r="OA1584" s="6"/>
      <c r="OB1584" s="46"/>
      <c r="OC1584" s="4"/>
      <c r="OD1584" s="6"/>
    </row>
    <row r="1585" spans="1:394" x14ac:dyDescent="0.25">
      <c r="A1585" s="47"/>
      <c r="B1585" s="48"/>
      <c r="C1585" s="133"/>
      <c r="D1585" s="133"/>
      <c r="E1585" s="133"/>
      <c r="F1585" s="133"/>
      <c r="G1585" s="133"/>
      <c r="H1585" s="133"/>
      <c r="I1585" s="133"/>
      <c r="J1585" s="133"/>
      <c r="K1585" s="133"/>
      <c r="L1585" s="133"/>
      <c r="NW1585" s="6"/>
      <c r="NX1585" s="6"/>
      <c r="NY1585" s="6"/>
      <c r="NZ1585" s="6"/>
      <c r="OA1585" s="6"/>
      <c r="OB1585" s="46"/>
      <c r="OC1585" s="4"/>
      <c r="OD1585" s="6"/>
    </row>
    <row r="1586" spans="1:394" x14ac:dyDescent="0.25">
      <c r="A1586" s="47"/>
      <c r="B1586" s="48"/>
      <c r="C1586" s="133"/>
      <c r="D1586" s="133"/>
      <c r="E1586" s="133"/>
      <c r="F1586" s="133"/>
      <c r="G1586" s="133"/>
      <c r="H1586" s="133"/>
      <c r="I1586" s="133"/>
      <c r="J1586" s="133"/>
      <c r="K1586" s="133"/>
      <c r="L1586" s="133"/>
      <c r="NW1586" s="6"/>
      <c r="NX1586" s="6"/>
      <c r="NY1586" s="6"/>
      <c r="NZ1586" s="6"/>
      <c r="OA1586" s="6"/>
      <c r="OB1586" s="46"/>
      <c r="OC1586" s="4"/>
      <c r="OD1586" s="6"/>
    </row>
    <row r="1587" spans="1:394" x14ac:dyDescent="0.25">
      <c r="A1587" s="47"/>
      <c r="B1587" s="48"/>
      <c r="C1587" s="133"/>
      <c r="D1587" s="133"/>
      <c r="E1587" s="133"/>
      <c r="F1587" s="133"/>
      <c r="G1587" s="133"/>
      <c r="H1587" s="133"/>
      <c r="I1587" s="133"/>
      <c r="J1587" s="133"/>
      <c r="K1587" s="133"/>
      <c r="L1587" s="133"/>
      <c r="NW1587" s="6"/>
      <c r="NX1587" s="6"/>
      <c r="NY1587" s="6"/>
      <c r="NZ1587" s="6"/>
      <c r="OA1587" s="6"/>
      <c r="OB1587" s="46"/>
      <c r="OC1587" s="4"/>
      <c r="OD1587" s="6"/>
    </row>
    <row r="1588" spans="1:394" x14ac:dyDescent="0.25">
      <c r="A1588" s="47"/>
      <c r="B1588" s="48"/>
      <c r="C1588" s="133"/>
      <c r="D1588" s="133"/>
      <c r="E1588" s="133"/>
      <c r="F1588" s="133"/>
      <c r="G1588" s="133"/>
      <c r="H1588" s="133"/>
      <c r="I1588" s="133"/>
      <c r="J1588" s="133"/>
      <c r="K1588" s="133"/>
      <c r="L1588" s="133"/>
      <c r="NW1588" s="6"/>
      <c r="NX1588" s="6"/>
      <c r="NY1588" s="6"/>
      <c r="NZ1588" s="6"/>
      <c r="OA1588" s="6"/>
      <c r="OB1588" s="46"/>
      <c r="OC1588" s="4"/>
      <c r="OD1588" s="6"/>
    </row>
    <row r="1589" spans="1:394" x14ac:dyDescent="0.25">
      <c r="A1589" s="47"/>
      <c r="B1589" s="48"/>
      <c r="C1589" s="133"/>
      <c r="D1589" s="133"/>
      <c r="E1589" s="133"/>
      <c r="F1589" s="133"/>
      <c r="G1589" s="133"/>
      <c r="H1589" s="133"/>
      <c r="I1589" s="133"/>
      <c r="J1589" s="133"/>
      <c r="K1589" s="133"/>
      <c r="L1589" s="133"/>
      <c r="NW1589" s="6"/>
      <c r="NX1589" s="6"/>
      <c r="NY1589" s="6"/>
      <c r="NZ1589" s="6"/>
      <c r="OA1589" s="6"/>
      <c r="OB1589" s="46"/>
      <c r="OC1589" s="4"/>
      <c r="OD1589" s="6"/>
    </row>
    <row r="1590" spans="1:394" x14ac:dyDescent="0.25">
      <c r="A1590" s="47"/>
      <c r="B1590" s="48"/>
      <c r="C1590" s="133"/>
      <c r="D1590" s="133"/>
      <c r="E1590" s="133"/>
      <c r="F1590" s="133"/>
      <c r="G1590" s="133"/>
      <c r="H1590" s="133"/>
      <c r="I1590" s="133"/>
      <c r="J1590" s="133"/>
      <c r="K1590" s="133"/>
      <c r="L1590" s="133"/>
      <c r="NW1590" s="6"/>
      <c r="NX1590" s="6"/>
      <c r="NY1590" s="6"/>
      <c r="NZ1590" s="6"/>
      <c r="OA1590" s="6"/>
      <c r="OB1590" s="46"/>
      <c r="OC1590" s="4"/>
      <c r="OD1590" s="6"/>
    </row>
    <row r="1591" spans="1:394" x14ac:dyDescent="0.25">
      <c r="A1591" s="47"/>
      <c r="B1591" s="48"/>
      <c r="C1591" s="133"/>
      <c r="D1591" s="133"/>
      <c r="E1591" s="133"/>
      <c r="F1591" s="133"/>
      <c r="G1591" s="133"/>
      <c r="H1591" s="133"/>
      <c r="I1591" s="133"/>
      <c r="J1591" s="133"/>
      <c r="K1591" s="133"/>
      <c r="L1591" s="133"/>
      <c r="NW1591" s="6"/>
      <c r="NX1591" s="6"/>
      <c r="NY1591" s="6"/>
      <c r="NZ1591" s="6"/>
      <c r="OA1591" s="6"/>
      <c r="OB1591" s="46"/>
      <c r="OC1591" s="4"/>
      <c r="OD1591" s="6"/>
    </row>
    <row r="1592" spans="1:394" x14ac:dyDescent="0.25">
      <c r="A1592" s="47"/>
      <c r="B1592" s="48"/>
      <c r="C1592" s="133"/>
      <c r="D1592" s="133"/>
      <c r="E1592" s="133"/>
      <c r="F1592" s="133"/>
      <c r="G1592" s="133"/>
      <c r="H1592" s="133"/>
      <c r="I1592" s="133"/>
      <c r="J1592" s="133"/>
      <c r="K1592" s="133"/>
      <c r="L1592" s="133"/>
      <c r="NW1592" s="6"/>
      <c r="NX1592" s="6"/>
      <c r="NY1592" s="6"/>
      <c r="NZ1592" s="6"/>
      <c r="OA1592" s="6"/>
      <c r="OB1592" s="46"/>
      <c r="OC1592" s="4"/>
      <c r="OD1592" s="6"/>
    </row>
    <row r="1593" spans="1:394" x14ac:dyDescent="0.25">
      <c r="A1593" s="47"/>
      <c r="B1593" s="48"/>
      <c r="C1593" s="133"/>
      <c r="D1593" s="133"/>
      <c r="E1593" s="133"/>
      <c r="F1593" s="133"/>
      <c r="G1593" s="133"/>
      <c r="H1593" s="133"/>
      <c r="I1593" s="133"/>
      <c r="J1593" s="133"/>
      <c r="K1593" s="133"/>
      <c r="L1593" s="133"/>
      <c r="NW1593" s="6"/>
      <c r="NX1593" s="6"/>
      <c r="NY1593" s="6"/>
      <c r="NZ1593" s="6"/>
      <c r="OA1593" s="6"/>
      <c r="OB1593" s="46"/>
      <c r="OC1593" s="4"/>
      <c r="OD1593" s="6"/>
    </row>
    <row r="1594" spans="1:394" x14ac:dyDescent="0.25">
      <c r="A1594" s="47"/>
      <c r="B1594" s="48"/>
      <c r="C1594" s="133"/>
      <c r="D1594" s="133"/>
      <c r="E1594" s="133"/>
      <c r="F1594" s="133"/>
      <c r="G1594" s="133"/>
      <c r="H1594" s="133"/>
      <c r="I1594" s="133"/>
      <c r="J1594" s="133"/>
      <c r="K1594" s="133"/>
      <c r="L1594" s="133"/>
      <c r="NW1594" s="6"/>
      <c r="NX1594" s="6"/>
      <c r="NY1594" s="6"/>
      <c r="NZ1594" s="6"/>
      <c r="OA1594" s="6"/>
      <c r="OB1594" s="46"/>
      <c r="OC1594" s="4"/>
      <c r="OD1594" s="6"/>
    </row>
    <row r="1595" spans="1:394" x14ac:dyDescent="0.25">
      <c r="A1595" s="47"/>
      <c r="B1595" s="48"/>
      <c r="C1595" s="133"/>
      <c r="D1595" s="133"/>
      <c r="E1595" s="133"/>
      <c r="F1595" s="133"/>
      <c r="G1595" s="133"/>
      <c r="H1595" s="133"/>
      <c r="I1595" s="133"/>
      <c r="J1595" s="133"/>
      <c r="K1595" s="133"/>
      <c r="L1595" s="133"/>
      <c r="NW1595" s="6"/>
      <c r="NX1595" s="6"/>
      <c r="NY1595" s="6"/>
      <c r="NZ1595" s="6"/>
      <c r="OA1595" s="6"/>
      <c r="OB1595" s="46"/>
      <c r="OC1595" s="4"/>
      <c r="OD1595" s="6"/>
    </row>
    <row r="1596" spans="1:394" x14ac:dyDescent="0.25">
      <c r="A1596" s="47"/>
      <c r="B1596" s="48"/>
      <c r="C1596" s="133"/>
      <c r="D1596" s="133"/>
      <c r="E1596" s="133"/>
      <c r="F1596" s="133"/>
      <c r="G1596" s="133"/>
      <c r="H1596" s="133"/>
      <c r="I1596" s="133"/>
      <c r="J1596" s="133"/>
      <c r="K1596" s="133"/>
      <c r="L1596" s="133"/>
      <c r="NW1596" s="6"/>
      <c r="NX1596" s="6"/>
      <c r="NY1596" s="6"/>
      <c r="NZ1596" s="6"/>
      <c r="OA1596" s="6"/>
      <c r="OB1596" s="46"/>
      <c r="OC1596" s="4"/>
      <c r="OD1596" s="6"/>
    </row>
    <row r="1597" spans="1:394" x14ac:dyDescent="0.25">
      <c r="A1597" s="47"/>
      <c r="B1597" s="48"/>
      <c r="C1597" s="133"/>
      <c r="D1597" s="133"/>
      <c r="E1597" s="133"/>
      <c r="F1597" s="133"/>
      <c r="G1597" s="133"/>
      <c r="H1597" s="133"/>
      <c r="I1597" s="133"/>
      <c r="J1597" s="133"/>
      <c r="K1597" s="133"/>
      <c r="L1597" s="133"/>
      <c r="NW1597" s="6"/>
      <c r="NX1597" s="6"/>
      <c r="NY1597" s="6"/>
      <c r="NZ1597" s="6"/>
      <c r="OA1597" s="6"/>
      <c r="OB1597" s="46"/>
      <c r="OC1597" s="4"/>
      <c r="OD1597" s="6"/>
    </row>
    <row r="1598" spans="1:394" x14ac:dyDescent="0.25">
      <c r="A1598" s="47"/>
      <c r="B1598" s="48"/>
      <c r="C1598" s="133"/>
      <c r="D1598" s="133"/>
      <c r="E1598" s="133"/>
      <c r="F1598" s="133"/>
      <c r="G1598" s="133"/>
      <c r="H1598" s="133"/>
      <c r="I1598" s="133"/>
      <c r="J1598" s="133"/>
      <c r="K1598" s="133"/>
      <c r="L1598" s="133"/>
      <c r="NW1598" s="6"/>
      <c r="NX1598" s="6"/>
      <c r="NY1598" s="6"/>
      <c r="NZ1598" s="6"/>
      <c r="OA1598" s="6"/>
      <c r="OB1598" s="46"/>
      <c r="OC1598" s="4"/>
      <c r="OD1598" s="6"/>
    </row>
    <row r="1599" spans="1:394" x14ac:dyDescent="0.25">
      <c r="A1599" s="47"/>
      <c r="B1599" s="48"/>
      <c r="C1599" s="133"/>
      <c r="D1599" s="133"/>
      <c r="E1599" s="133"/>
      <c r="F1599" s="133"/>
      <c r="G1599" s="133"/>
      <c r="H1599" s="133"/>
      <c r="I1599" s="133"/>
      <c r="J1599" s="133"/>
      <c r="K1599" s="133"/>
      <c r="L1599" s="133"/>
      <c r="NW1599" s="6"/>
      <c r="NX1599" s="6"/>
      <c r="NY1599" s="6"/>
      <c r="NZ1599" s="6"/>
      <c r="OA1599" s="6"/>
      <c r="OB1599" s="46"/>
      <c r="OC1599" s="4"/>
      <c r="OD1599" s="6"/>
    </row>
    <row r="1600" spans="1:394" x14ac:dyDescent="0.25">
      <c r="A1600" s="47"/>
      <c r="B1600" s="48"/>
      <c r="C1600" s="133"/>
      <c r="D1600" s="133"/>
      <c r="E1600" s="133"/>
      <c r="F1600" s="133"/>
      <c r="G1600" s="133"/>
      <c r="H1600" s="133"/>
      <c r="I1600" s="133"/>
      <c r="J1600" s="133"/>
      <c r="K1600" s="133"/>
      <c r="L1600" s="133"/>
      <c r="NW1600" s="6"/>
      <c r="NX1600" s="6"/>
      <c r="NY1600" s="6"/>
      <c r="NZ1600" s="6"/>
      <c r="OA1600" s="6"/>
      <c r="OB1600" s="46"/>
      <c r="OC1600" s="4"/>
      <c r="OD1600" s="6"/>
    </row>
    <row r="1601" spans="1:394" x14ac:dyDescent="0.25">
      <c r="A1601" s="47"/>
      <c r="B1601" s="48"/>
      <c r="C1601" s="133"/>
      <c r="D1601" s="133"/>
      <c r="E1601" s="133"/>
      <c r="F1601" s="133"/>
      <c r="G1601" s="133"/>
      <c r="H1601" s="133"/>
      <c r="I1601" s="133"/>
      <c r="J1601" s="133"/>
      <c r="K1601" s="133"/>
      <c r="L1601" s="133"/>
      <c r="NW1601" s="6"/>
      <c r="NX1601" s="6"/>
      <c r="NY1601" s="6"/>
      <c r="NZ1601" s="6"/>
      <c r="OA1601" s="6"/>
      <c r="OB1601" s="46"/>
      <c r="OC1601" s="4"/>
      <c r="OD1601" s="6"/>
    </row>
    <row r="1602" spans="1:394" x14ac:dyDescent="0.25">
      <c r="A1602" s="47"/>
      <c r="B1602" s="48"/>
      <c r="C1602" s="133"/>
      <c r="D1602" s="133"/>
      <c r="E1602" s="133"/>
      <c r="F1602" s="133"/>
      <c r="G1602" s="133"/>
      <c r="H1602" s="133"/>
      <c r="I1602" s="133"/>
      <c r="J1602" s="133"/>
      <c r="K1602" s="133"/>
      <c r="L1602" s="133"/>
      <c r="NW1602" s="6"/>
      <c r="NX1602" s="6"/>
      <c r="NY1602" s="6"/>
      <c r="NZ1602" s="6"/>
      <c r="OA1602" s="6"/>
      <c r="OB1602" s="46"/>
      <c r="OC1602" s="4"/>
      <c r="OD1602" s="6"/>
    </row>
    <row r="1603" spans="1:394" x14ac:dyDescent="0.25">
      <c r="A1603" s="47"/>
      <c r="B1603" s="48"/>
      <c r="C1603" s="133"/>
      <c r="D1603" s="133"/>
      <c r="E1603" s="133"/>
      <c r="F1603" s="133"/>
      <c r="G1603" s="133"/>
      <c r="H1603" s="133"/>
      <c r="I1603" s="133"/>
      <c r="J1603" s="133"/>
      <c r="K1603" s="133"/>
      <c r="L1603" s="133"/>
      <c r="NW1603" s="6"/>
      <c r="NX1603" s="6"/>
      <c r="NY1603" s="6"/>
      <c r="NZ1603" s="6"/>
      <c r="OA1603" s="6"/>
      <c r="OB1603" s="46"/>
      <c r="OC1603" s="4"/>
      <c r="OD1603" s="6"/>
    </row>
    <row r="1604" spans="1:394" x14ac:dyDescent="0.25">
      <c r="A1604" s="47"/>
      <c r="B1604" s="48"/>
      <c r="C1604" s="133"/>
      <c r="D1604" s="133"/>
      <c r="E1604" s="133"/>
      <c r="F1604" s="133"/>
      <c r="G1604" s="133"/>
      <c r="H1604" s="133"/>
      <c r="I1604" s="133"/>
      <c r="J1604" s="133"/>
      <c r="K1604" s="133"/>
      <c r="L1604" s="133"/>
      <c r="NW1604" s="6"/>
      <c r="NX1604" s="6"/>
      <c r="NY1604" s="6"/>
      <c r="NZ1604" s="6"/>
      <c r="OA1604" s="6"/>
      <c r="OB1604" s="46"/>
      <c r="OC1604" s="4"/>
      <c r="OD1604" s="6"/>
    </row>
    <row r="1605" spans="1:394" x14ac:dyDescent="0.25">
      <c r="A1605" s="47"/>
      <c r="B1605" s="48"/>
      <c r="C1605" s="133"/>
      <c r="D1605" s="133"/>
      <c r="E1605" s="133"/>
      <c r="F1605" s="133"/>
      <c r="G1605" s="133"/>
      <c r="H1605" s="133"/>
      <c r="I1605" s="133"/>
      <c r="J1605" s="133"/>
      <c r="K1605" s="133"/>
      <c r="L1605" s="133"/>
      <c r="NW1605" s="6"/>
      <c r="NX1605" s="6"/>
      <c r="NY1605" s="6"/>
      <c r="NZ1605" s="6"/>
      <c r="OA1605" s="6"/>
      <c r="OB1605" s="46"/>
      <c r="OC1605" s="4"/>
      <c r="OD1605" s="6"/>
    </row>
    <row r="1606" spans="1:394" x14ac:dyDescent="0.25">
      <c r="A1606" s="47"/>
      <c r="B1606" s="48"/>
      <c r="C1606" s="133"/>
      <c r="D1606" s="133"/>
      <c r="E1606" s="133"/>
      <c r="F1606" s="133"/>
      <c r="G1606" s="133"/>
      <c r="H1606" s="133"/>
      <c r="I1606" s="133"/>
      <c r="J1606" s="133"/>
      <c r="K1606" s="133"/>
      <c r="L1606" s="133"/>
      <c r="NW1606" s="6"/>
      <c r="NX1606" s="6"/>
      <c r="NY1606" s="6"/>
      <c r="NZ1606" s="6"/>
      <c r="OA1606" s="6"/>
      <c r="OB1606" s="46"/>
      <c r="OC1606" s="4"/>
      <c r="OD1606" s="6"/>
    </row>
    <row r="1607" spans="1:394" x14ac:dyDescent="0.25">
      <c r="A1607" s="47"/>
      <c r="B1607" s="48"/>
      <c r="C1607" s="133"/>
      <c r="D1607" s="133"/>
      <c r="E1607" s="133"/>
      <c r="F1607" s="133"/>
      <c r="G1607" s="133"/>
      <c r="H1607" s="133"/>
      <c r="I1607" s="133"/>
      <c r="J1607" s="133"/>
      <c r="K1607" s="133"/>
      <c r="L1607" s="133"/>
      <c r="NW1607" s="6"/>
      <c r="NX1607" s="6"/>
      <c r="NY1607" s="6"/>
      <c r="NZ1607" s="6"/>
      <c r="OA1607" s="6"/>
      <c r="OB1607" s="46"/>
      <c r="OC1607" s="4"/>
      <c r="OD1607" s="6"/>
    </row>
    <row r="1608" spans="1:394" x14ac:dyDescent="0.25">
      <c r="A1608" s="47"/>
      <c r="B1608" s="48"/>
      <c r="C1608" s="133"/>
      <c r="D1608" s="133"/>
      <c r="E1608" s="133"/>
      <c r="F1608" s="133"/>
      <c r="G1608" s="133"/>
      <c r="H1608" s="133"/>
      <c r="I1608" s="133"/>
      <c r="J1608" s="133"/>
      <c r="K1608" s="133"/>
      <c r="L1608" s="133"/>
      <c r="NW1608" s="6"/>
      <c r="NX1608" s="6"/>
      <c r="NY1608" s="6"/>
      <c r="NZ1608" s="6"/>
      <c r="OA1608" s="6"/>
      <c r="OB1608" s="46"/>
      <c r="OC1608" s="4"/>
      <c r="OD1608" s="6"/>
    </row>
    <row r="1609" spans="1:394" x14ac:dyDescent="0.25">
      <c r="A1609" s="47"/>
      <c r="B1609" s="48"/>
      <c r="C1609" s="133"/>
      <c r="D1609" s="133"/>
      <c r="E1609" s="133"/>
      <c r="F1609" s="133"/>
      <c r="G1609" s="133"/>
      <c r="H1609" s="133"/>
      <c r="I1609" s="133"/>
      <c r="J1609" s="133"/>
      <c r="K1609" s="133"/>
      <c r="L1609" s="133"/>
      <c r="NW1609" s="6"/>
      <c r="NX1609" s="6"/>
      <c r="NY1609" s="6"/>
      <c r="NZ1609" s="6"/>
      <c r="OA1609" s="6"/>
      <c r="OB1609" s="46"/>
      <c r="OC1609" s="4"/>
      <c r="OD1609" s="6"/>
    </row>
    <row r="1610" spans="1:394" x14ac:dyDescent="0.25">
      <c r="A1610" s="47"/>
      <c r="B1610" s="48"/>
      <c r="C1610" s="133"/>
      <c r="D1610" s="133"/>
      <c r="E1610" s="133"/>
      <c r="F1610" s="133"/>
      <c r="G1610" s="133"/>
      <c r="H1610" s="133"/>
      <c r="I1610" s="133"/>
      <c r="J1610" s="133"/>
      <c r="K1610" s="133"/>
      <c r="L1610" s="133"/>
      <c r="NW1610" s="6"/>
      <c r="NX1610" s="6"/>
      <c r="NY1610" s="6"/>
      <c r="NZ1610" s="6"/>
      <c r="OA1610" s="6"/>
      <c r="OB1610" s="46"/>
      <c r="OC1610" s="4"/>
      <c r="OD1610" s="6"/>
    </row>
    <row r="1611" spans="1:394" x14ac:dyDescent="0.25">
      <c r="A1611" s="47"/>
      <c r="B1611" s="48"/>
      <c r="C1611" s="133"/>
      <c r="D1611" s="133"/>
      <c r="E1611" s="133"/>
      <c r="F1611" s="133"/>
      <c r="G1611" s="133"/>
      <c r="H1611" s="133"/>
      <c r="I1611" s="133"/>
      <c r="J1611" s="133"/>
      <c r="K1611" s="133"/>
      <c r="L1611" s="133"/>
      <c r="NW1611" s="6"/>
      <c r="NX1611" s="6"/>
      <c r="NY1611" s="6"/>
      <c r="NZ1611" s="6"/>
      <c r="OA1611" s="6"/>
      <c r="OB1611" s="46"/>
      <c r="OC1611" s="4"/>
      <c r="OD1611" s="6"/>
    </row>
    <row r="1612" spans="1:394" x14ac:dyDescent="0.25">
      <c r="A1612" s="47"/>
      <c r="B1612" s="48"/>
      <c r="C1612" s="133"/>
      <c r="D1612" s="133"/>
      <c r="E1612" s="133"/>
      <c r="F1612" s="133"/>
      <c r="G1612" s="133"/>
      <c r="H1612" s="133"/>
      <c r="I1612" s="133"/>
      <c r="J1612" s="133"/>
      <c r="K1612" s="133"/>
      <c r="L1612" s="133"/>
      <c r="NW1612" s="6"/>
      <c r="NX1612" s="6"/>
      <c r="NY1612" s="6"/>
      <c r="NZ1612" s="6"/>
      <c r="OA1612" s="6"/>
      <c r="OB1612" s="46"/>
      <c r="OC1612" s="4"/>
      <c r="OD1612" s="6"/>
    </row>
    <row r="1613" spans="1:394" x14ac:dyDescent="0.25">
      <c r="A1613" s="47"/>
      <c r="B1613" s="48"/>
      <c r="C1613" s="133"/>
      <c r="D1613" s="133"/>
      <c r="E1613" s="133"/>
      <c r="F1613" s="133"/>
      <c r="G1613" s="133"/>
      <c r="H1613" s="133"/>
      <c r="I1613" s="133"/>
      <c r="J1613" s="133"/>
      <c r="K1613" s="133"/>
      <c r="L1613" s="133"/>
      <c r="NW1613" s="6"/>
      <c r="NX1613" s="6"/>
      <c r="NY1613" s="6"/>
      <c r="NZ1613" s="6"/>
      <c r="OA1613" s="6"/>
      <c r="OB1613" s="46"/>
      <c r="OC1613" s="4"/>
      <c r="OD1613" s="6"/>
    </row>
    <row r="1614" spans="1:394" x14ac:dyDescent="0.25">
      <c r="A1614" s="47"/>
      <c r="B1614" s="48"/>
      <c r="C1614" s="133"/>
      <c r="D1614" s="133"/>
      <c r="E1614" s="133"/>
      <c r="F1614" s="133"/>
      <c r="G1614" s="133"/>
      <c r="H1614" s="133"/>
      <c r="I1614" s="133"/>
      <c r="J1614" s="133"/>
      <c r="K1614" s="133"/>
      <c r="L1614" s="133"/>
      <c r="NW1614" s="6"/>
      <c r="NX1614" s="6"/>
      <c r="NY1614" s="6"/>
      <c r="NZ1614" s="6"/>
      <c r="OA1614" s="6"/>
      <c r="OB1614" s="46"/>
      <c r="OC1614" s="4"/>
      <c r="OD1614" s="6"/>
    </row>
    <row r="1615" spans="1:394" x14ac:dyDescent="0.25">
      <c r="A1615" s="47"/>
      <c r="B1615" s="48"/>
      <c r="C1615" s="133"/>
      <c r="D1615" s="133"/>
      <c r="E1615" s="133"/>
      <c r="F1615" s="133"/>
      <c r="G1615" s="133"/>
      <c r="H1615" s="133"/>
      <c r="I1615" s="133"/>
      <c r="J1615" s="133"/>
      <c r="K1615" s="133"/>
      <c r="L1615" s="133"/>
      <c r="NW1615" s="6"/>
      <c r="NX1615" s="6"/>
      <c r="NY1615" s="6"/>
      <c r="NZ1615" s="6"/>
      <c r="OA1615" s="6"/>
      <c r="OB1615" s="46"/>
      <c r="OC1615" s="4"/>
      <c r="OD1615" s="6"/>
    </row>
    <row r="1616" spans="1:394" x14ac:dyDescent="0.25">
      <c r="A1616" s="47"/>
      <c r="B1616" s="48"/>
      <c r="C1616" s="133"/>
      <c r="D1616" s="133"/>
      <c r="E1616" s="133"/>
      <c r="F1616" s="133"/>
      <c r="G1616" s="133"/>
      <c r="H1616" s="133"/>
      <c r="I1616" s="133"/>
      <c r="J1616" s="133"/>
      <c r="K1616" s="133"/>
      <c r="L1616" s="133"/>
      <c r="NW1616" s="6"/>
      <c r="NX1616" s="6"/>
      <c r="NY1616" s="6"/>
      <c r="NZ1616" s="6"/>
      <c r="OA1616" s="6"/>
      <c r="OB1616" s="46"/>
      <c r="OC1616" s="4"/>
      <c r="OD1616" s="6"/>
    </row>
    <row r="1617" spans="1:394" x14ac:dyDescent="0.25">
      <c r="A1617" s="47"/>
      <c r="B1617" s="48"/>
      <c r="C1617" s="133"/>
      <c r="D1617" s="133"/>
      <c r="E1617" s="133"/>
      <c r="F1617" s="133"/>
      <c r="G1617" s="133"/>
      <c r="H1617" s="133"/>
      <c r="I1617" s="133"/>
      <c r="J1617" s="133"/>
      <c r="K1617" s="133"/>
      <c r="L1617" s="133"/>
      <c r="NW1617" s="6"/>
      <c r="NX1617" s="6"/>
      <c r="NY1617" s="6"/>
      <c r="NZ1617" s="6"/>
      <c r="OA1617" s="6"/>
      <c r="OB1617" s="46"/>
      <c r="OC1617" s="4"/>
      <c r="OD1617" s="6"/>
    </row>
    <row r="1618" spans="1:394" x14ac:dyDescent="0.25">
      <c r="A1618" s="47"/>
      <c r="B1618" s="48"/>
      <c r="C1618" s="133"/>
      <c r="D1618" s="133"/>
      <c r="E1618" s="133"/>
      <c r="F1618" s="133"/>
      <c r="G1618" s="133"/>
      <c r="H1618" s="133"/>
      <c r="I1618" s="133"/>
      <c r="J1618" s="133"/>
      <c r="K1618" s="133"/>
      <c r="L1618" s="133"/>
      <c r="NW1618" s="6"/>
      <c r="NX1618" s="6"/>
      <c r="NY1618" s="6"/>
      <c r="NZ1618" s="6"/>
      <c r="OA1618" s="6"/>
      <c r="OB1618" s="46"/>
      <c r="OC1618" s="4"/>
      <c r="OD1618" s="6"/>
    </row>
    <row r="1619" spans="1:394" x14ac:dyDescent="0.25">
      <c r="A1619" s="47"/>
      <c r="B1619" s="48"/>
      <c r="C1619" s="133"/>
      <c r="D1619" s="133"/>
      <c r="E1619" s="133"/>
      <c r="F1619" s="133"/>
      <c r="G1619" s="133"/>
      <c r="H1619" s="133"/>
      <c r="I1619" s="133"/>
      <c r="J1619" s="133"/>
      <c r="K1619" s="133"/>
      <c r="L1619" s="133"/>
      <c r="NW1619" s="6"/>
      <c r="NX1619" s="6"/>
      <c r="NY1619" s="6"/>
      <c r="NZ1619" s="6"/>
      <c r="OA1619" s="6"/>
      <c r="OB1619" s="46"/>
      <c r="OC1619" s="4"/>
      <c r="OD1619" s="6"/>
    </row>
    <row r="1620" spans="1:394" x14ac:dyDescent="0.25">
      <c r="A1620" s="47"/>
      <c r="B1620" s="48"/>
      <c r="C1620" s="133"/>
      <c r="D1620" s="133"/>
      <c r="E1620" s="133"/>
      <c r="F1620" s="133"/>
      <c r="G1620" s="133"/>
      <c r="H1620" s="133"/>
      <c r="I1620" s="133"/>
      <c r="J1620" s="133"/>
      <c r="K1620" s="133"/>
      <c r="L1620" s="133"/>
      <c r="NW1620" s="6"/>
      <c r="NX1620" s="6"/>
      <c r="NY1620" s="6"/>
      <c r="NZ1620" s="6"/>
      <c r="OA1620" s="6"/>
      <c r="OB1620" s="46"/>
      <c r="OC1620" s="4"/>
      <c r="OD1620" s="6"/>
    </row>
    <row r="1621" spans="1:394" x14ac:dyDescent="0.25">
      <c r="A1621" s="47"/>
      <c r="B1621" s="48"/>
      <c r="C1621" s="133"/>
      <c r="D1621" s="133"/>
      <c r="E1621" s="133"/>
      <c r="F1621" s="133"/>
      <c r="G1621" s="133"/>
      <c r="H1621" s="133"/>
      <c r="I1621" s="133"/>
      <c r="J1621" s="133"/>
      <c r="K1621" s="133"/>
      <c r="L1621" s="133"/>
      <c r="NW1621" s="6"/>
      <c r="NX1621" s="6"/>
      <c r="NY1621" s="6"/>
      <c r="NZ1621" s="6"/>
      <c r="OA1621" s="6"/>
      <c r="OB1621" s="46"/>
      <c r="OC1621" s="4"/>
      <c r="OD1621" s="6"/>
    </row>
    <row r="1622" spans="1:394" x14ac:dyDescent="0.25">
      <c r="A1622" s="47"/>
      <c r="B1622" s="48"/>
      <c r="C1622" s="133"/>
      <c r="D1622" s="133"/>
      <c r="E1622" s="133"/>
      <c r="F1622" s="133"/>
      <c r="G1622" s="133"/>
      <c r="H1622" s="133"/>
      <c r="I1622" s="133"/>
      <c r="J1622" s="133"/>
      <c r="K1622" s="133"/>
      <c r="L1622" s="133"/>
      <c r="NW1622" s="6"/>
      <c r="NX1622" s="6"/>
      <c r="NY1622" s="6"/>
      <c r="NZ1622" s="6"/>
      <c r="OA1622" s="6"/>
      <c r="OB1622" s="46"/>
      <c r="OC1622" s="4"/>
      <c r="OD1622" s="6"/>
    </row>
    <row r="1623" spans="1:394" x14ac:dyDescent="0.25">
      <c r="A1623" s="47"/>
      <c r="B1623" s="48"/>
      <c r="C1623" s="133"/>
      <c r="D1623" s="133"/>
      <c r="E1623" s="133"/>
      <c r="F1623" s="133"/>
      <c r="G1623" s="133"/>
      <c r="H1623" s="133"/>
      <c r="I1623" s="133"/>
      <c r="J1623" s="133"/>
      <c r="K1623" s="133"/>
      <c r="L1623" s="133"/>
      <c r="NW1623" s="6"/>
      <c r="NX1623" s="6"/>
      <c r="NY1623" s="6"/>
      <c r="NZ1623" s="6"/>
      <c r="OA1623" s="6"/>
      <c r="OB1623" s="46"/>
      <c r="OC1623" s="4"/>
      <c r="OD1623" s="6"/>
    </row>
    <row r="1624" spans="1:394" x14ac:dyDescent="0.25">
      <c r="A1624" s="47"/>
      <c r="B1624" s="48"/>
      <c r="C1624" s="133"/>
      <c r="D1624" s="133"/>
      <c r="E1624" s="133"/>
      <c r="F1624" s="133"/>
      <c r="G1624" s="133"/>
      <c r="H1624" s="133"/>
      <c r="I1624" s="133"/>
      <c r="J1624" s="133"/>
      <c r="K1624" s="133"/>
      <c r="L1624" s="133"/>
      <c r="NW1624" s="6"/>
      <c r="NX1624" s="6"/>
      <c r="NY1624" s="6"/>
      <c r="NZ1624" s="6"/>
      <c r="OA1624" s="6"/>
      <c r="OB1624" s="46"/>
      <c r="OC1624" s="4"/>
      <c r="OD1624" s="6"/>
    </row>
    <row r="1625" spans="1:394" x14ac:dyDescent="0.25">
      <c r="A1625" s="47"/>
      <c r="B1625" s="48"/>
      <c r="C1625" s="133"/>
      <c r="D1625" s="133"/>
      <c r="E1625" s="133"/>
      <c r="F1625" s="133"/>
      <c r="G1625" s="133"/>
      <c r="H1625" s="133"/>
      <c r="I1625" s="133"/>
      <c r="J1625" s="133"/>
      <c r="K1625" s="133"/>
      <c r="L1625" s="133"/>
      <c r="NW1625" s="6"/>
      <c r="NX1625" s="6"/>
      <c r="NY1625" s="6"/>
      <c r="NZ1625" s="6"/>
      <c r="OA1625" s="6"/>
      <c r="OB1625" s="46"/>
      <c r="OC1625" s="4"/>
      <c r="OD1625" s="6"/>
    </row>
    <row r="1626" spans="1:394" x14ac:dyDescent="0.25">
      <c r="A1626" s="47"/>
      <c r="B1626" s="48"/>
      <c r="C1626" s="133"/>
      <c r="D1626" s="133"/>
      <c r="E1626" s="133"/>
      <c r="F1626" s="133"/>
      <c r="G1626" s="133"/>
      <c r="H1626" s="133"/>
      <c r="I1626" s="133"/>
      <c r="J1626" s="133"/>
      <c r="K1626" s="133"/>
      <c r="L1626" s="133"/>
      <c r="NW1626" s="6"/>
      <c r="NX1626" s="6"/>
      <c r="NY1626" s="6"/>
      <c r="NZ1626" s="6"/>
      <c r="OA1626" s="6"/>
      <c r="OB1626" s="46"/>
      <c r="OC1626" s="4"/>
      <c r="OD1626" s="6"/>
    </row>
    <row r="1627" spans="1:394" x14ac:dyDescent="0.25">
      <c r="A1627" s="47"/>
      <c r="B1627" s="48"/>
      <c r="C1627" s="133"/>
      <c r="D1627" s="133"/>
      <c r="E1627" s="133"/>
      <c r="F1627" s="133"/>
      <c r="G1627" s="133"/>
      <c r="H1627" s="133"/>
      <c r="I1627" s="133"/>
      <c r="J1627" s="133"/>
      <c r="K1627" s="133"/>
      <c r="L1627" s="133"/>
      <c r="NW1627" s="6"/>
      <c r="NX1627" s="6"/>
      <c r="NY1627" s="6"/>
      <c r="NZ1627" s="6"/>
      <c r="OA1627" s="6"/>
      <c r="OB1627" s="46"/>
      <c r="OC1627" s="4"/>
      <c r="OD1627" s="6"/>
    </row>
    <row r="1628" spans="1:394" x14ac:dyDescent="0.25">
      <c r="A1628" s="47"/>
      <c r="B1628" s="48"/>
      <c r="C1628" s="133"/>
      <c r="D1628" s="133"/>
      <c r="E1628" s="133"/>
      <c r="F1628" s="133"/>
      <c r="G1628" s="133"/>
      <c r="H1628" s="133"/>
      <c r="I1628" s="133"/>
      <c r="J1628" s="133"/>
      <c r="K1628" s="133"/>
      <c r="L1628" s="133"/>
      <c r="NW1628" s="6"/>
      <c r="NX1628" s="6"/>
      <c r="NY1628" s="6"/>
      <c r="NZ1628" s="6"/>
      <c r="OA1628" s="6"/>
      <c r="OB1628" s="46"/>
      <c r="OC1628" s="4"/>
      <c r="OD1628" s="6"/>
    </row>
    <row r="1629" spans="1:394" x14ac:dyDescent="0.25">
      <c r="A1629" s="47"/>
      <c r="B1629" s="48"/>
      <c r="C1629" s="133"/>
      <c r="D1629" s="133"/>
      <c r="E1629" s="133"/>
      <c r="F1629" s="133"/>
      <c r="G1629" s="133"/>
      <c r="H1629" s="133"/>
      <c r="I1629" s="133"/>
      <c r="J1629" s="133"/>
      <c r="K1629" s="133"/>
      <c r="L1629" s="133"/>
      <c r="NW1629" s="6"/>
      <c r="NX1629" s="6"/>
      <c r="NY1629" s="6"/>
      <c r="NZ1629" s="6"/>
      <c r="OA1629" s="6"/>
      <c r="OB1629" s="46"/>
      <c r="OC1629" s="4"/>
      <c r="OD1629" s="6"/>
    </row>
    <row r="1630" spans="1:394" x14ac:dyDescent="0.25">
      <c r="A1630" s="47"/>
      <c r="B1630" s="48"/>
      <c r="C1630" s="133"/>
      <c r="D1630" s="133"/>
      <c r="E1630" s="133"/>
      <c r="F1630" s="133"/>
      <c r="G1630" s="133"/>
      <c r="H1630" s="133"/>
      <c r="I1630" s="133"/>
      <c r="J1630" s="133"/>
      <c r="K1630" s="133"/>
      <c r="L1630" s="133"/>
      <c r="NW1630" s="6"/>
      <c r="NX1630" s="6"/>
      <c r="NY1630" s="6"/>
      <c r="NZ1630" s="6"/>
      <c r="OA1630" s="6"/>
      <c r="OB1630" s="46"/>
      <c r="OC1630" s="4"/>
      <c r="OD1630" s="6"/>
    </row>
    <row r="1631" spans="1:394" x14ac:dyDescent="0.25">
      <c r="A1631" s="47"/>
      <c r="B1631" s="48"/>
      <c r="C1631" s="133"/>
      <c r="D1631" s="133"/>
      <c r="E1631" s="133"/>
      <c r="F1631" s="133"/>
      <c r="G1631" s="133"/>
      <c r="H1631" s="133"/>
      <c r="I1631" s="133"/>
      <c r="J1631" s="133"/>
      <c r="K1631" s="133"/>
      <c r="L1631" s="133"/>
      <c r="NW1631" s="6"/>
      <c r="NX1631" s="6"/>
      <c r="NY1631" s="6"/>
      <c r="NZ1631" s="6"/>
      <c r="OA1631" s="6"/>
      <c r="OB1631" s="46"/>
      <c r="OC1631" s="4"/>
      <c r="OD1631" s="6"/>
    </row>
    <row r="1632" spans="1:394" x14ac:dyDescent="0.25">
      <c r="A1632" s="47"/>
      <c r="B1632" s="48"/>
      <c r="C1632" s="133"/>
      <c r="D1632" s="133"/>
      <c r="E1632" s="133"/>
      <c r="F1632" s="133"/>
      <c r="G1632" s="133"/>
      <c r="H1632" s="133"/>
      <c r="I1632" s="133"/>
      <c r="J1632" s="133"/>
      <c r="K1632" s="133"/>
      <c r="L1632" s="133"/>
      <c r="NW1632" s="6"/>
      <c r="NX1632" s="6"/>
      <c r="NY1632" s="6"/>
      <c r="NZ1632" s="6"/>
      <c r="OA1632" s="6"/>
      <c r="OB1632" s="46"/>
      <c r="OC1632" s="4"/>
      <c r="OD1632" s="6"/>
    </row>
    <row r="1633" spans="1:394" x14ac:dyDescent="0.25">
      <c r="A1633" s="47"/>
      <c r="B1633" s="48"/>
      <c r="C1633" s="133"/>
      <c r="D1633" s="133"/>
      <c r="E1633" s="133"/>
      <c r="F1633" s="133"/>
      <c r="G1633" s="133"/>
      <c r="H1633" s="133"/>
      <c r="I1633" s="133"/>
      <c r="J1633" s="133"/>
      <c r="K1633" s="133"/>
      <c r="L1633" s="133"/>
      <c r="NW1633" s="6"/>
      <c r="NX1633" s="6"/>
      <c r="NY1633" s="6"/>
      <c r="NZ1633" s="6"/>
      <c r="OA1633" s="6"/>
      <c r="OB1633" s="46"/>
      <c r="OC1633" s="4"/>
      <c r="OD1633" s="6"/>
    </row>
    <row r="1634" spans="1:394" x14ac:dyDescent="0.25">
      <c r="A1634" s="47"/>
      <c r="B1634" s="48"/>
      <c r="C1634" s="133"/>
      <c r="D1634" s="133"/>
      <c r="E1634" s="133"/>
      <c r="F1634" s="133"/>
      <c r="G1634" s="133"/>
      <c r="H1634" s="133"/>
      <c r="I1634" s="133"/>
      <c r="J1634" s="133"/>
      <c r="K1634" s="133"/>
      <c r="L1634" s="133"/>
      <c r="NW1634" s="6"/>
      <c r="NX1634" s="6"/>
      <c r="NY1634" s="6"/>
      <c r="NZ1634" s="6"/>
      <c r="OA1634" s="6"/>
      <c r="OB1634" s="46"/>
      <c r="OC1634" s="4"/>
      <c r="OD1634" s="6"/>
    </row>
    <row r="1635" spans="1:394" x14ac:dyDescent="0.25">
      <c r="A1635" s="47"/>
      <c r="B1635" s="48"/>
      <c r="C1635" s="133"/>
      <c r="D1635" s="133"/>
      <c r="E1635" s="133"/>
      <c r="F1635" s="133"/>
      <c r="G1635" s="133"/>
      <c r="H1635" s="133"/>
      <c r="I1635" s="133"/>
      <c r="J1635" s="133"/>
      <c r="K1635" s="133"/>
      <c r="L1635" s="133"/>
      <c r="NW1635" s="6"/>
      <c r="NX1635" s="6"/>
      <c r="NY1635" s="6"/>
      <c r="NZ1635" s="6"/>
      <c r="OA1635" s="6"/>
      <c r="OB1635" s="46"/>
      <c r="OC1635" s="4"/>
      <c r="OD1635" s="6"/>
    </row>
    <row r="1636" spans="1:394" x14ac:dyDescent="0.25">
      <c r="A1636" s="47"/>
      <c r="B1636" s="48"/>
      <c r="C1636" s="133"/>
      <c r="D1636" s="133"/>
      <c r="E1636" s="133"/>
      <c r="F1636" s="133"/>
      <c r="G1636" s="133"/>
      <c r="H1636" s="133"/>
      <c r="I1636" s="133"/>
      <c r="J1636" s="133"/>
      <c r="K1636" s="133"/>
      <c r="L1636" s="133"/>
      <c r="NW1636" s="6"/>
      <c r="NX1636" s="6"/>
      <c r="NY1636" s="6"/>
      <c r="NZ1636" s="6"/>
      <c r="OA1636" s="6"/>
      <c r="OB1636" s="46"/>
      <c r="OC1636" s="4"/>
      <c r="OD1636" s="6"/>
    </row>
    <row r="1637" spans="1:394" x14ac:dyDescent="0.25">
      <c r="A1637" s="47"/>
      <c r="B1637" s="48"/>
      <c r="C1637" s="133"/>
      <c r="D1637" s="133"/>
      <c r="E1637" s="133"/>
      <c r="F1637" s="133"/>
      <c r="G1637" s="133"/>
      <c r="H1637" s="133"/>
      <c r="I1637" s="133"/>
      <c r="J1637" s="133"/>
      <c r="K1637" s="133"/>
      <c r="L1637" s="133"/>
      <c r="NW1637" s="6"/>
      <c r="NX1637" s="6"/>
      <c r="NY1637" s="6"/>
      <c r="NZ1637" s="6"/>
      <c r="OA1637" s="6"/>
      <c r="OB1637" s="46"/>
      <c r="OC1637" s="4"/>
      <c r="OD1637" s="6"/>
    </row>
    <row r="1638" spans="1:394" x14ac:dyDescent="0.25">
      <c r="A1638" s="47"/>
      <c r="B1638" s="48"/>
      <c r="C1638" s="133"/>
      <c r="D1638" s="133"/>
      <c r="E1638" s="133"/>
      <c r="F1638" s="133"/>
      <c r="G1638" s="133"/>
      <c r="H1638" s="133"/>
      <c r="I1638" s="133"/>
      <c r="J1638" s="133"/>
      <c r="K1638" s="133"/>
      <c r="L1638" s="133"/>
      <c r="NW1638" s="6"/>
      <c r="NX1638" s="6"/>
      <c r="NY1638" s="6"/>
      <c r="NZ1638" s="6"/>
      <c r="OA1638" s="6"/>
      <c r="OB1638" s="46"/>
      <c r="OC1638" s="4"/>
      <c r="OD1638" s="6"/>
    </row>
    <row r="1639" spans="1:394" x14ac:dyDescent="0.25">
      <c r="A1639" s="47"/>
      <c r="B1639" s="48"/>
      <c r="C1639" s="133"/>
      <c r="D1639" s="133"/>
      <c r="E1639" s="133"/>
      <c r="F1639" s="133"/>
      <c r="G1639" s="133"/>
      <c r="H1639" s="133"/>
      <c r="I1639" s="133"/>
      <c r="J1639" s="133"/>
      <c r="K1639" s="133"/>
      <c r="L1639" s="133"/>
      <c r="NW1639" s="6"/>
      <c r="NX1639" s="6"/>
      <c r="NY1639" s="6"/>
      <c r="NZ1639" s="6"/>
      <c r="OA1639" s="6"/>
      <c r="OB1639" s="46"/>
      <c r="OC1639" s="4"/>
      <c r="OD1639" s="6"/>
    </row>
    <row r="1640" spans="1:394" x14ac:dyDescent="0.25">
      <c r="A1640" s="47"/>
      <c r="B1640" s="48"/>
      <c r="C1640" s="133"/>
      <c r="D1640" s="133"/>
      <c r="E1640" s="133"/>
      <c r="F1640" s="133"/>
      <c r="G1640" s="133"/>
      <c r="H1640" s="133"/>
      <c r="I1640" s="133"/>
      <c r="J1640" s="133"/>
      <c r="K1640" s="133"/>
      <c r="L1640" s="133"/>
      <c r="NW1640" s="6"/>
      <c r="NX1640" s="6"/>
      <c r="NY1640" s="6"/>
      <c r="NZ1640" s="6"/>
      <c r="OA1640" s="6"/>
      <c r="OB1640" s="46"/>
      <c r="OC1640" s="4"/>
      <c r="OD1640" s="6"/>
    </row>
    <row r="1641" spans="1:394" x14ac:dyDescent="0.25">
      <c r="A1641" s="47"/>
      <c r="B1641" s="48"/>
      <c r="C1641" s="133"/>
      <c r="D1641" s="133"/>
      <c r="E1641" s="133"/>
      <c r="F1641" s="133"/>
      <c r="G1641" s="133"/>
      <c r="H1641" s="133"/>
      <c r="I1641" s="133"/>
      <c r="J1641" s="133"/>
      <c r="K1641" s="133"/>
      <c r="L1641" s="133"/>
      <c r="NW1641" s="6"/>
      <c r="NX1641" s="6"/>
      <c r="NY1641" s="6"/>
      <c r="NZ1641" s="6"/>
      <c r="OA1641" s="6"/>
      <c r="OB1641" s="46"/>
      <c r="OC1641" s="4"/>
      <c r="OD1641" s="6"/>
    </row>
    <row r="1642" spans="1:394" x14ac:dyDescent="0.25">
      <c r="A1642" s="47"/>
      <c r="B1642" s="48"/>
      <c r="C1642" s="133"/>
      <c r="D1642" s="133"/>
      <c r="E1642" s="133"/>
      <c r="F1642" s="133"/>
      <c r="G1642" s="133"/>
      <c r="H1642" s="133"/>
      <c r="I1642" s="133"/>
      <c r="J1642" s="133"/>
      <c r="K1642" s="133"/>
      <c r="L1642" s="133"/>
      <c r="NW1642" s="6"/>
      <c r="NX1642" s="6"/>
      <c r="NY1642" s="6"/>
      <c r="NZ1642" s="6"/>
      <c r="OA1642" s="6"/>
      <c r="OB1642" s="46"/>
      <c r="OC1642" s="4"/>
      <c r="OD1642" s="6"/>
    </row>
    <row r="1643" spans="1:394" x14ac:dyDescent="0.25">
      <c r="A1643" s="47"/>
      <c r="B1643" s="48"/>
      <c r="C1643" s="133"/>
      <c r="D1643" s="133"/>
      <c r="E1643" s="133"/>
      <c r="F1643" s="133"/>
      <c r="G1643" s="133"/>
      <c r="H1643" s="133"/>
      <c r="I1643" s="133"/>
      <c r="J1643" s="133"/>
      <c r="K1643" s="133"/>
      <c r="L1643" s="133"/>
      <c r="NW1643" s="6"/>
      <c r="NX1643" s="6"/>
      <c r="NY1643" s="6"/>
      <c r="NZ1643" s="6"/>
      <c r="OA1643" s="6"/>
      <c r="OB1643" s="46"/>
      <c r="OC1643" s="4"/>
      <c r="OD1643" s="6"/>
    </row>
    <row r="1644" spans="1:394" x14ac:dyDescent="0.25">
      <c r="A1644" s="47"/>
      <c r="B1644" s="48"/>
      <c r="C1644" s="133"/>
      <c r="D1644" s="133"/>
      <c r="E1644" s="133"/>
      <c r="F1644" s="133"/>
      <c r="G1644" s="133"/>
      <c r="H1644" s="133"/>
      <c r="I1644" s="133"/>
      <c r="J1644" s="133"/>
      <c r="K1644" s="133"/>
      <c r="L1644" s="133"/>
      <c r="NW1644" s="6"/>
      <c r="NX1644" s="6"/>
      <c r="NY1644" s="6"/>
      <c r="NZ1644" s="6"/>
      <c r="OA1644" s="6"/>
      <c r="OB1644" s="46"/>
      <c r="OC1644" s="4"/>
      <c r="OD1644" s="6"/>
    </row>
    <row r="1645" spans="1:394" x14ac:dyDescent="0.25">
      <c r="A1645" s="47"/>
      <c r="B1645" s="48"/>
      <c r="C1645" s="133"/>
      <c r="D1645" s="133"/>
      <c r="E1645" s="133"/>
      <c r="F1645" s="133"/>
      <c r="G1645" s="133"/>
      <c r="H1645" s="133"/>
      <c r="I1645" s="133"/>
      <c r="J1645" s="133"/>
      <c r="K1645" s="133"/>
      <c r="L1645" s="133"/>
      <c r="NW1645" s="6"/>
      <c r="NX1645" s="6"/>
      <c r="NY1645" s="6"/>
      <c r="NZ1645" s="6"/>
      <c r="OA1645" s="6"/>
      <c r="OB1645" s="46"/>
      <c r="OC1645" s="4"/>
      <c r="OD1645" s="6"/>
    </row>
    <row r="1646" spans="1:394" x14ac:dyDescent="0.25">
      <c r="A1646" s="47"/>
      <c r="B1646" s="48"/>
      <c r="C1646" s="133"/>
      <c r="D1646" s="133"/>
      <c r="E1646" s="133"/>
      <c r="F1646" s="133"/>
      <c r="G1646" s="133"/>
      <c r="H1646" s="133"/>
      <c r="I1646" s="133"/>
      <c r="J1646" s="133"/>
      <c r="K1646" s="133"/>
      <c r="L1646" s="133"/>
      <c r="NW1646" s="6"/>
      <c r="NX1646" s="6"/>
      <c r="NY1646" s="6"/>
      <c r="NZ1646" s="6"/>
      <c r="OA1646" s="6"/>
      <c r="OB1646" s="46"/>
      <c r="OC1646" s="4"/>
      <c r="OD1646" s="6"/>
    </row>
    <row r="1647" spans="1:394" x14ac:dyDescent="0.25">
      <c r="A1647" s="47"/>
      <c r="B1647" s="48"/>
      <c r="C1647" s="133"/>
      <c r="D1647" s="133"/>
      <c r="E1647" s="133"/>
      <c r="F1647" s="133"/>
      <c r="G1647" s="133"/>
      <c r="H1647" s="133"/>
      <c r="I1647" s="133"/>
      <c r="J1647" s="133"/>
      <c r="K1647" s="133"/>
      <c r="L1647" s="133"/>
      <c r="NW1647" s="6"/>
      <c r="NX1647" s="6"/>
      <c r="NY1647" s="6"/>
      <c r="NZ1647" s="6"/>
      <c r="OA1647" s="6"/>
      <c r="OB1647" s="46"/>
      <c r="OC1647" s="4"/>
      <c r="OD1647" s="6"/>
    </row>
    <row r="1648" spans="1:394" x14ac:dyDescent="0.25">
      <c r="A1648" s="47"/>
      <c r="B1648" s="48"/>
      <c r="C1648" s="133"/>
      <c r="D1648" s="133"/>
      <c r="E1648" s="133"/>
      <c r="F1648" s="133"/>
      <c r="G1648" s="133"/>
      <c r="H1648" s="133"/>
      <c r="I1648" s="133"/>
      <c r="J1648" s="133"/>
      <c r="K1648" s="133"/>
      <c r="L1648" s="133"/>
      <c r="NW1648" s="6"/>
      <c r="NX1648" s="6"/>
      <c r="NY1648" s="6"/>
      <c r="NZ1648" s="6"/>
      <c r="OA1648" s="6"/>
      <c r="OB1648" s="46"/>
      <c r="OC1648" s="4"/>
      <c r="OD1648" s="6"/>
    </row>
    <row r="1649" spans="1:394" x14ac:dyDescent="0.25">
      <c r="A1649" s="47"/>
      <c r="B1649" s="48"/>
      <c r="C1649" s="133"/>
      <c r="D1649" s="133"/>
      <c r="E1649" s="133"/>
      <c r="F1649" s="133"/>
      <c r="G1649" s="133"/>
      <c r="H1649" s="133"/>
      <c r="I1649" s="133"/>
      <c r="J1649" s="133"/>
      <c r="K1649" s="133"/>
      <c r="L1649" s="133"/>
      <c r="NW1649" s="6"/>
      <c r="NX1649" s="6"/>
      <c r="NY1649" s="6"/>
      <c r="NZ1649" s="6"/>
      <c r="OA1649" s="6"/>
      <c r="OB1649" s="46"/>
      <c r="OC1649" s="4"/>
      <c r="OD1649" s="6"/>
    </row>
    <row r="1650" spans="1:394" x14ac:dyDescent="0.25">
      <c r="A1650" s="47"/>
      <c r="B1650" s="48"/>
      <c r="C1650" s="133"/>
      <c r="D1650" s="133"/>
      <c r="E1650" s="133"/>
      <c r="F1650" s="133"/>
      <c r="G1650" s="133"/>
      <c r="H1650" s="133"/>
      <c r="I1650" s="133"/>
      <c r="J1650" s="133"/>
      <c r="K1650" s="133"/>
      <c r="L1650" s="133"/>
      <c r="NW1650" s="6"/>
      <c r="NX1650" s="6"/>
      <c r="NY1650" s="6"/>
      <c r="NZ1650" s="6"/>
      <c r="OA1650" s="6"/>
      <c r="OB1650" s="46"/>
      <c r="OC1650" s="4"/>
      <c r="OD1650" s="6"/>
    </row>
    <row r="1651" spans="1:394" x14ac:dyDescent="0.25">
      <c r="A1651" s="47"/>
      <c r="B1651" s="48"/>
      <c r="C1651" s="133"/>
      <c r="D1651" s="133"/>
      <c r="E1651" s="133"/>
      <c r="F1651" s="133"/>
      <c r="G1651" s="133"/>
      <c r="H1651" s="133"/>
      <c r="I1651" s="133"/>
      <c r="J1651" s="133"/>
      <c r="K1651" s="133"/>
      <c r="L1651" s="133"/>
      <c r="NW1651" s="6"/>
      <c r="NX1651" s="6"/>
      <c r="NY1651" s="6"/>
      <c r="NZ1651" s="6"/>
      <c r="OA1651" s="6"/>
      <c r="OB1651" s="46"/>
      <c r="OC1651" s="4"/>
      <c r="OD1651" s="6"/>
    </row>
    <row r="1652" spans="1:394" x14ac:dyDescent="0.25">
      <c r="A1652" s="47"/>
      <c r="B1652" s="48"/>
      <c r="C1652" s="133"/>
      <c r="D1652" s="133"/>
      <c r="E1652" s="133"/>
      <c r="F1652" s="133"/>
      <c r="G1652" s="133"/>
      <c r="H1652" s="133"/>
      <c r="I1652" s="133"/>
      <c r="J1652" s="133"/>
      <c r="K1652" s="133"/>
      <c r="L1652" s="133"/>
      <c r="NW1652" s="6"/>
      <c r="NX1652" s="6"/>
      <c r="NY1652" s="6"/>
      <c r="NZ1652" s="6"/>
      <c r="OA1652" s="6"/>
      <c r="OB1652" s="46"/>
      <c r="OC1652" s="4"/>
      <c r="OD1652" s="6"/>
    </row>
    <row r="1653" spans="1:394" x14ac:dyDescent="0.25">
      <c r="A1653" s="47"/>
      <c r="B1653" s="48"/>
      <c r="C1653" s="133"/>
      <c r="D1653" s="133"/>
      <c r="E1653" s="133"/>
      <c r="F1653" s="133"/>
      <c r="G1653" s="133"/>
      <c r="H1653" s="133"/>
      <c r="I1653" s="133"/>
      <c r="J1653" s="133"/>
      <c r="K1653" s="133"/>
      <c r="L1653" s="133"/>
      <c r="NW1653" s="6"/>
      <c r="NX1653" s="6"/>
      <c r="NY1653" s="6"/>
      <c r="NZ1653" s="6"/>
      <c r="OA1653" s="6"/>
      <c r="OB1653" s="46"/>
      <c r="OC1653" s="4"/>
      <c r="OD1653" s="6"/>
    </row>
    <row r="1654" spans="1:394" x14ac:dyDescent="0.25">
      <c r="A1654" s="47"/>
      <c r="B1654" s="48"/>
      <c r="C1654" s="133"/>
      <c r="D1654" s="133"/>
      <c r="E1654" s="133"/>
      <c r="F1654" s="133"/>
      <c r="G1654" s="133"/>
      <c r="H1654" s="133"/>
      <c r="I1654" s="133"/>
      <c r="J1654" s="133"/>
      <c r="K1654" s="133"/>
      <c r="L1654" s="133"/>
      <c r="NW1654" s="6"/>
      <c r="NX1654" s="6"/>
      <c r="NY1654" s="6"/>
      <c r="NZ1654" s="6"/>
      <c r="OA1654" s="6"/>
      <c r="OB1654" s="46"/>
      <c r="OC1654" s="4"/>
      <c r="OD1654" s="6"/>
    </row>
    <row r="1655" spans="1:394" x14ac:dyDescent="0.25">
      <c r="A1655" s="47"/>
      <c r="B1655" s="48"/>
      <c r="C1655" s="133"/>
      <c r="D1655" s="133"/>
      <c r="E1655" s="133"/>
      <c r="F1655" s="133"/>
      <c r="G1655" s="133"/>
      <c r="H1655" s="133"/>
      <c r="I1655" s="133"/>
      <c r="J1655" s="133"/>
      <c r="K1655" s="133"/>
      <c r="L1655" s="133"/>
      <c r="NW1655" s="6"/>
      <c r="NX1655" s="6"/>
      <c r="NY1655" s="6"/>
      <c r="NZ1655" s="6"/>
      <c r="OA1655" s="6"/>
      <c r="OB1655" s="46"/>
      <c r="OC1655" s="4"/>
      <c r="OD1655" s="6"/>
    </row>
    <row r="1656" spans="1:394" x14ac:dyDescent="0.25">
      <c r="A1656" s="47"/>
      <c r="B1656" s="48"/>
      <c r="C1656" s="133"/>
      <c r="D1656" s="133"/>
      <c r="E1656" s="133"/>
      <c r="F1656" s="133"/>
      <c r="G1656" s="133"/>
      <c r="H1656" s="133"/>
      <c r="I1656" s="133"/>
      <c r="J1656" s="133"/>
      <c r="K1656" s="133"/>
      <c r="L1656" s="133"/>
      <c r="NW1656" s="6"/>
      <c r="NX1656" s="6"/>
      <c r="NY1656" s="6"/>
      <c r="NZ1656" s="6"/>
      <c r="OA1656" s="6"/>
      <c r="OB1656" s="46"/>
      <c r="OC1656" s="4"/>
      <c r="OD1656" s="6"/>
    </row>
    <row r="1657" spans="1:394" x14ac:dyDescent="0.25">
      <c r="A1657" s="47"/>
      <c r="B1657" s="48"/>
      <c r="C1657" s="133"/>
      <c r="D1657" s="133"/>
      <c r="E1657" s="133"/>
      <c r="F1657" s="133"/>
      <c r="G1657" s="133"/>
      <c r="H1657" s="133"/>
      <c r="I1657" s="133"/>
      <c r="J1657" s="133"/>
      <c r="K1657" s="133"/>
      <c r="L1657" s="133"/>
      <c r="NW1657" s="6"/>
      <c r="NX1657" s="6"/>
      <c r="NY1657" s="6"/>
      <c r="NZ1657" s="6"/>
      <c r="OA1657" s="6"/>
      <c r="OB1657" s="46"/>
      <c r="OC1657" s="4"/>
      <c r="OD1657" s="6"/>
    </row>
    <row r="1658" spans="1:394" x14ac:dyDescent="0.25">
      <c r="A1658" s="47"/>
      <c r="B1658" s="48"/>
      <c r="C1658" s="133"/>
      <c r="D1658" s="133"/>
      <c r="E1658" s="133"/>
      <c r="F1658" s="133"/>
      <c r="G1658" s="133"/>
      <c r="H1658" s="133"/>
      <c r="I1658" s="133"/>
      <c r="J1658" s="133"/>
      <c r="K1658" s="133"/>
      <c r="L1658" s="133"/>
      <c r="NW1658" s="6"/>
      <c r="NX1658" s="6"/>
      <c r="NY1658" s="6"/>
      <c r="NZ1658" s="6"/>
      <c r="OA1658" s="6"/>
      <c r="OB1658" s="46"/>
      <c r="OC1658" s="4"/>
      <c r="OD1658" s="6"/>
    </row>
    <row r="1659" spans="1:394" x14ac:dyDescent="0.25">
      <c r="A1659" s="47"/>
      <c r="B1659" s="48"/>
      <c r="C1659" s="133"/>
      <c r="D1659" s="133"/>
      <c r="E1659" s="133"/>
      <c r="F1659" s="133"/>
      <c r="G1659" s="133"/>
      <c r="H1659" s="133"/>
      <c r="I1659" s="133"/>
      <c r="J1659" s="133"/>
      <c r="K1659" s="133"/>
      <c r="L1659" s="133"/>
      <c r="NW1659" s="6"/>
      <c r="NX1659" s="6"/>
      <c r="NY1659" s="6"/>
      <c r="NZ1659" s="6"/>
      <c r="OA1659" s="6"/>
      <c r="OB1659" s="46"/>
      <c r="OC1659" s="4"/>
      <c r="OD1659" s="6"/>
    </row>
    <row r="1660" spans="1:394" x14ac:dyDescent="0.25">
      <c r="A1660" s="47"/>
      <c r="B1660" s="48"/>
      <c r="C1660" s="133"/>
      <c r="D1660" s="133"/>
      <c r="E1660" s="133"/>
      <c r="F1660" s="133"/>
      <c r="G1660" s="133"/>
      <c r="H1660" s="133"/>
      <c r="I1660" s="133"/>
      <c r="J1660" s="133"/>
      <c r="K1660" s="133"/>
      <c r="L1660" s="133"/>
      <c r="NW1660" s="6"/>
      <c r="NX1660" s="6"/>
      <c r="NY1660" s="6"/>
      <c r="NZ1660" s="6"/>
      <c r="OA1660" s="6"/>
      <c r="OB1660" s="46"/>
      <c r="OC1660" s="4"/>
      <c r="OD1660" s="6"/>
    </row>
    <row r="1661" spans="1:394" x14ac:dyDescent="0.25">
      <c r="A1661" s="47"/>
      <c r="B1661" s="48"/>
      <c r="C1661" s="133"/>
      <c r="D1661" s="133"/>
      <c r="E1661" s="133"/>
      <c r="F1661" s="133"/>
      <c r="G1661" s="133"/>
      <c r="H1661" s="133"/>
      <c r="I1661" s="133"/>
      <c r="J1661" s="133"/>
      <c r="K1661" s="133"/>
      <c r="L1661" s="133"/>
      <c r="NW1661" s="6"/>
      <c r="NX1661" s="6"/>
      <c r="NY1661" s="6"/>
      <c r="NZ1661" s="6"/>
      <c r="OA1661" s="6"/>
      <c r="OB1661" s="46"/>
      <c r="OC1661" s="4"/>
      <c r="OD1661" s="6"/>
    </row>
    <row r="1662" spans="1:394" x14ac:dyDescent="0.25">
      <c r="A1662" s="47"/>
      <c r="B1662" s="48"/>
      <c r="C1662" s="133"/>
      <c r="D1662" s="133"/>
      <c r="E1662" s="133"/>
      <c r="F1662" s="133"/>
      <c r="G1662" s="133"/>
      <c r="H1662" s="133"/>
      <c r="I1662" s="133"/>
      <c r="J1662" s="133"/>
      <c r="K1662" s="133"/>
      <c r="L1662" s="133"/>
      <c r="NW1662" s="6"/>
      <c r="NX1662" s="6"/>
      <c r="NY1662" s="6"/>
      <c r="NZ1662" s="6"/>
      <c r="OA1662" s="6"/>
      <c r="OB1662" s="46"/>
      <c r="OC1662" s="4"/>
      <c r="OD1662" s="6"/>
    </row>
    <row r="1663" spans="1:394" x14ac:dyDescent="0.25">
      <c r="A1663" s="47"/>
      <c r="B1663" s="48"/>
      <c r="C1663" s="133"/>
      <c r="D1663" s="133"/>
      <c r="E1663" s="133"/>
      <c r="F1663" s="133"/>
      <c r="G1663" s="133"/>
      <c r="H1663" s="133"/>
      <c r="I1663" s="133"/>
      <c r="J1663" s="133"/>
      <c r="K1663" s="133"/>
      <c r="L1663" s="133"/>
      <c r="NW1663" s="6"/>
      <c r="NX1663" s="6"/>
      <c r="NY1663" s="6"/>
      <c r="NZ1663" s="6"/>
      <c r="OA1663" s="6"/>
      <c r="OB1663" s="46"/>
      <c r="OC1663" s="4"/>
      <c r="OD1663" s="6"/>
    </row>
    <row r="1664" spans="1:394" x14ac:dyDescent="0.25">
      <c r="A1664" s="47"/>
      <c r="B1664" s="48"/>
      <c r="C1664" s="133"/>
      <c r="D1664" s="133"/>
      <c r="E1664" s="133"/>
      <c r="F1664" s="133"/>
      <c r="G1664" s="133"/>
      <c r="H1664" s="133"/>
      <c r="I1664" s="133"/>
      <c r="J1664" s="133"/>
      <c r="K1664" s="133"/>
      <c r="L1664" s="133"/>
      <c r="NW1664" s="6"/>
      <c r="NX1664" s="6"/>
      <c r="NY1664" s="6"/>
      <c r="NZ1664" s="6"/>
      <c r="OA1664" s="6"/>
      <c r="OB1664" s="46"/>
      <c r="OC1664" s="4"/>
      <c r="OD1664" s="6"/>
    </row>
    <row r="1665" spans="1:394" x14ac:dyDescent="0.25">
      <c r="A1665" s="47"/>
      <c r="B1665" s="48"/>
      <c r="C1665" s="133"/>
      <c r="D1665" s="133"/>
      <c r="E1665" s="133"/>
      <c r="F1665" s="133"/>
      <c r="G1665" s="133"/>
      <c r="H1665" s="133"/>
      <c r="I1665" s="133"/>
      <c r="J1665" s="133"/>
      <c r="K1665" s="133"/>
      <c r="L1665" s="133"/>
      <c r="NW1665" s="6"/>
      <c r="NX1665" s="6"/>
      <c r="NY1665" s="6"/>
      <c r="NZ1665" s="6"/>
      <c r="OA1665" s="6"/>
      <c r="OB1665" s="46"/>
      <c r="OC1665" s="4"/>
      <c r="OD1665" s="6"/>
    </row>
    <row r="1666" spans="1:394" x14ac:dyDescent="0.25">
      <c r="A1666" s="47"/>
      <c r="B1666" s="48"/>
      <c r="C1666" s="133"/>
      <c r="D1666" s="133"/>
      <c r="E1666" s="133"/>
      <c r="F1666" s="133"/>
      <c r="G1666" s="133"/>
      <c r="H1666" s="133"/>
      <c r="I1666" s="133"/>
      <c r="J1666" s="133"/>
      <c r="K1666" s="133"/>
      <c r="L1666" s="133"/>
      <c r="NW1666" s="6"/>
      <c r="NX1666" s="6"/>
      <c r="NY1666" s="6"/>
      <c r="NZ1666" s="6"/>
      <c r="OA1666" s="6"/>
      <c r="OB1666" s="46"/>
      <c r="OC1666" s="4"/>
      <c r="OD1666" s="6"/>
    </row>
    <row r="1667" spans="1:394" x14ac:dyDescent="0.25">
      <c r="A1667" s="47"/>
      <c r="B1667" s="48"/>
      <c r="C1667" s="133"/>
      <c r="D1667" s="133"/>
      <c r="E1667" s="133"/>
      <c r="F1667" s="133"/>
      <c r="G1667" s="133"/>
      <c r="H1667" s="133"/>
      <c r="I1667" s="133"/>
      <c r="J1667" s="133"/>
      <c r="K1667" s="133"/>
      <c r="L1667" s="133"/>
      <c r="NW1667" s="6"/>
      <c r="NX1667" s="6"/>
      <c r="NY1667" s="6"/>
      <c r="NZ1667" s="6"/>
      <c r="OA1667" s="6"/>
      <c r="OB1667" s="46"/>
      <c r="OC1667" s="4"/>
      <c r="OD1667" s="6"/>
    </row>
    <row r="1668" spans="1:394" x14ac:dyDescent="0.25">
      <c r="A1668" s="47"/>
      <c r="B1668" s="48"/>
      <c r="C1668" s="133"/>
      <c r="D1668" s="133"/>
      <c r="E1668" s="133"/>
      <c r="F1668" s="133"/>
      <c r="G1668" s="133"/>
      <c r="H1668" s="133"/>
      <c r="I1668" s="133"/>
      <c r="J1668" s="133"/>
      <c r="K1668" s="133"/>
      <c r="L1668" s="133"/>
      <c r="NW1668" s="6"/>
      <c r="NX1668" s="6"/>
      <c r="NY1668" s="6"/>
      <c r="NZ1668" s="6"/>
      <c r="OA1668" s="6"/>
      <c r="OB1668" s="46"/>
      <c r="OC1668" s="4"/>
      <c r="OD1668" s="6"/>
    </row>
    <row r="1669" spans="1:394" x14ac:dyDescent="0.25">
      <c r="A1669" s="47"/>
      <c r="B1669" s="48"/>
      <c r="C1669" s="133"/>
      <c r="D1669" s="133"/>
      <c r="E1669" s="133"/>
      <c r="F1669" s="133"/>
      <c r="G1669" s="133"/>
      <c r="H1669" s="133"/>
      <c r="I1669" s="133"/>
      <c r="J1669" s="133"/>
      <c r="K1669" s="133"/>
      <c r="L1669" s="133"/>
      <c r="NW1669" s="6"/>
      <c r="NX1669" s="6"/>
      <c r="NY1669" s="6"/>
      <c r="NZ1669" s="6"/>
      <c r="OA1669" s="6"/>
      <c r="OB1669" s="46"/>
      <c r="OC1669" s="4"/>
      <c r="OD1669" s="6"/>
    </row>
    <row r="1670" spans="1:394" x14ac:dyDescent="0.25">
      <c r="A1670" s="47"/>
      <c r="B1670" s="48"/>
      <c r="C1670" s="133"/>
      <c r="D1670" s="133"/>
      <c r="E1670" s="133"/>
      <c r="F1670" s="133"/>
      <c r="G1670" s="133"/>
      <c r="H1670" s="133"/>
      <c r="I1670" s="133"/>
      <c r="J1670" s="133"/>
      <c r="K1670" s="133"/>
      <c r="L1670" s="133"/>
      <c r="NW1670" s="6"/>
      <c r="NX1670" s="6"/>
      <c r="NY1670" s="6"/>
      <c r="NZ1670" s="6"/>
      <c r="OA1670" s="6"/>
      <c r="OB1670" s="46"/>
      <c r="OC1670" s="4"/>
      <c r="OD1670" s="6"/>
    </row>
    <row r="1671" spans="1:394" x14ac:dyDescent="0.25">
      <c r="A1671" s="47"/>
      <c r="B1671" s="48"/>
      <c r="C1671" s="133"/>
      <c r="D1671" s="133"/>
      <c r="E1671" s="133"/>
      <c r="F1671" s="133"/>
      <c r="G1671" s="133"/>
      <c r="H1671" s="133"/>
      <c r="I1671" s="133"/>
      <c r="J1671" s="133"/>
      <c r="K1671" s="133"/>
      <c r="L1671" s="133"/>
      <c r="NW1671" s="6"/>
      <c r="NX1671" s="6"/>
      <c r="NY1671" s="6"/>
      <c r="NZ1671" s="6"/>
      <c r="OA1671" s="6"/>
      <c r="OB1671" s="46"/>
      <c r="OC1671" s="4"/>
      <c r="OD1671" s="6"/>
    </row>
    <row r="1672" spans="1:394" x14ac:dyDescent="0.25">
      <c r="A1672" s="47"/>
      <c r="B1672" s="48"/>
      <c r="C1672" s="133"/>
      <c r="D1672" s="133"/>
      <c r="E1672" s="133"/>
      <c r="F1672" s="133"/>
      <c r="G1672" s="133"/>
      <c r="H1672" s="133"/>
      <c r="I1672" s="133"/>
      <c r="J1672" s="133"/>
      <c r="K1672" s="133"/>
      <c r="L1672" s="133"/>
      <c r="NW1672" s="6"/>
      <c r="NX1672" s="6"/>
      <c r="NY1672" s="6"/>
      <c r="NZ1672" s="6"/>
      <c r="OA1672" s="6"/>
      <c r="OB1672" s="46"/>
      <c r="OC1672" s="4"/>
      <c r="OD1672" s="6"/>
    </row>
    <row r="1673" spans="1:394" x14ac:dyDescent="0.25">
      <c r="A1673" s="47"/>
      <c r="B1673" s="48"/>
      <c r="C1673" s="133"/>
      <c r="D1673" s="133"/>
      <c r="E1673" s="133"/>
      <c r="F1673" s="133"/>
      <c r="G1673" s="133"/>
      <c r="H1673" s="133"/>
      <c r="I1673" s="133"/>
      <c r="J1673" s="133"/>
      <c r="K1673" s="133"/>
      <c r="L1673" s="133"/>
      <c r="NW1673" s="6"/>
      <c r="NX1673" s="6"/>
      <c r="NY1673" s="6"/>
      <c r="NZ1673" s="6"/>
      <c r="OA1673" s="6"/>
      <c r="OB1673" s="46"/>
      <c r="OC1673" s="4"/>
      <c r="OD1673" s="6"/>
    </row>
    <row r="1674" spans="1:394" x14ac:dyDescent="0.25">
      <c r="A1674" s="47"/>
      <c r="B1674" s="48"/>
      <c r="C1674" s="133"/>
      <c r="D1674" s="133"/>
      <c r="E1674" s="133"/>
      <c r="F1674" s="133"/>
      <c r="G1674" s="133"/>
      <c r="H1674" s="133"/>
      <c r="I1674" s="133"/>
      <c r="J1674" s="133"/>
      <c r="K1674" s="133"/>
      <c r="L1674" s="133"/>
      <c r="NW1674" s="6"/>
      <c r="NX1674" s="6"/>
      <c r="NY1674" s="6"/>
      <c r="NZ1674" s="6"/>
      <c r="OA1674" s="6"/>
      <c r="OB1674" s="46"/>
      <c r="OC1674" s="4"/>
      <c r="OD1674" s="6"/>
    </row>
    <row r="1675" spans="1:394" x14ac:dyDescent="0.25">
      <c r="A1675" s="47"/>
      <c r="B1675" s="48"/>
      <c r="C1675" s="133"/>
      <c r="D1675" s="133"/>
      <c r="E1675" s="133"/>
      <c r="F1675" s="133"/>
      <c r="G1675" s="133"/>
      <c r="H1675" s="133"/>
      <c r="I1675" s="133"/>
      <c r="J1675" s="133"/>
      <c r="K1675" s="133"/>
      <c r="L1675" s="133"/>
      <c r="NW1675" s="6"/>
      <c r="NX1675" s="6"/>
      <c r="NY1675" s="6"/>
      <c r="NZ1675" s="6"/>
      <c r="OA1675" s="6"/>
      <c r="OB1675" s="46"/>
      <c r="OC1675" s="4"/>
      <c r="OD1675" s="6"/>
    </row>
    <row r="1676" spans="1:394" x14ac:dyDescent="0.25">
      <c r="A1676" s="47"/>
      <c r="B1676" s="48"/>
      <c r="C1676" s="133"/>
      <c r="D1676" s="133"/>
      <c r="E1676" s="133"/>
      <c r="F1676" s="133"/>
      <c r="G1676" s="133"/>
      <c r="H1676" s="133"/>
      <c r="I1676" s="133"/>
      <c r="J1676" s="133"/>
      <c r="K1676" s="133"/>
      <c r="L1676" s="133"/>
      <c r="NW1676" s="6"/>
      <c r="NX1676" s="6"/>
      <c r="NY1676" s="6"/>
      <c r="NZ1676" s="6"/>
      <c r="OA1676" s="6"/>
      <c r="OB1676" s="46"/>
      <c r="OC1676" s="4"/>
      <c r="OD1676" s="6"/>
    </row>
    <row r="1677" spans="1:394" x14ac:dyDescent="0.25">
      <c r="A1677" s="47"/>
      <c r="B1677" s="48"/>
      <c r="C1677" s="133"/>
      <c r="D1677" s="133"/>
      <c r="E1677" s="133"/>
      <c r="F1677" s="133"/>
      <c r="G1677" s="133"/>
      <c r="H1677" s="133"/>
      <c r="I1677" s="133"/>
      <c r="J1677" s="133"/>
      <c r="K1677" s="133"/>
      <c r="L1677" s="133"/>
      <c r="NW1677" s="6"/>
      <c r="NX1677" s="6"/>
      <c r="NY1677" s="6"/>
      <c r="NZ1677" s="6"/>
      <c r="OA1677" s="6"/>
      <c r="OB1677" s="46"/>
      <c r="OC1677" s="4"/>
      <c r="OD1677" s="6"/>
    </row>
    <row r="1678" spans="1:394" x14ac:dyDescent="0.25">
      <c r="A1678" s="47"/>
      <c r="B1678" s="48"/>
      <c r="C1678" s="133"/>
      <c r="D1678" s="133"/>
      <c r="E1678" s="133"/>
      <c r="F1678" s="133"/>
      <c r="G1678" s="133"/>
      <c r="H1678" s="133"/>
      <c r="I1678" s="133"/>
      <c r="J1678" s="133"/>
      <c r="K1678" s="133"/>
      <c r="L1678" s="133"/>
      <c r="NW1678" s="6"/>
      <c r="NX1678" s="6"/>
      <c r="NY1678" s="6"/>
      <c r="NZ1678" s="6"/>
      <c r="OA1678" s="6"/>
      <c r="OB1678" s="46"/>
      <c r="OC1678" s="4"/>
      <c r="OD1678" s="6"/>
    </row>
    <row r="1679" spans="1:394" x14ac:dyDescent="0.25">
      <c r="A1679" s="47"/>
      <c r="B1679" s="48"/>
      <c r="C1679" s="133"/>
      <c r="D1679" s="133"/>
      <c r="E1679" s="133"/>
      <c r="F1679" s="133"/>
      <c r="G1679" s="133"/>
      <c r="H1679" s="133"/>
      <c r="I1679" s="133"/>
      <c r="J1679" s="133"/>
      <c r="K1679" s="133"/>
      <c r="L1679" s="133"/>
      <c r="NW1679" s="6"/>
      <c r="NX1679" s="6"/>
      <c r="NY1679" s="6"/>
      <c r="NZ1679" s="6"/>
      <c r="OA1679" s="6"/>
      <c r="OB1679" s="46"/>
      <c r="OC1679" s="4"/>
      <c r="OD1679" s="6"/>
    </row>
    <row r="1680" spans="1:394" x14ac:dyDescent="0.25">
      <c r="A1680" s="47"/>
      <c r="B1680" s="48"/>
      <c r="C1680" s="133"/>
      <c r="D1680" s="133"/>
      <c r="E1680" s="133"/>
      <c r="F1680" s="133"/>
      <c r="G1680" s="133"/>
      <c r="H1680" s="133"/>
      <c r="I1680" s="133"/>
      <c r="J1680" s="133"/>
      <c r="K1680" s="133"/>
      <c r="L1680" s="133"/>
      <c r="NW1680" s="6"/>
      <c r="NX1680" s="6"/>
      <c r="NY1680" s="6"/>
      <c r="NZ1680" s="6"/>
      <c r="OA1680" s="6"/>
      <c r="OB1680" s="46"/>
      <c r="OC1680" s="4"/>
      <c r="OD1680" s="6"/>
    </row>
    <row r="1681" spans="1:394" x14ac:dyDescent="0.25">
      <c r="A1681" s="47"/>
      <c r="B1681" s="48"/>
      <c r="C1681" s="133"/>
      <c r="D1681" s="133"/>
      <c r="E1681" s="133"/>
      <c r="F1681" s="133"/>
      <c r="G1681" s="133"/>
      <c r="H1681" s="133"/>
      <c r="I1681" s="133"/>
      <c r="J1681" s="133"/>
      <c r="K1681" s="133"/>
      <c r="L1681" s="133"/>
      <c r="NW1681" s="6"/>
      <c r="NX1681" s="6"/>
      <c r="NY1681" s="6"/>
      <c r="NZ1681" s="6"/>
      <c r="OA1681" s="6"/>
      <c r="OB1681" s="46"/>
      <c r="OC1681" s="4"/>
      <c r="OD1681" s="6"/>
    </row>
    <row r="1682" spans="1:394" x14ac:dyDescent="0.25">
      <c r="A1682" s="47"/>
      <c r="B1682" s="48"/>
      <c r="C1682" s="133"/>
      <c r="D1682" s="133"/>
      <c r="E1682" s="133"/>
      <c r="F1682" s="133"/>
      <c r="G1682" s="133"/>
      <c r="H1682" s="133"/>
      <c r="I1682" s="133"/>
      <c r="J1682" s="133"/>
      <c r="K1682" s="133"/>
      <c r="L1682" s="133"/>
      <c r="NW1682" s="6"/>
      <c r="NX1682" s="6"/>
      <c r="NY1682" s="6"/>
      <c r="NZ1682" s="6"/>
      <c r="OA1682" s="6"/>
      <c r="OB1682" s="46"/>
      <c r="OC1682" s="4"/>
      <c r="OD1682" s="6"/>
    </row>
    <row r="1683" spans="1:394" x14ac:dyDescent="0.25">
      <c r="A1683" s="47"/>
      <c r="B1683" s="48"/>
      <c r="C1683" s="133"/>
      <c r="D1683" s="133"/>
      <c r="E1683" s="133"/>
      <c r="F1683" s="133"/>
      <c r="G1683" s="133"/>
      <c r="H1683" s="133"/>
      <c r="I1683" s="133"/>
      <c r="J1683" s="133"/>
      <c r="K1683" s="133"/>
      <c r="L1683" s="133"/>
      <c r="NW1683" s="6"/>
      <c r="NX1683" s="6"/>
      <c r="NY1683" s="6"/>
      <c r="NZ1683" s="6"/>
      <c r="OA1683" s="6"/>
      <c r="OB1683" s="46"/>
      <c r="OC1683" s="4"/>
      <c r="OD1683" s="6"/>
    </row>
    <row r="1684" spans="1:394" x14ac:dyDescent="0.25">
      <c r="A1684" s="47"/>
      <c r="B1684" s="48"/>
      <c r="C1684" s="133"/>
      <c r="D1684" s="133"/>
      <c r="E1684" s="133"/>
      <c r="F1684" s="133"/>
      <c r="G1684" s="133"/>
      <c r="H1684" s="133"/>
      <c r="I1684" s="133"/>
      <c r="J1684" s="133"/>
      <c r="K1684" s="133"/>
      <c r="L1684" s="133"/>
      <c r="NW1684" s="6"/>
      <c r="NX1684" s="6"/>
      <c r="NY1684" s="6"/>
      <c r="NZ1684" s="6"/>
      <c r="OA1684" s="6"/>
      <c r="OB1684" s="46"/>
      <c r="OC1684" s="4"/>
      <c r="OD1684" s="6"/>
    </row>
    <row r="1685" spans="1:394" x14ac:dyDescent="0.25">
      <c r="A1685" s="47"/>
      <c r="B1685" s="48"/>
      <c r="C1685" s="133"/>
      <c r="D1685" s="133"/>
      <c r="E1685" s="133"/>
      <c r="F1685" s="133"/>
      <c r="G1685" s="133"/>
      <c r="H1685" s="133"/>
      <c r="I1685" s="133"/>
      <c r="J1685" s="133"/>
      <c r="K1685" s="133"/>
      <c r="L1685" s="133"/>
      <c r="NW1685" s="6"/>
      <c r="NX1685" s="6"/>
      <c r="NY1685" s="6"/>
      <c r="NZ1685" s="6"/>
      <c r="OA1685" s="6"/>
      <c r="OB1685" s="46"/>
      <c r="OC1685" s="4"/>
      <c r="OD1685" s="6"/>
    </row>
    <row r="1686" spans="1:394" x14ac:dyDescent="0.25">
      <c r="A1686" s="47"/>
      <c r="B1686" s="48"/>
      <c r="C1686" s="133"/>
      <c r="D1686" s="133"/>
      <c r="E1686" s="133"/>
      <c r="F1686" s="133"/>
      <c r="G1686" s="133"/>
      <c r="H1686" s="133"/>
      <c r="I1686" s="133"/>
      <c r="J1686" s="133"/>
      <c r="K1686" s="133"/>
      <c r="L1686" s="133"/>
      <c r="NW1686" s="6"/>
      <c r="NX1686" s="6"/>
      <c r="NY1686" s="6"/>
      <c r="NZ1686" s="6"/>
      <c r="OA1686" s="6"/>
      <c r="OB1686" s="46"/>
      <c r="OC1686" s="4"/>
      <c r="OD1686" s="6"/>
    </row>
    <row r="1687" spans="1:394" x14ac:dyDescent="0.25">
      <c r="A1687" s="47"/>
      <c r="B1687" s="48"/>
      <c r="C1687" s="133"/>
      <c r="D1687" s="133"/>
      <c r="E1687" s="133"/>
      <c r="F1687" s="133"/>
      <c r="G1687" s="133"/>
      <c r="H1687" s="133"/>
      <c r="I1687" s="133"/>
      <c r="J1687" s="133"/>
      <c r="K1687" s="133"/>
      <c r="L1687" s="133"/>
      <c r="NW1687" s="6"/>
      <c r="NX1687" s="6"/>
      <c r="NY1687" s="6"/>
      <c r="NZ1687" s="6"/>
      <c r="OA1687" s="6"/>
      <c r="OB1687" s="46"/>
      <c r="OC1687" s="4"/>
      <c r="OD1687" s="6"/>
    </row>
    <row r="1688" spans="1:394" x14ac:dyDescent="0.25">
      <c r="A1688" s="47"/>
      <c r="B1688" s="48"/>
      <c r="C1688" s="133"/>
      <c r="D1688" s="133"/>
      <c r="E1688" s="133"/>
      <c r="F1688" s="133"/>
      <c r="G1688" s="133"/>
      <c r="H1688" s="133"/>
      <c r="I1688" s="133"/>
      <c r="J1688" s="133"/>
      <c r="K1688" s="133"/>
      <c r="L1688" s="133"/>
      <c r="NW1688" s="6"/>
      <c r="NX1688" s="6"/>
      <c r="NY1688" s="6"/>
      <c r="NZ1688" s="6"/>
      <c r="OA1688" s="6"/>
      <c r="OB1688" s="46"/>
      <c r="OC1688" s="4"/>
      <c r="OD1688" s="6"/>
    </row>
    <row r="1689" spans="1:394" x14ac:dyDescent="0.25">
      <c r="A1689" s="47"/>
      <c r="B1689" s="48"/>
      <c r="C1689" s="133"/>
      <c r="D1689" s="133"/>
      <c r="E1689" s="133"/>
      <c r="F1689" s="133"/>
      <c r="G1689" s="133"/>
      <c r="H1689" s="133"/>
      <c r="I1689" s="133"/>
      <c r="J1689" s="133"/>
      <c r="K1689" s="133"/>
      <c r="L1689" s="133"/>
      <c r="NW1689" s="6"/>
      <c r="NX1689" s="6"/>
      <c r="NY1689" s="6"/>
      <c r="NZ1689" s="6"/>
      <c r="OA1689" s="6"/>
      <c r="OB1689" s="46"/>
      <c r="OC1689" s="4"/>
      <c r="OD1689" s="6"/>
    </row>
    <row r="1690" spans="1:394" x14ac:dyDescent="0.25">
      <c r="A1690" s="47"/>
      <c r="B1690" s="48"/>
      <c r="C1690" s="133"/>
      <c r="D1690" s="133"/>
      <c r="E1690" s="133"/>
      <c r="F1690" s="133"/>
      <c r="G1690" s="133"/>
      <c r="H1690" s="133"/>
      <c r="I1690" s="133"/>
      <c r="J1690" s="133"/>
      <c r="K1690" s="133"/>
      <c r="L1690" s="133"/>
      <c r="NW1690" s="6"/>
      <c r="NX1690" s="6"/>
      <c r="NY1690" s="6"/>
      <c r="NZ1690" s="6"/>
      <c r="OA1690" s="6"/>
      <c r="OB1690" s="46"/>
      <c r="OC1690" s="4"/>
      <c r="OD1690" s="6"/>
    </row>
    <row r="1691" spans="1:394" x14ac:dyDescent="0.25">
      <c r="A1691" s="47"/>
      <c r="B1691" s="48"/>
      <c r="C1691" s="133"/>
      <c r="D1691" s="133"/>
      <c r="E1691" s="133"/>
      <c r="F1691" s="133"/>
      <c r="G1691" s="133"/>
      <c r="H1691" s="133"/>
      <c r="I1691" s="133"/>
      <c r="J1691" s="133"/>
      <c r="K1691" s="133"/>
      <c r="L1691" s="133"/>
      <c r="NW1691" s="6"/>
      <c r="NX1691" s="6"/>
      <c r="NY1691" s="6"/>
      <c r="NZ1691" s="6"/>
      <c r="OA1691" s="6"/>
      <c r="OB1691" s="46"/>
      <c r="OC1691" s="4"/>
      <c r="OD1691" s="6"/>
    </row>
    <row r="1692" spans="1:394" x14ac:dyDescent="0.25">
      <c r="A1692" s="47"/>
      <c r="B1692" s="48"/>
      <c r="C1692" s="133"/>
      <c r="D1692" s="133"/>
      <c r="E1692" s="133"/>
      <c r="F1692" s="133"/>
      <c r="G1692" s="133"/>
      <c r="H1692" s="133"/>
      <c r="I1692" s="133"/>
      <c r="J1692" s="133"/>
      <c r="K1692" s="133"/>
      <c r="L1692" s="133"/>
      <c r="NW1692" s="6"/>
      <c r="NX1692" s="6"/>
      <c r="NY1692" s="6"/>
      <c r="NZ1692" s="6"/>
      <c r="OA1692" s="6"/>
      <c r="OB1692" s="46"/>
      <c r="OC1692" s="4"/>
      <c r="OD1692" s="6"/>
    </row>
    <row r="1693" spans="1:394" x14ac:dyDescent="0.25">
      <c r="A1693" s="47"/>
      <c r="B1693" s="48"/>
      <c r="C1693" s="133"/>
      <c r="D1693" s="133"/>
      <c r="E1693" s="133"/>
      <c r="F1693" s="133"/>
      <c r="G1693" s="133"/>
      <c r="H1693" s="133"/>
      <c r="I1693" s="133"/>
      <c r="J1693" s="133"/>
      <c r="K1693" s="133"/>
      <c r="L1693" s="133"/>
      <c r="NW1693" s="6"/>
      <c r="NX1693" s="6"/>
      <c r="NY1693" s="6"/>
      <c r="NZ1693" s="6"/>
      <c r="OA1693" s="6"/>
      <c r="OB1693" s="46"/>
      <c r="OC1693" s="4"/>
      <c r="OD1693" s="6"/>
    </row>
    <row r="1694" spans="1:394" x14ac:dyDescent="0.25">
      <c r="A1694" s="47"/>
      <c r="B1694" s="48"/>
      <c r="C1694" s="133"/>
      <c r="D1694" s="133"/>
      <c r="E1694" s="133"/>
      <c r="F1694" s="133"/>
      <c r="G1694" s="133"/>
      <c r="H1694" s="133"/>
      <c r="I1694" s="133"/>
      <c r="J1694" s="133"/>
      <c r="K1694" s="133"/>
      <c r="L1694" s="133"/>
      <c r="NW1694" s="6"/>
      <c r="NX1694" s="6"/>
      <c r="NY1694" s="6"/>
      <c r="NZ1694" s="6"/>
      <c r="OA1694" s="6"/>
      <c r="OB1694" s="46"/>
      <c r="OC1694" s="4"/>
      <c r="OD1694" s="6"/>
    </row>
    <row r="1695" spans="1:394" x14ac:dyDescent="0.25">
      <c r="A1695" s="47"/>
      <c r="B1695" s="48"/>
      <c r="C1695" s="133"/>
      <c r="D1695" s="133"/>
      <c r="E1695" s="133"/>
      <c r="F1695" s="133"/>
      <c r="G1695" s="133"/>
      <c r="H1695" s="133"/>
      <c r="I1695" s="133"/>
      <c r="J1695" s="133"/>
      <c r="K1695" s="133"/>
      <c r="L1695" s="133"/>
      <c r="NW1695" s="6"/>
      <c r="NX1695" s="6"/>
      <c r="NY1695" s="6"/>
      <c r="NZ1695" s="6"/>
      <c r="OA1695" s="6"/>
      <c r="OB1695" s="46"/>
      <c r="OC1695" s="4"/>
      <c r="OD1695" s="6"/>
    </row>
    <row r="1696" spans="1:394" x14ac:dyDescent="0.25">
      <c r="A1696" s="47"/>
      <c r="B1696" s="48"/>
      <c r="C1696" s="133"/>
      <c r="D1696" s="133"/>
      <c r="E1696" s="133"/>
      <c r="F1696" s="133"/>
      <c r="G1696" s="133"/>
      <c r="H1696" s="133"/>
      <c r="I1696" s="133"/>
      <c r="J1696" s="133"/>
      <c r="K1696" s="133"/>
      <c r="L1696" s="133"/>
      <c r="NW1696" s="6"/>
      <c r="NX1696" s="6"/>
      <c r="NY1696" s="6"/>
      <c r="NZ1696" s="6"/>
      <c r="OA1696" s="6"/>
      <c r="OB1696" s="46"/>
      <c r="OC1696" s="4"/>
      <c r="OD1696" s="6"/>
    </row>
    <row r="1697" spans="1:394" x14ac:dyDescent="0.25">
      <c r="A1697" s="47"/>
      <c r="B1697" s="48"/>
      <c r="C1697" s="133"/>
      <c r="D1697" s="133"/>
      <c r="E1697" s="133"/>
      <c r="F1697" s="133"/>
      <c r="G1697" s="133"/>
      <c r="H1697" s="133"/>
      <c r="I1697" s="133"/>
      <c r="J1697" s="133"/>
      <c r="K1697" s="133"/>
      <c r="L1697" s="133"/>
      <c r="NW1697" s="6"/>
      <c r="NX1697" s="6"/>
      <c r="NY1697" s="6"/>
      <c r="NZ1697" s="6"/>
      <c r="OA1697" s="6"/>
      <c r="OB1697" s="46"/>
      <c r="OC1697" s="4"/>
      <c r="OD1697" s="6"/>
    </row>
    <row r="1698" spans="1:394" x14ac:dyDescent="0.25">
      <c r="A1698" s="47"/>
      <c r="B1698" s="48"/>
      <c r="C1698" s="133"/>
      <c r="D1698" s="133"/>
      <c r="E1698" s="133"/>
      <c r="F1698" s="133"/>
      <c r="G1698" s="133"/>
      <c r="H1698" s="133"/>
      <c r="I1698" s="133"/>
      <c r="J1698" s="133"/>
      <c r="K1698" s="133"/>
      <c r="L1698" s="133"/>
      <c r="NW1698" s="6"/>
      <c r="NX1698" s="6"/>
      <c r="NY1698" s="6"/>
      <c r="NZ1698" s="6"/>
      <c r="OA1698" s="6"/>
      <c r="OB1698" s="46"/>
      <c r="OC1698" s="4"/>
      <c r="OD1698" s="6"/>
    </row>
    <row r="1699" spans="1:394" x14ac:dyDescent="0.25">
      <c r="A1699" s="47"/>
      <c r="B1699" s="48"/>
      <c r="C1699" s="133"/>
      <c r="D1699" s="133"/>
      <c r="E1699" s="133"/>
      <c r="F1699" s="133"/>
      <c r="G1699" s="133"/>
      <c r="H1699" s="133"/>
      <c r="I1699" s="133"/>
      <c r="J1699" s="133"/>
      <c r="K1699" s="133"/>
      <c r="L1699" s="133"/>
      <c r="NW1699" s="6"/>
      <c r="NX1699" s="6"/>
      <c r="NY1699" s="6"/>
      <c r="NZ1699" s="6"/>
      <c r="OA1699" s="6"/>
      <c r="OB1699" s="46"/>
      <c r="OC1699" s="4"/>
      <c r="OD1699" s="6"/>
    </row>
    <row r="1700" spans="1:394" x14ac:dyDescent="0.25">
      <c r="A1700" s="47"/>
      <c r="B1700" s="48"/>
      <c r="C1700" s="133"/>
      <c r="D1700" s="133"/>
      <c r="E1700" s="133"/>
      <c r="F1700" s="133"/>
      <c r="G1700" s="133"/>
      <c r="H1700" s="133"/>
      <c r="I1700" s="133"/>
      <c r="J1700" s="133"/>
      <c r="K1700" s="133"/>
      <c r="L1700" s="133"/>
      <c r="NW1700" s="6"/>
      <c r="NX1700" s="6"/>
      <c r="NY1700" s="6"/>
      <c r="NZ1700" s="6"/>
      <c r="OA1700" s="6"/>
      <c r="OB1700" s="46"/>
      <c r="OC1700" s="4"/>
      <c r="OD1700" s="6"/>
    </row>
    <row r="1701" spans="1:394" x14ac:dyDescent="0.25">
      <c r="A1701" s="47"/>
      <c r="B1701" s="48"/>
      <c r="C1701" s="133"/>
      <c r="D1701" s="133"/>
      <c r="E1701" s="133"/>
      <c r="F1701" s="133"/>
      <c r="G1701" s="133"/>
      <c r="H1701" s="133"/>
      <c r="I1701" s="133"/>
      <c r="J1701" s="133"/>
      <c r="K1701" s="133"/>
      <c r="L1701" s="133"/>
      <c r="NW1701" s="6"/>
      <c r="NX1701" s="6"/>
      <c r="NY1701" s="6"/>
      <c r="NZ1701" s="6"/>
      <c r="OA1701" s="6"/>
      <c r="OB1701" s="46"/>
      <c r="OC1701" s="4"/>
      <c r="OD1701" s="6"/>
    </row>
    <row r="1702" spans="1:394" x14ac:dyDescent="0.25">
      <c r="A1702" s="47"/>
      <c r="B1702" s="48"/>
      <c r="C1702" s="133"/>
      <c r="D1702" s="133"/>
      <c r="E1702" s="133"/>
      <c r="F1702" s="133"/>
      <c r="G1702" s="133"/>
      <c r="H1702" s="133"/>
      <c r="I1702" s="133"/>
      <c r="J1702" s="133"/>
      <c r="K1702" s="133"/>
      <c r="L1702" s="133"/>
      <c r="NW1702" s="6"/>
      <c r="NX1702" s="6"/>
      <c r="NY1702" s="6"/>
      <c r="NZ1702" s="6"/>
      <c r="OA1702" s="6"/>
      <c r="OB1702" s="46"/>
      <c r="OC1702" s="4"/>
      <c r="OD1702" s="6"/>
    </row>
    <row r="1703" spans="1:394" x14ac:dyDescent="0.25">
      <c r="A1703" s="47"/>
      <c r="B1703" s="48"/>
      <c r="C1703" s="133"/>
      <c r="D1703" s="133"/>
      <c r="E1703" s="133"/>
      <c r="F1703" s="133"/>
      <c r="G1703" s="133"/>
      <c r="H1703" s="133"/>
      <c r="I1703" s="133"/>
      <c r="J1703" s="133"/>
      <c r="K1703" s="133"/>
      <c r="L1703" s="133"/>
      <c r="NW1703" s="6"/>
      <c r="NX1703" s="6"/>
      <c r="NY1703" s="6"/>
      <c r="NZ1703" s="6"/>
      <c r="OA1703" s="6"/>
      <c r="OB1703" s="46"/>
      <c r="OC1703" s="4"/>
      <c r="OD1703" s="6"/>
    </row>
    <row r="1704" spans="1:394" x14ac:dyDescent="0.25">
      <c r="A1704" s="47"/>
      <c r="B1704" s="48"/>
      <c r="C1704" s="133"/>
      <c r="D1704" s="133"/>
      <c r="E1704" s="133"/>
      <c r="F1704" s="133"/>
      <c r="G1704" s="133"/>
      <c r="H1704" s="133"/>
      <c r="I1704" s="133"/>
      <c r="J1704" s="133"/>
      <c r="K1704" s="133"/>
      <c r="L1704" s="133"/>
      <c r="NW1704" s="6"/>
      <c r="NX1704" s="6"/>
      <c r="NY1704" s="6"/>
      <c r="NZ1704" s="6"/>
      <c r="OA1704" s="6"/>
      <c r="OB1704" s="46"/>
      <c r="OC1704" s="4"/>
      <c r="OD1704" s="6"/>
    </row>
    <row r="1705" spans="1:394" x14ac:dyDescent="0.25">
      <c r="A1705" s="47"/>
      <c r="B1705" s="48"/>
      <c r="C1705" s="133"/>
      <c r="D1705" s="133"/>
      <c r="E1705" s="133"/>
      <c r="F1705" s="133"/>
      <c r="G1705" s="133"/>
      <c r="H1705" s="133"/>
      <c r="I1705" s="133"/>
      <c r="J1705" s="133"/>
      <c r="K1705" s="133"/>
      <c r="L1705" s="133"/>
      <c r="NW1705" s="6"/>
      <c r="NX1705" s="6"/>
      <c r="NY1705" s="6"/>
      <c r="NZ1705" s="6"/>
      <c r="OA1705" s="6"/>
      <c r="OB1705" s="46"/>
      <c r="OC1705" s="4"/>
      <c r="OD1705" s="6"/>
    </row>
    <row r="1706" spans="1:394" x14ac:dyDescent="0.25">
      <c r="A1706" s="47"/>
      <c r="B1706" s="48"/>
      <c r="C1706" s="133"/>
      <c r="D1706" s="133"/>
      <c r="E1706" s="133"/>
      <c r="F1706" s="133"/>
      <c r="G1706" s="133"/>
      <c r="H1706" s="133"/>
      <c r="I1706" s="133"/>
      <c r="J1706" s="133"/>
      <c r="K1706" s="133"/>
      <c r="L1706" s="133"/>
      <c r="NW1706" s="6"/>
      <c r="NX1706" s="6"/>
      <c r="NY1706" s="6"/>
      <c r="NZ1706" s="6"/>
      <c r="OA1706" s="6"/>
      <c r="OB1706" s="46"/>
      <c r="OC1706" s="4"/>
      <c r="OD1706" s="6"/>
    </row>
    <row r="1707" spans="1:394" x14ac:dyDescent="0.25">
      <c r="A1707" s="47"/>
      <c r="B1707" s="48"/>
      <c r="C1707" s="133"/>
      <c r="D1707" s="133"/>
      <c r="E1707" s="133"/>
      <c r="F1707" s="133"/>
      <c r="G1707" s="133"/>
      <c r="H1707" s="133"/>
      <c r="I1707" s="133"/>
      <c r="J1707" s="133"/>
      <c r="K1707" s="133"/>
      <c r="L1707" s="133"/>
      <c r="NW1707" s="6"/>
      <c r="NX1707" s="6"/>
      <c r="NY1707" s="6"/>
      <c r="NZ1707" s="6"/>
      <c r="OA1707" s="6"/>
      <c r="OB1707" s="46"/>
      <c r="OC1707" s="4"/>
      <c r="OD1707" s="6"/>
    </row>
    <row r="1708" spans="1:394" x14ac:dyDescent="0.25">
      <c r="A1708" s="47"/>
      <c r="B1708" s="48"/>
      <c r="C1708" s="133"/>
      <c r="D1708" s="133"/>
      <c r="E1708" s="133"/>
      <c r="F1708" s="133"/>
      <c r="G1708" s="133"/>
      <c r="H1708" s="133"/>
      <c r="I1708" s="133"/>
      <c r="J1708" s="133"/>
      <c r="K1708" s="133"/>
      <c r="L1708" s="133"/>
      <c r="NW1708" s="6"/>
      <c r="NX1708" s="6"/>
      <c r="NY1708" s="6"/>
      <c r="NZ1708" s="6"/>
      <c r="OA1708" s="6"/>
      <c r="OB1708" s="46"/>
      <c r="OC1708" s="4"/>
      <c r="OD1708" s="6"/>
    </row>
    <row r="1709" spans="1:394" x14ac:dyDescent="0.25">
      <c r="A1709" s="47"/>
      <c r="B1709" s="48"/>
      <c r="C1709" s="133"/>
      <c r="D1709" s="133"/>
      <c r="E1709" s="133"/>
      <c r="F1709" s="133"/>
      <c r="G1709" s="133"/>
      <c r="H1709" s="133"/>
      <c r="I1709" s="133"/>
      <c r="J1709" s="133"/>
      <c r="K1709" s="133"/>
      <c r="L1709" s="133"/>
      <c r="NW1709" s="6"/>
      <c r="NX1709" s="6"/>
      <c r="NY1709" s="6"/>
      <c r="NZ1709" s="6"/>
      <c r="OA1709" s="6"/>
      <c r="OB1709" s="46"/>
      <c r="OC1709" s="4"/>
      <c r="OD1709" s="6"/>
    </row>
    <row r="1710" spans="1:394" x14ac:dyDescent="0.25">
      <c r="A1710" s="47"/>
      <c r="B1710" s="48"/>
      <c r="C1710" s="133"/>
      <c r="D1710" s="133"/>
      <c r="E1710" s="133"/>
      <c r="F1710" s="133"/>
      <c r="G1710" s="133"/>
      <c r="H1710" s="133"/>
      <c r="I1710" s="133"/>
      <c r="J1710" s="133"/>
      <c r="K1710" s="133"/>
      <c r="L1710" s="133"/>
      <c r="NW1710" s="6"/>
      <c r="NX1710" s="6"/>
      <c r="NY1710" s="6"/>
      <c r="NZ1710" s="6"/>
      <c r="OA1710" s="6"/>
      <c r="OB1710" s="46"/>
      <c r="OC1710" s="4"/>
      <c r="OD1710" s="6"/>
    </row>
    <row r="1711" spans="1:394" x14ac:dyDescent="0.25">
      <c r="A1711" s="47"/>
      <c r="B1711" s="48"/>
      <c r="C1711" s="133"/>
      <c r="D1711" s="133"/>
      <c r="E1711" s="133"/>
      <c r="F1711" s="133"/>
      <c r="G1711" s="133"/>
      <c r="H1711" s="133"/>
      <c r="I1711" s="133"/>
      <c r="J1711" s="133"/>
      <c r="K1711" s="133"/>
      <c r="L1711" s="133"/>
      <c r="NW1711" s="6"/>
      <c r="NX1711" s="6"/>
      <c r="NY1711" s="6"/>
      <c r="NZ1711" s="6"/>
      <c r="OA1711" s="6"/>
      <c r="OB1711" s="46"/>
      <c r="OC1711" s="4"/>
      <c r="OD1711" s="6"/>
    </row>
    <row r="1712" spans="1:394" x14ac:dyDescent="0.25">
      <c r="A1712" s="47"/>
      <c r="B1712" s="48"/>
      <c r="C1712" s="133"/>
      <c r="D1712" s="133"/>
      <c r="E1712" s="133"/>
      <c r="F1712" s="133"/>
      <c r="G1712" s="133"/>
      <c r="H1712" s="133"/>
      <c r="I1712" s="133"/>
      <c r="J1712" s="133"/>
      <c r="K1712" s="133"/>
      <c r="L1712" s="133"/>
      <c r="NW1712" s="6"/>
      <c r="NX1712" s="6"/>
      <c r="NY1712" s="6"/>
      <c r="NZ1712" s="6"/>
      <c r="OA1712" s="6"/>
      <c r="OB1712" s="46"/>
      <c r="OC1712" s="4"/>
      <c r="OD1712" s="6"/>
    </row>
    <row r="1713" spans="1:394" x14ac:dyDescent="0.25">
      <c r="A1713" s="47"/>
      <c r="B1713" s="48"/>
      <c r="C1713" s="133"/>
      <c r="D1713" s="133"/>
      <c r="E1713" s="133"/>
      <c r="F1713" s="133"/>
      <c r="G1713" s="133"/>
      <c r="H1713" s="133"/>
      <c r="I1713" s="133"/>
      <c r="J1713" s="133"/>
      <c r="K1713" s="133"/>
      <c r="L1713" s="133"/>
      <c r="NW1713" s="6"/>
      <c r="NX1713" s="6"/>
      <c r="NY1713" s="6"/>
      <c r="NZ1713" s="6"/>
      <c r="OA1713" s="6"/>
      <c r="OB1713" s="46"/>
      <c r="OC1713" s="4"/>
      <c r="OD1713" s="6"/>
    </row>
    <row r="1714" spans="1:394" x14ac:dyDescent="0.25">
      <c r="A1714" s="47"/>
      <c r="B1714" s="48"/>
      <c r="C1714" s="133"/>
      <c r="D1714" s="133"/>
      <c r="E1714" s="133"/>
      <c r="F1714" s="133"/>
      <c r="G1714" s="133"/>
      <c r="H1714" s="133"/>
      <c r="I1714" s="133"/>
      <c r="J1714" s="133"/>
      <c r="K1714" s="133"/>
      <c r="L1714" s="133"/>
      <c r="NW1714" s="6"/>
      <c r="NX1714" s="6"/>
      <c r="NY1714" s="6"/>
      <c r="NZ1714" s="6"/>
      <c r="OA1714" s="6"/>
      <c r="OB1714" s="46"/>
      <c r="OC1714" s="4"/>
      <c r="OD1714" s="6"/>
    </row>
    <row r="1715" spans="1:394" x14ac:dyDescent="0.25">
      <c r="A1715" s="47"/>
      <c r="B1715" s="48"/>
      <c r="C1715" s="133"/>
      <c r="D1715" s="133"/>
      <c r="E1715" s="133"/>
      <c r="F1715" s="133"/>
      <c r="G1715" s="133"/>
      <c r="H1715" s="133"/>
      <c r="I1715" s="133"/>
      <c r="J1715" s="133"/>
      <c r="K1715" s="133"/>
      <c r="L1715" s="133"/>
      <c r="NW1715" s="6"/>
      <c r="NX1715" s="6"/>
      <c r="NY1715" s="6"/>
      <c r="NZ1715" s="6"/>
      <c r="OA1715" s="6"/>
      <c r="OB1715" s="46"/>
      <c r="OC1715" s="4"/>
      <c r="OD1715" s="6"/>
    </row>
    <row r="1716" spans="1:394" x14ac:dyDescent="0.25">
      <c r="A1716" s="47"/>
      <c r="B1716" s="48"/>
      <c r="C1716" s="133"/>
      <c r="D1716" s="133"/>
      <c r="E1716" s="133"/>
      <c r="F1716" s="133"/>
      <c r="G1716" s="133"/>
      <c r="H1716" s="133"/>
      <c r="I1716" s="133"/>
      <c r="J1716" s="133"/>
      <c r="K1716" s="133"/>
      <c r="L1716" s="133"/>
      <c r="NW1716" s="6"/>
      <c r="NX1716" s="6"/>
      <c r="NY1716" s="6"/>
      <c r="NZ1716" s="6"/>
      <c r="OA1716" s="6"/>
      <c r="OB1716" s="46"/>
      <c r="OC1716" s="4"/>
      <c r="OD1716" s="6"/>
    </row>
    <row r="1717" spans="1:394" x14ac:dyDescent="0.25">
      <c r="A1717" s="47"/>
      <c r="B1717" s="48"/>
      <c r="C1717" s="133"/>
      <c r="D1717" s="133"/>
      <c r="E1717" s="133"/>
      <c r="F1717" s="133"/>
      <c r="G1717" s="133"/>
      <c r="H1717" s="133"/>
      <c r="I1717" s="133"/>
      <c r="J1717" s="133"/>
      <c r="K1717" s="133"/>
      <c r="L1717" s="133"/>
      <c r="NW1717" s="6"/>
      <c r="NX1717" s="6"/>
      <c r="NY1717" s="6"/>
      <c r="NZ1717" s="6"/>
      <c r="OA1717" s="6"/>
      <c r="OB1717" s="46"/>
      <c r="OC1717" s="4"/>
      <c r="OD1717" s="6"/>
    </row>
    <row r="1718" spans="1:394" x14ac:dyDescent="0.25">
      <c r="A1718" s="47"/>
      <c r="B1718" s="48"/>
      <c r="C1718" s="133"/>
      <c r="D1718" s="133"/>
      <c r="E1718" s="133"/>
      <c r="F1718" s="133"/>
      <c r="G1718" s="133"/>
      <c r="H1718" s="133"/>
      <c r="I1718" s="133"/>
      <c r="J1718" s="133"/>
      <c r="K1718" s="133"/>
      <c r="L1718" s="133"/>
      <c r="NW1718" s="6"/>
      <c r="NX1718" s="6"/>
      <c r="NY1718" s="6"/>
      <c r="NZ1718" s="6"/>
      <c r="OA1718" s="6"/>
      <c r="OB1718" s="46"/>
      <c r="OC1718" s="4"/>
      <c r="OD1718" s="6"/>
    </row>
    <row r="1719" spans="1:394" x14ac:dyDescent="0.25">
      <c r="A1719" s="47"/>
      <c r="B1719" s="48"/>
      <c r="C1719" s="133"/>
      <c r="D1719" s="133"/>
      <c r="E1719" s="133"/>
      <c r="F1719" s="133"/>
      <c r="G1719" s="133"/>
      <c r="H1719" s="133"/>
      <c r="I1719" s="133"/>
      <c r="J1719" s="133"/>
      <c r="K1719" s="133"/>
      <c r="L1719" s="133"/>
      <c r="NW1719" s="6"/>
      <c r="NX1719" s="6"/>
      <c r="NY1719" s="6"/>
      <c r="NZ1719" s="6"/>
      <c r="OA1719" s="6"/>
      <c r="OB1719" s="46"/>
      <c r="OC1719" s="4"/>
      <c r="OD1719" s="6"/>
    </row>
    <row r="1720" spans="1:394" x14ac:dyDescent="0.25">
      <c r="A1720" s="47"/>
      <c r="B1720" s="48"/>
      <c r="C1720" s="133"/>
      <c r="D1720" s="133"/>
      <c r="E1720" s="133"/>
      <c r="F1720" s="133"/>
      <c r="G1720" s="133"/>
      <c r="H1720" s="133"/>
      <c r="I1720" s="133"/>
      <c r="J1720" s="133"/>
      <c r="K1720" s="133"/>
      <c r="L1720" s="133"/>
      <c r="NW1720" s="6"/>
      <c r="NX1720" s="6"/>
      <c r="NY1720" s="6"/>
      <c r="NZ1720" s="6"/>
      <c r="OA1720" s="6"/>
      <c r="OB1720" s="46"/>
      <c r="OC1720" s="4"/>
      <c r="OD1720" s="6"/>
    </row>
    <row r="1721" spans="1:394" x14ac:dyDescent="0.25">
      <c r="A1721" s="47"/>
      <c r="B1721" s="48"/>
      <c r="C1721" s="133"/>
      <c r="D1721" s="133"/>
      <c r="E1721" s="133"/>
      <c r="F1721" s="133"/>
      <c r="G1721" s="133"/>
      <c r="H1721" s="133"/>
      <c r="I1721" s="133"/>
      <c r="J1721" s="133"/>
      <c r="K1721" s="133"/>
      <c r="L1721" s="133"/>
      <c r="NW1721" s="6"/>
      <c r="NX1721" s="6"/>
      <c r="NY1721" s="6"/>
      <c r="NZ1721" s="6"/>
      <c r="OA1721" s="6"/>
      <c r="OB1721" s="46"/>
      <c r="OC1721" s="4"/>
      <c r="OD1721" s="6"/>
    </row>
    <row r="1722" spans="1:394" x14ac:dyDescent="0.25">
      <c r="A1722" s="47"/>
      <c r="B1722" s="48"/>
      <c r="C1722" s="133"/>
      <c r="D1722" s="133"/>
      <c r="E1722" s="133"/>
      <c r="F1722" s="133"/>
      <c r="G1722" s="133"/>
      <c r="H1722" s="133"/>
      <c r="I1722" s="133"/>
      <c r="J1722" s="133"/>
      <c r="K1722" s="133"/>
      <c r="L1722" s="133"/>
      <c r="NW1722" s="6"/>
      <c r="NX1722" s="6"/>
      <c r="NY1722" s="6"/>
      <c r="NZ1722" s="6"/>
      <c r="OA1722" s="6"/>
      <c r="OB1722" s="46"/>
      <c r="OC1722" s="4"/>
      <c r="OD1722" s="6"/>
    </row>
    <row r="1723" spans="1:394" x14ac:dyDescent="0.25">
      <c r="A1723" s="47"/>
      <c r="B1723" s="48"/>
      <c r="C1723" s="133"/>
      <c r="D1723" s="133"/>
      <c r="E1723" s="133"/>
      <c r="F1723" s="133"/>
      <c r="G1723" s="133"/>
      <c r="H1723" s="133"/>
      <c r="I1723" s="133"/>
      <c r="J1723" s="133"/>
      <c r="K1723" s="133"/>
      <c r="L1723" s="133"/>
      <c r="NW1723" s="6"/>
      <c r="NX1723" s="6"/>
      <c r="NY1723" s="6"/>
      <c r="NZ1723" s="6"/>
      <c r="OA1723" s="6"/>
      <c r="OB1723" s="46"/>
      <c r="OC1723" s="4"/>
      <c r="OD1723" s="6"/>
    </row>
    <row r="1724" spans="1:394" x14ac:dyDescent="0.25">
      <c r="A1724" s="47"/>
      <c r="B1724" s="48"/>
      <c r="C1724" s="133"/>
      <c r="D1724" s="133"/>
      <c r="E1724" s="133"/>
      <c r="F1724" s="133"/>
      <c r="G1724" s="133"/>
      <c r="H1724" s="133"/>
      <c r="I1724" s="133"/>
      <c r="J1724" s="133"/>
      <c r="K1724" s="133"/>
      <c r="L1724" s="133"/>
      <c r="NW1724" s="6"/>
      <c r="NX1724" s="6"/>
      <c r="NY1724" s="6"/>
      <c r="NZ1724" s="6"/>
      <c r="OA1724" s="6"/>
      <c r="OB1724" s="46"/>
      <c r="OC1724" s="4"/>
      <c r="OD1724" s="6"/>
    </row>
    <row r="1725" spans="1:394" x14ac:dyDescent="0.25">
      <c r="A1725" s="47"/>
      <c r="B1725" s="48"/>
      <c r="C1725" s="133"/>
      <c r="D1725" s="133"/>
      <c r="E1725" s="133"/>
      <c r="F1725" s="133"/>
      <c r="G1725" s="133"/>
      <c r="H1725" s="133"/>
      <c r="I1725" s="133"/>
      <c r="J1725" s="133"/>
      <c r="K1725" s="133"/>
      <c r="L1725" s="133"/>
      <c r="NW1725" s="6"/>
      <c r="NX1725" s="6"/>
      <c r="NY1725" s="6"/>
      <c r="NZ1725" s="6"/>
      <c r="OA1725" s="6"/>
      <c r="OB1725" s="46"/>
      <c r="OC1725" s="4"/>
      <c r="OD1725" s="6"/>
    </row>
    <row r="1726" spans="1:394" x14ac:dyDescent="0.25">
      <c r="A1726" s="47"/>
      <c r="B1726" s="48"/>
      <c r="C1726" s="133"/>
      <c r="D1726" s="133"/>
      <c r="E1726" s="133"/>
      <c r="F1726" s="133"/>
      <c r="G1726" s="133"/>
      <c r="H1726" s="133"/>
      <c r="I1726" s="133"/>
      <c r="J1726" s="133"/>
      <c r="K1726" s="133"/>
      <c r="L1726" s="133"/>
      <c r="NW1726" s="6"/>
      <c r="NX1726" s="6"/>
      <c r="NY1726" s="6"/>
      <c r="NZ1726" s="6"/>
      <c r="OA1726" s="6"/>
      <c r="OB1726" s="46"/>
      <c r="OC1726" s="4"/>
      <c r="OD1726" s="6"/>
    </row>
  </sheetData>
  <sheetProtection formatCells="0" formatColumns="0" formatRows="0" insertColumns="0" insertRows="0" insertHyperlinks="0" deleteColumns="0" deleteRows="0" sort="0" autoFilter="0" pivotTables="0"/>
  <autoFilter ref="A1:OD179">
    <filterColumn colId="391">
      <customFilters>
        <customFilter operator="greaterThan" val="0"/>
      </customFilters>
    </filterColumn>
    <sortState ref="A2:KZ413">
      <sortCondition ref="A1:A413"/>
    </sortState>
  </autoFilter>
  <sortState ref="OA237:OB261">
    <sortCondition ref="OA236"/>
  </sortState>
  <phoneticPr fontId="0" type="noConversion"/>
  <pageMargins left="0.75" right="0.75" top="1" bottom="1" header="0.5" footer="0.5"/>
  <pageSetup paperSize="9" scale="60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DC395"/>
  <sheetViews>
    <sheetView tabSelected="1" zoomScale="110" zoomScaleNormal="110" zoomScaleSheetLayoutView="100" workbookViewId="0">
      <pane xSplit="7" ySplit="2" topLeftCell="AB15" activePane="bottomRight" state="frozen"/>
      <selection activeCell="B107" sqref="B106:B107"/>
      <selection pane="topRight" activeCell="B107" sqref="B106:B107"/>
      <selection pane="bottomLeft" activeCell="B107" sqref="B106:B107"/>
      <selection pane="bottomRight" activeCell="AB23" sqref="AB23"/>
    </sheetView>
  </sheetViews>
  <sheetFormatPr defaultColWidth="255.6640625" defaultRowHeight="13.2" x14ac:dyDescent="0.25"/>
  <cols>
    <col min="1" max="1" width="37.109375" style="7" bestFit="1" customWidth="1"/>
    <col min="2" max="2" width="10.88671875" style="39" bestFit="1" customWidth="1"/>
    <col min="3" max="3" width="8" customWidth="1"/>
    <col min="4" max="4" width="10.109375" style="39" customWidth="1"/>
    <col min="5" max="5" width="11.5546875" style="7" customWidth="1"/>
    <col min="6" max="6" width="14.88671875" bestFit="1" customWidth="1"/>
    <col min="7" max="7" width="8.44140625" style="60" hidden="1" customWidth="1"/>
    <col min="8" max="8" width="6.5546875" style="60" bestFit="1" customWidth="1"/>
    <col min="9" max="9" width="10.33203125" style="60" hidden="1" customWidth="1"/>
    <col min="10" max="10" width="10.109375" style="181" hidden="1" customWidth="1"/>
    <col min="11" max="11" width="6.5546875" style="60" customWidth="1"/>
    <col min="12" max="14" width="8" style="38" hidden="1" customWidth="1"/>
    <col min="15" max="15" width="8" style="38" customWidth="1"/>
    <col min="16" max="16" width="7.6640625" style="38" bestFit="1" customWidth="1"/>
    <col min="17" max="17" width="7.6640625" style="38" hidden="1" customWidth="1"/>
    <col min="18" max="18" width="10.109375" style="38" bestFit="1" customWidth="1"/>
    <col min="19" max="19" width="7.5546875" style="38" bestFit="1" customWidth="1"/>
    <col min="20" max="22" width="7.5546875" style="38" hidden="1" customWidth="1"/>
    <col min="23" max="23" width="7.88671875" style="38" customWidth="1"/>
    <col min="24" max="25" width="7.33203125" style="38" customWidth="1"/>
    <col min="26" max="26" width="7.33203125" style="38" hidden="1" customWidth="1"/>
    <col min="27" max="28" width="7.6640625" style="38" customWidth="1"/>
    <col min="29" max="29" width="7" style="38" bestFit="1" customWidth="1"/>
    <col min="30" max="30" width="7" style="38" hidden="1" customWidth="1"/>
    <col min="31" max="31" width="6.6640625" style="38" customWidth="1"/>
    <col min="32" max="32" width="9.44140625" style="38" hidden="1" customWidth="1"/>
    <col min="33" max="33" width="7.33203125" style="38" customWidth="1"/>
    <col min="34" max="35" width="7.6640625" style="38" customWidth="1"/>
    <col min="36" max="36" width="7.6640625" style="38" hidden="1" customWidth="1"/>
    <col min="37" max="38" width="7.6640625" style="38" customWidth="1"/>
    <col min="39" max="39" width="8.109375" style="38" hidden="1" customWidth="1"/>
    <col min="40" max="40" width="8.109375" style="38" customWidth="1"/>
    <col min="41" max="41" width="8.109375" style="38" hidden="1" customWidth="1"/>
    <col min="42" max="42" width="8.109375" style="38" customWidth="1"/>
    <col min="43" max="43" width="8.109375" style="38" hidden="1" customWidth="1"/>
    <col min="44" max="44" width="8.109375" style="38" customWidth="1"/>
    <col min="45" max="46" width="8.109375" style="38" hidden="1" customWidth="1"/>
    <col min="47" max="47" width="9.109375" style="38" customWidth="1"/>
    <col min="48" max="48" width="6.44140625" style="38" hidden="1" customWidth="1"/>
    <col min="49" max="55" width="10.88671875" style="38" hidden="1" customWidth="1"/>
    <col min="56" max="56" width="10.88671875" style="38" customWidth="1"/>
    <col min="57" max="57" width="10.5546875" style="38" bestFit="1" customWidth="1"/>
    <col min="58" max="58" width="10.88671875" style="38" customWidth="1"/>
    <col min="59" max="70" width="10.88671875" style="38" hidden="1" customWidth="1"/>
    <col min="71" max="71" width="6.5546875" style="38" hidden="1" customWidth="1"/>
    <col min="72" max="81" width="7.5546875" style="38" hidden="1" customWidth="1"/>
    <col min="82" max="82" width="7.6640625" style="38" bestFit="1" customWidth="1"/>
    <col min="83" max="83" width="13.33203125" style="35" bestFit="1" customWidth="1"/>
    <col min="84" max="107" width="255.6640625" style="38"/>
    <col min="108" max="16384" width="255.6640625" style="7"/>
  </cols>
  <sheetData>
    <row r="1" spans="1:107" ht="45.75" customHeight="1" x14ac:dyDescent="0.25">
      <c r="A1" s="9" t="s">
        <v>33</v>
      </c>
      <c r="B1" s="9" t="s">
        <v>6</v>
      </c>
      <c r="C1" s="150" t="s">
        <v>7</v>
      </c>
      <c r="D1" s="17" t="s">
        <v>41</v>
      </c>
      <c r="E1" s="14" t="s">
        <v>58</v>
      </c>
      <c r="F1" s="1" t="s">
        <v>8</v>
      </c>
      <c r="G1" s="58" t="s">
        <v>422</v>
      </c>
      <c r="H1" s="58" t="s">
        <v>358</v>
      </c>
      <c r="I1" s="58" t="s">
        <v>358</v>
      </c>
      <c r="J1" s="176" t="s">
        <v>424</v>
      </c>
      <c r="K1" s="58" t="s">
        <v>388</v>
      </c>
      <c r="L1" s="94" t="s">
        <v>92</v>
      </c>
      <c r="M1" s="94" t="s">
        <v>357</v>
      </c>
      <c r="N1" s="94" t="s">
        <v>80</v>
      </c>
      <c r="O1" s="94" t="s">
        <v>45</v>
      </c>
      <c r="P1" s="94" t="s">
        <v>30</v>
      </c>
      <c r="Q1" s="94" t="s">
        <v>297</v>
      </c>
      <c r="R1" s="94" t="s">
        <v>297</v>
      </c>
      <c r="S1" s="94" t="s">
        <v>81</v>
      </c>
      <c r="T1" s="94" t="s">
        <v>81</v>
      </c>
      <c r="U1" s="94" t="s">
        <v>57</v>
      </c>
      <c r="V1" s="94" t="s">
        <v>57</v>
      </c>
      <c r="W1" s="94" t="s">
        <v>57</v>
      </c>
      <c r="X1" s="94" t="s">
        <v>423</v>
      </c>
      <c r="Y1" s="94" t="s">
        <v>363</v>
      </c>
      <c r="Z1" s="94" t="s">
        <v>143</v>
      </c>
      <c r="AA1" s="94" t="s">
        <v>59</v>
      </c>
      <c r="AB1" s="94" t="s">
        <v>206</v>
      </c>
      <c r="AC1" s="94" t="s">
        <v>182</v>
      </c>
      <c r="AD1" s="94" t="s">
        <v>93</v>
      </c>
      <c r="AE1" s="94" t="s">
        <v>93</v>
      </c>
      <c r="AF1" s="94" t="s">
        <v>244</v>
      </c>
      <c r="AG1" s="94" t="s">
        <v>298</v>
      </c>
      <c r="AH1" s="94" t="s">
        <v>370</v>
      </c>
      <c r="AI1" s="94" t="s">
        <v>94</v>
      </c>
      <c r="AJ1" s="94" t="s">
        <v>94</v>
      </c>
      <c r="AK1" s="94" t="s">
        <v>440</v>
      </c>
      <c r="AL1" s="94" t="s">
        <v>137</v>
      </c>
      <c r="AM1" s="94" t="s">
        <v>265</v>
      </c>
      <c r="AN1" s="94" t="s">
        <v>302</v>
      </c>
      <c r="AO1" s="94" t="s">
        <v>435</v>
      </c>
      <c r="AP1" s="94" t="s">
        <v>129</v>
      </c>
      <c r="AQ1" s="94" t="s">
        <v>129</v>
      </c>
      <c r="AR1" s="94" t="s">
        <v>407</v>
      </c>
      <c r="AS1" s="94" t="s">
        <v>46</v>
      </c>
      <c r="AT1" s="94" t="s">
        <v>256</v>
      </c>
      <c r="AU1" s="94" t="s">
        <v>436</v>
      </c>
      <c r="AV1" s="94" t="s">
        <v>368</v>
      </c>
      <c r="AW1" s="173" t="s">
        <v>426</v>
      </c>
      <c r="AX1" s="173" t="s">
        <v>352</v>
      </c>
      <c r="AY1" s="173" t="s">
        <v>487</v>
      </c>
      <c r="AZ1" s="173" t="s">
        <v>301</v>
      </c>
      <c r="BA1" s="173" t="s">
        <v>301</v>
      </c>
      <c r="BB1" s="173" t="s">
        <v>301</v>
      </c>
      <c r="BC1" s="173" t="s">
        <v>439</v>
      </c>
      <c r="BD1" s="173" t="s">
        <v>426</v>
      </c>
      <c r="BE1" s="173" t="s">
        <v>426</v>
      </c>
      <c r="BF1" s="173" t="s">
        <v>573</v>
      </c>
      <c r="BG1" s="173" t="s">
        <v>352</v>
      </c>
      <c r="BH1" s="173" t="s">
        <v>446</v>
      </c>
      <c r="BI1" s="173" t="s">
        <v>45</v>
      </c>
      <c r="BJ1" s="173" t="s">
        <v>407</v>
      </c>
      <c r="BK1" s="173" t="s">
        <v>348</v>
      </c>
      <c r="BL1" s="173" t="s">
        <v>388</v>
      </c>
      <c r="BM1" s="173" t="s">
        <v>66</v>
      </c>
      <c r="BN1" s="173" t="s">
        <v>576</v>
      </c>
      <c r="BO1" s="173" t="s">
        <v>577</v>
      </c>
      <c r="BP1" s="173" t="s">
        <v>244</v>
      </c>
      <c r="BQ1" s="173" t="s">
        <v>439</v>
      </c>
      <c r="BR1" s="173" t="s">
        <v>578</v>
      </c>
      <c r="BS1" s="173" t="s">
        <v>579</v>
      </c>
      <c r="BT1" s="173" t="s">
        <v>487</v>
      </c>
      <c r="BU1" s="173" t="s">
        <v>146</v>
      </c>
      <c r="BV1" s="173" t="s">
        <v>580</v>
      </c>
      <c r="BW1" s="173" t="s">
        <v>202</v>
      </c>
      <c r="BX1" s="173" t="s">
        <v>470</v>
      </c>
      <c r="BY1" s="173" t="s">
        <v>143</v>
      </c>
      <c r="BZ1" s="173" t="s">
        <v>265</v>
      </c>
      <c r="CA1" s="173" t="s">
        <v>440</v>
      </c>
      <c r="CB1" s="173" t="s">
        <v>452</v>
      </c>
      <c r="CC1" s="173" t="s">
        <v>80</v>
      </c>
      <c r="CD1" s="96" t="s">
        <v>199</v>
      </c>
      <c r="CE1" s="91" t="s">
        <v>23</v>
      </c>
      <c r="CF1" s="5"/>
    </row>
    <row r="2" spans="1:107" x14ac:dyDescent="0.25">
      <c r="A2" s="8" t="s">
        <v>9</v>
      </c>
      <c r="B2" s="10" t="s">
        <v>10</v>
      </c>
      <c r="C2" s="2" t="s">
        <v>10</v>
      </c>
      <c r="D2" s="17" t="s">
        <v>43</v>
      </c>
      <c r="E2" s="15" t="s">
        <v>60</v>
      </c>
      <c r="F2" s="2" t="s">
        <v>34</v>
      </c>
      <c r="G2" s="59"/>
      <c r="H2" s="174"/>
      <c r="I2" s="174">
        <v>44572</v>
      </c>
      <c r="J2" s="182">
        <v>44572</v>
      </c>
      <c r="K2" s="59"/>
      <c r="L2" s="95">
        <v>44571</v>
      </c>
      <c r="M2" s="95">
        <v>44573</v>
      </c>
      <c r="N2" s="95">
        <v>44573</v>
      </c>
      <c r="O2" s="95"/>
      <c r="P2" s="95"/>
      <c r="Q2" s="95">
        <v>44575</v>
      </c>
      <c r="R2" s="95"/>
      <c r="S2" s="95"/>
      <c r="T2" s="95">
        <v>44573</v>
      </c>
      <c r="U2" s="95">
        <v>44587</v>
      </c>
      <c r="V2" s="95">
        <v>44587</v>
      </c>
      <c r="W2" s="95"/>
      <c r="X2" s="95"/>
      <c r="Y2" s="95"/>
      <c r="Z2" s="95">
        <v>44573</v>
      </c>
      <c r="AA2" s="95"/>
      <c r="AB2" s="95"/>
      <c r="AC2" s="95"/>
      <c r="AD2" s="95">
        <v>44573</v>
      </c>
      <c r="AE2" s="95"/>
      <c r="AF2" s="95">
        <v>44572</v>
      </c>
      <c r="AG2" s="95"/>
      <c r="AH2" s="95"/>
      <c r="AI2" s="95"/>
      <c r="AJ2" s="95">
        <v>44586</v>
      </c>
      <c r="AK2" s="95"/>
      <c r="AL2" s="95"/>
      <c r="AM2" s="95">
        <v>44571</v>
      </c>
      <c r="AN2" s="95"/>
      <c r="AO2" s="95">
        <v>44581</v>
      </c>
      <c r="AP2" s="95"/>
      <c r="AQ2" s="95">
        <v>44574</v>
      </c>
      <c r="AR2" s="95"/>
      <c r="AS2" s="95">
        <v>44581</v>
      </c>
      <c r="AT2" s="95">
        <v>44589</v>
      </c>
      <c r="AU2" s="95"/>
      <c r="AV2" s="95">
        <v>44579</v>
      </c>
      <c r="AW2" s="95">
        <v>44564</v>
      </c>
      <c r="AX2" s="95">
        <v>44572</v>
      </c>
      <c r="AY2" s="95">
        <v>44574</v>
      </c>
      <c r="AZ2" s="95">
        <v>44574</v>
      </c>
      <c r="BA2" s="95">
        <v>44574</v>
      </c>
      <c r="BB2" s="95">
        <v>44574</v>
      </c>
      <c r="BC2" s="95">
        <v>44578</v>
      </c>
      <c r="BD2" s="95">
        <v>44585</v>
      </c>
      <c r="BE2" s="95">
        <v>44593</v>
      </c>
      <c r="BF2" s="95">
        <v>44585</v>
      </c>
      <c r="BG2" s="95">
        <v>44585</v>
      </c>
      <c r="BH2" s="95">
        <v>44585</v>
      </c>
      <c r="BI2" s="95">
        <v>44585</v>
      </c>
      <c r="BJ2" s="95">
        <v>44586</v>
      </c>
      <c r="BK2" s="95">
        <v>44586</v>
      </c>
      <c r="BL2" s="95">
        <v>44586</v>
      </c>
      <c r="BM2" s="95">
        <v>44586</v>
      </c>
      <c r="BN2" s="95">
        <v>44586</v>
      </c>
      <c r="BO2" s="95">
        <v>44586</v>
      </c>
      <c r="BP2" s="95">
        <v>44586</v>
      </c>
      <c r="BQ2" s="95">
        <v>44586</v>
      </c>
      <c r="BR2" s="95">
        <v>44586</v>
      </c>
      <c r="BS2" s="95">
        <v>44587</v>
      </c>
      <c r="BT2" s="95">
        <v>44587</v>
      </c>
      <c r="BU2" s="95">
        <v>44587</v>
      </c>
      <c r="BV2" s="95">
        <v>44587</v>
      </c>
      <c r="BW2" s="95">
        <v>44587</v>
      </c>
      <c r="BX2" s="95">
        <v>44587</v>
      </c>
      <c r="BY2" s="95">
        <v>44588</v>
      </c>
      <c r="BZ2" s="95">
        <v>44588</v>
      </c>
      <c r="CA2" s="95">
        <v>44588</v>
      </c>
      <c r="CB2" s="95">
        <v>44589</v>
      </c>
      <c r="CC2" s="95">
        <v>44588</v>
      </c>
      <c r="CD2" s="95"/>
      <c r="CE2" s="92"/>
      <c r="CF2" s="5"/>
    </row>
    <row r="3" spans="1:107" x14ac:dyDescent="0.25">
      <c r="A3" s="118" t="s">
        <v>31</v>
      </c>
      <c r="B3" s="11"/>
      <c r="C3" s="3"/>
      <c r="D3" s="120" t="s">
        <v>31</v>
      </c>
      <c r="E3" s="119" t="s">
        <v>31</v>
      </c>
      <c r="F3" s="3" t="s">
        <v>39</v>
      </c>
      <c r="G3" s="57" t="s">
        <v>11</v>
      </c>
      <c r="H3" s="57"/>
      <c r="I3" s="57" t="s">
        <v>31</v>
      </c>
      <c r="J3" s="177" t="s">
        <v>31</v>
      </c>
      <c r="K3" s="57"/>
      <c r="L3" s="64" t="s">
        <v>31</v>
      </c>
      <c r="M3" s="64" t="s">
        <v>31</v>
      </c>
      <c r="N3" s="64" t="s">
        <v>31</v>
      </c>
      <c r="O3" s="64"/>
      <c r="P3" s="64"/>
      <c r="Q3" s="64" t="s">
        <v>31</v>
      </c>
      <c r="R3" s="64"/>
      <c r="S3" s="64"/>
      <c r="T3" s="64" t="s">
        <v>31</v>
      </c>
      <c r="U3" s="64" t="s">
        <v>31</v>
      </c>
      <c r="V3" s="64" t="s">
        <v>31</v>
      </c>
      <c r="W3" s="64"/>
      <c r="X3" s="64"/>
      <c r="Y3" s="64"/>
      <c r="Z3" s="64" t="s">
        <v>31</v>
      </c>
      <c r="AA3" s="64"/>
      <c r="AB3" s="64"/>
      <c r="AC3" s="64"/>
      <c r="AD3" s="64" t="s">
        <v>31</v>
      </c>
      <c r="AE3" s="64"/>
      <c r="AF3" s="64" t="s">
        <v>31</v>
      </c>
      <c r="AG3" s="64"/>
      <c r="AH3" s="64"/>
      <c r="AI3" s="64"/>
      <c r="AJ3" s="64" t="s">
        <v>31</v>
      </c>
      <c r="AK3" s="64"/>
      <c r="AL3" s="64"/>
      <c r="AM3" s="64" t="s">
        <v>31</v>
      </c>
      <c r="AN3" s="64"/>
      <c r="AO3" s="64" t="s">
        <v>31</v>
      </c>
      <c r="AP3" s="64"/>
      <c r="AQ3" s="64" t="s">
        <v>31</v>
      </c>
      <c r="AR3" s="64"/>
      <c r="AS3" s="64" t="s">
        <v>31</v>
      </c>
      <c r="AT3" s="64" t="s">
        <v>31</v>
      </c>
      <c r="AU3" s="64"/>
      <c r="AV3" s="64" t="s">
        <v>31</v>
      </c>
      <c r="AW3" s="64" t="s">
        <v>11</v>
      </c>
      <c r="AX3" s="64" t="s">
        <v>31</v>
      </c>
      <c r="AY3" s="64" t="s">
        <v>31</v>
      </c>
      <c r="AZ3" s="64" t="s">
        <v>31</v>
      </c>
      <c r="BA3" s="64" t="s">
        <v>31</v>
      </c>
      <c r="BB3" s="64" t="s">
        <v>31</v>
      </c>
      <c r="BC3" s="64" t="s">
        <v>31</v>
      </c>
      <c r="BD3" s="64" t="s">
        <v>11</v>
      </c>
      <c r="BE3" s="64" t="s">
        <v>11</v>
      </c>
      <c r="BF3" s="64" t="s">
        <v>11</v>
      </c>
      <c r="BG3" s="64" t="s">
        <v>31</v>
      </c>
      <c r="BH3" s="64" t="s">
        <v>31</v>
      </c>
      <c r="BI3" s="64" t="s">
        <v>31</v>
      </c>
      <c r="BJ3" s="64" t="s">
        <v>31</v>
      </c>
      <c r="BK3" s="64" t="s">
        <v>31</v>
      </c>
      <c r="BL3" s="64" t="s">
        <v>31</v>
      </c>
      <c r="BM3" s="64" t="s">
        <v>31</v>
      </c>
      <c r="BN3" s="64" t="s">
        <v>31</v>
      </c>
      <c r="BO3" s="64" t="s">
        <v>31</v>
      </c>
      <c r="BP3" s="64" t="s">
        <v>31</v>
      </c>
      <c r="BQ3" s="64" t="s">
        <v>31</v>
      </c>
      <c r="BR3" s="64" t="s">
        <v>31</v>
      </c>
      <c r="BS3" s="64" t="s">
        <v>31</v>
      </c>
      <c r="BT3" s="64" t="s">
        <v>31</v>
      </c>
      <c r="BU3" s="64" t="s">
        <v>31</v>
      </c>
      <c r="BV3" s="64" t="s">
        <v>31</v>
      </c>
      <c r="BW3" s="64" t="s">
        <v>31</v>
      </c>
      <c r="BX3" s="64" t="s">
        <v>31</v>
      </c>
      <c r="BY3" s="64" t="s">
        <v>31</v>
      </c>
      <c r="BZ3" s="64" t="s">
        <v>31</v>
      </c>
      <c r="CA3" s="64" t="s">
        <v>31</v>
      </c>
      <c r="CB3" s="64" t="s">
        <v>31</v>
      </c>
      <c r="CC3" s="64" t="s">
        <v>31</v>
      </c>
      <c r="CD3" s="64"/>
      <c r="CE3" s="92" t="s">
        <v>31</v>
      </c>
      <c r="CF3" s="5"/>
    </row>
    <row r="4" spans="1:107" x14ac:dyDescent="0.25">
      <c r="A4" s="45" t="s">
        <v>79</v>
      </c>
      <c r="B4" s="75">
        <f t="shared" ref="B4:B70" si="0">SUMIF(G$3:CD$3,"прих",G4:CD4)-SUMIF(G$3:CD$3,"отгр",G4:CD4)</f>
        <v>0</v>
      </c>
      <c r="C4" s="67">
        <v>10</v>
      </c>
      <c r="D4" s="68">
        <v>44354</v>
      </c>
      <c r="E4" s="77">
        <v>21.04</v>
      </c>
      <c r="F4" s="77">
        <f>E4*B4</f>
        <v>0</v>
      </c>
      <c r="G4" s="75"/>
      <c r="H4" s="16"/>
      <c r="I4" s="16"/>
      <c r="J4" s="175"/>
      <c r="K4" s="16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40"/>
      <c r="BQ4" s="40"/>
      <c r="BR4" s="40"/>
      <c r="BS4" s="40"/>
      <c r="BT4" s="40"/>
      <c r="BU4" s="40"/>
      <c r="BV4" s="40"/>
      <c r="BW4" s="40"/>
      <c r="BX4" s="40"/>
      <c r="BY4" s="40"/>
      <c r="BZ4" s="40"/>
      <c r="CA4" s="40"/>
      <c r="CB4" s="40"/>
      <c r="CC4" s="40"/>
      <c r="CD4" s="40"/>
      <c r="CE4" s="30">
        <f t="shared" ref="CE4:CE70" si="1">$B4-SUMIF($G$3:$GS$3,"",$G4:$GS4)</f>
        <v>0</v>
      </c>
      <c r="CF4" s="5"/>
    </row>
    <row r="5" spans="1:107" x14ac:dyDescent="0.25">
      <c r="A5" s="45" t="s">
        <v>90</v>
      </c>
      <c r="B5" s="75">
        <f t="shared" si="0"/>
        <v>20</v>
      </c>
      <c r="C5" s="67">
        <v>10</v>
      </c>
      <c r="D5" s="70">
        <v>44585</v>
      </c>
      <c r="E5" s="77">
        <v>16.7</v>
      </c>
      <c r="F5" s="77">
        <f t="shared" ref="F5:F71" si="2">E5*B5</f>
        <v>334</v>
      </c>
      <c r="G5" s="75"/>
      <c r="H5" s="16"/>
      <c r="I5" s="16"/>
      <c r="J5" s="175"/>
      <c r="K5" s="16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>
        <v>10</v>
      </c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40"/>
      <c r="BC5" s="40"/>
      <c r="BD5" s="40">
        <v>20</v>
      </c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  <c r="BP5" s="40"/>
      <c r="BQ5" s="40"/>
      <c r="BR5" s="40"/>
      <c r="BS5" s="40"/>
      <c r="BT5" s="40"/>
      <c r="BU5" s="40"/>
      <c r="BV5" s="40"/>
      <c r="BW5" s="40"/>
      <c r="BX5" s="40"/>
      <c r="BY5" s="40"/>
      <c r="BZ5" s="40"/>
      <c r="CA5" s="40"/>
      <c r="CB5" s="40"/>
      <c r="CC5" s="40"/>
      <c r="CD5" s="40"/>
      <c r="CE5" s="30">
        <f t="shared" si="1"/>
        <v>10</v>
      </c>
      <c r="CF5" s="5"/>
    </row>
    <row r="6" spans="1:107" x14ac:dyDescent="0.25">
      <c r="A6" s="45" t="s">
        <v>188</v>
      </c>
      <c r="B6" s="75">
        <f t="shared" si="0"/>
        <v>200</v>
      </c>
      <c r="C6" s="67">
        <v>10</v>
      </c>
      <c r="D6" s="69">
        <v>44585</v>
      </c>
      <c r="E6" s="77">
        <v>32.549999999999997</v>
      </c>
      <c r="F6" s="77">
        <f t="shared" si="2"/>
        <v>6509.9999999999991</v>
      </c>
      <c r="G6" s="75">
        <v>130</v>
      </c>
      <c r="H6" s="16"/>
      <c r="I6" s="16"/>
      <c r="J6" s="175"/>
      <c r="K6" s="16"/>
      <c r="L6" s="40"/>
      <c r="M6" s="40"/>
      <c r="N6" s="40"/>
      <c r="O6" s="40"/>
      <c r="P6" s="40"/>
      <c r="Q6" s="40">
        <v>130</v>
      </c>
      <c r="R6" s="40">
        <v>200</v>
      </c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>
        <v>200</v>
      </c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/>
      <c r="BQ6" s="40"/>
      <c r="BR6" s="40"/>
      <c r="BS6" s="40"/>
      <c r="BT6" s="40"/>
      <c r="BU6" s="40"/>
      <c r="BV6" s="40"/>
      <c r="BW6" s="40"/>
      <c r="BX6" s="40"/>
      <c r="BY6" s="40"/>
      <c r="BZ6" s="40"/>
      <c r="CA6" s="40"/>
      <c r="CB6" s="40"/>
      <c r="CC6" s="40"/>
      <c r="CD6" s="40"/>
      <c r="CE6" s="30">
        <f t="shared" si="1"/>
        <v>0</v>
      </c>
      <c r="CF6" s="5"/>
    </row>
    <row r="7" spans="1:107" x14ac:dyDescent="0.25">
      <c r="A7" s="45" t="s">
        <v>188</v>
      </c>
      <c r="B7" s="75">
        <f t="shared" si="0"/>
        <v>0</v>
      </c>
      <c r="C7" s="67">
        <v>10</v>
      </c>
      <c r="D7" s="69">
        <v>44543</v>
      </c>
      <c r="E7" s="77">
        <v>33.19</v>
      </c>
      <c r="F7" s="77">
        <f t="shared" si="2"/>
        <v>0</v>
      </c>
      <c r="G7" s="75">
        <v>20</v>
      </c>
      <c r="H7" s="16"/>
      <c r="I7" s="16"/>
      <c r="J7" s="175"/>
      <c r="K7" s="16"/>
      <c r="L7" s="40"/>
      <c r="M7" s="40"/>
      <c r="N7" s="40"/>
      <c r="O7" s="40"/>
      <c r="P7" s="40"/>
      <c r="Q7" s="40">
        <v>20</v>
      </c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/>
      <c r="BQ7" s="40"/>
      <c r="BR7" s="40"/>
      <c r="BS7" s="40"/>
      <c r="BT7" s="40"/>
      <c r="BU7" s="40"/>
      <c r="BV7" s="40"/>
      <c r="BW7" s="40"/>
      <c r="BX7" s="40"/>
      <c r="BY7" s="40"/>
      <c r="BZ7" s="40"/>
      <c r="CA7" s="40"/>
      <c r="CB7" s="40"/>
      <c r="CC7" s="40"/>
      <c r="CD7" s="40"/>
      <c r="CE7" s="30">
        <f t="shared" si="1"/>
        <v>0</v>
      </c>
      <c r="CF7" s="5"/>
    </row>
    <row r="8" spans="1:107" x14ac:dyDescent="0.25">
      <c r="A8" s="45" t="s">
        <v>438</v>
      </c>
      <c r="B8" s="75">
        <f t="shared" si="0"/>
        <v>0</v>
      </c>
      <c r="C8" s="67">
        <v>1</v>
      </c>
      <c r="D8" s="69">
        <v>44235</v>
      </c>
      <c r="E8" s="77">
        <v>38.950000000000003</v>
      </c>
      <c r="F8" s="77">
        <f t="shared" si="2"/>
        <v>0</v>
      </c>
      <c r="G8" s="75"/>
      <c r="H8" s="16"/>
      <c r="I8" s="16"/>
      <c r="J8" s="175"/>
      <c r="K8" s="16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  <c r="BZ8" s="40"/>
      <c r="CA8" s="40"/>
      <c r="CB8" s="40"/>
      <c r="CC8" s="40"/>
      <c r="CD8" s="40"/>
      <c r="CE8" s="30">
        <f t="shared" si="1"/>
        <v>0</v>
      </c>
      <c r="CF8" s="5"/>
    </row>
    <row r="9" spans="1:107" x14ac:dyDescent="0.25">
      <c r="A9" s="45" t="s">
        <v>175</v>
      </c>
      <c r="B9" s="75">
        <f t="shared" si="0"/>
        <v>90</v>
      </c>
      <c r="C9" s="67">
        <v>10</v>
      </c>
      <c r="D9" s="70">
        <v>44557</v>
      </c>
      <c r="E9" s="77">
        <v>20.75</v>
      </c>
      <c r="F9" s="77">
        <f t="shared" si="2"/>
        <v>1867.5</v>
      </c>
      <c r="G9" s="75">
        <v>100</v>
      </c>
      <c r="H9" s="16"/>
      <c r="I9" s="16"/>
      <c r="J9" s="175"/>
      <c r="K9" s="16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>
        <v>90</v>
      </c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>
        <v>10</v>
      </c>
      <c r="AY9" s="40"/>
      <c r="AZ9" s="40"/>
      <c r="BA9" s="40"/>
      <c r="BB9" s="40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0"/>
      <c r="BO9" s="40"/>
      <c r="BP9" s="40"/>
      <c r="BQ9" s="40"/>
      <c r="BR9" s="40"/>
      <c r="BS9" s="40"/>
      <c r="BT9" s="40"/>
      <c r="BU9" s="40"/>
      <c r="BV9" s="40"/>
      <c r="BW9" s="40"/>
      <c r="BX9" s="40"/>
      <c r="BY9" s="40"/>
      <c r="BZ9" s="40"/>
      <c r="CA9" s="40"/>
      <c r="CB9" s="40"/>
      <c r="CC9" s="40"/>
      <c r="CD9" s="40"/>
      <c r="CE9" s="30">
        <f t="shared" si="1"/>
        <v>0</v>
      </c>
      <c r="CF9" s="5"/>
    </row>
    <row r="10" spans="1:107" x14ac:dyDescent="0.25">
      <c r="A10" s="45" t="s">
        <v>175</v>
      </c>
      <c r="B10" s="75">
        <f t="shared" si="0"/>
        <v>20</v>
      </c>
      <c r="C10" s="67">
        <v>10</v>
      </c>
      <c r="D10" s="70" t="s">
        <v>589</v>
      </c>
      <c r="E10" s="77">
        <v>20.29</v>
      </c>
      <c r="F10" s="77">
        <f t="shared" si="2"/>
        <v>405.79999999999995</v>
      </c>
      <c r="G10" s="75"/>
      <c r="H10" s="16"/>
      <c r="I10" s="16"/>
      <c r="J10" s="175"/>
      <c r="K10" s="16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>
        <v>10</v>
      </c>
      <c r="BE10" s="40">
        <v>10</v>
      </c>
      <c r="BF10" s="40"/>
      <c r="BG10" s="40"/>
      <c r="BH10" s="40"/>
      <c r="BI10" s="40"/>
      <c r="BJ10" s="40"/>
      <c r="BK10" s="40"/>
      <c r="BL10" s="40"/>
      <c r="BM10" s="40"/>
      <c r="BN10" s="40"/>
      <c r="BO10" s="40"/>
      <c r="BP10" s="40"/>
      <c r="BQ10" s="40"/>
      <c r="BR10" s="40"/>
      <c r="BS10" s="40"/>
      <c r="BT10" s="40"/>
      <c r="BU10" s="40"/>
      <c r="BV10" s="40"/>
      <c r="BW10" s="40"/>
      <c r="BX10" s="40"/>
      <c r="BY10" s="40"/>
      <c r="BZ10" s="40"/>
      <c r="CA10" s="40"/>
      <c r="CB10" s="40"/>
      <c r="CC10" s="40"/>
      <c r="CD10" s="40"/>
      <c r="CE10" s="30">
        <f t="shared" si="1"/>
        <v>20</v>
      </c>
      <c r="CF10" s="5"/>
    </row>
    <row r="11" spans="1:107" x14ac:dyDescent="0.25">
      <c r="A11" s="45" t="s">
        <v>227</v>
      </c>
      <c r="B11" s="75">
        <f t="shared" si="0"/>
        <v>0</v>
      </c>
      <c r="C11" s="67">
        <v>1</v>
      </c>
      <c r="D11" s="69">
        <v>44354</v>
      </c>
      <c r="E11" s="77">
        <v>18.649999999999999</v>
      </c>
      <c r="F11" s="77">
        <f t="shared" si="2"/>
        <v>0</v>
      </c>
      <c r="G11" s="75"/>
      <c r="H11" s="16"/>
      <c r="I11" s="16"/>
      <c r="J11" s="175"/>
      <c r="K11" s="16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0"/>
      <c r="BO11" s="40"/>
      <c r="BP11" s="40"/>
      <c r="BQ11" s="40"/>
      <c r="BR11" s="40"/>
      <c r="BS11" s="40"/>
      <c r="BT11" s="40"/>
      <c r="BU11" s="40"/>
      <c r="BV11" s="40"/>
      <c r="BW11" s="40"/>
      <c r="BX11" s="40"/>
      <c r="BY11" s="40"/>
      <c r="BZ11" s="40"/>
      <c r="CA11" s="40"/>
      <c r="CB11" s="40"/>
      <c r="CC11" s="40"/>
      <c r="CD11" s="40"/>
      <c r="CE11" s="30">
        <f t="shared" si="1"/>
        <v>0</v>
      </c>
      <c r="CF11" s="5"/>
    </row>
    <row r="12" spans="1:107" x14ac:dyDescent="0.25">
      <c r="A12" s="45" t="s">
        <v>473</v>
      </c>
      <c r="B12" s="75">
        <f t="shared" si="0"/>
        <v>0</v>
      </c>
      <c r="C12" s="67">
        <v>10</v>
      </c>
      <c r="D12" s="69">
        <v>44396</v>
      </c>
      <c r="E12" s="77">
        <v>28.29</v>
      </c>
      <c r="F12" s="77">
        <f t="shared" si="2"/>
        <v>0</v>
      </c>
      <c r="G12" s="75"/>
      <c r="H12" s="16"/>
      <c r="I12" s="16"/>
      <c r="J12" s="175"/>
      <c r="K12" s="16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  <c r="BA12" s="40"/>
      <c r="BB12" s="40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0"/>
      <c r="BO12" s="40"/>
      <c r="BP12" s="40"/>
      <c r="BQ12" s="40"/>
      <c r="BR12" s="40"/>
      <c r="BS12" s="40"/>
      <c r="BT12" s="40"/>
      <c r="BU12" s="40"/>
      <c r="BV12" s="40"/>
      <c r="BW12" s="40"/>
      <c r="BX12" s="40"/>
      <c r="BY12" s="40"/>
      <c r="BZ12" s="40"/>
      <c r="CA12" s="40"/>
      <c r="CB12" s="40"/>
      <c r="CC12" s="40"/>
      <c r="CD12" s="40"/>
      <c r="CE12" s="30">
        <f t="shared" si="1"/>
        <v>0</v>
      </c>
      <c r="CF12" s="5"/>
    </row>
    <row r="13" spans="1:107" x14ac:dyDescent="0.25">
      <c r="A13" s="45" t="s">
        <v>88</v>
      </c>
      <c r="B13" s="75">
        <f t="shared" si="0"/>
        <v>0</v>
      </c>
      <c r="C13" s="67">
        <v>0.8</v>
      </c>
      <c r="D13" s="69">
        <v>44532</v>
      </c>
      <c r="E13" s="77">
        <v>52.69</v>
      </c>
      <c r="F13" s="77">
        <f t="shared" si="2"/>
        <v>0</v>
      </c>
      <c r="G13" s="75"/>
      <c r="H13" s="16"/>
      <c r="I13" s="16"/>
      <c r="J13" s="175"/>
      <c r="K13" s="16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  <c r="BV13" s="40"/>
      <c r="BW13" s="40"/>
      <c r="BX13" s="40"/>
      <c r="BY13" s="40"/>
      <c r="BZ13" s="40"/>
      <c r="CA13" s="40"/>
      <c r="CB13" s="40"/>
      <c r="CC13" s="40"/>
      <c r="CD13" s="40"/>
      <c r="CE13" s="30">
        <f t="shared" si="1"/>
        <v>0</v>
      </c>
      <c r="CF13" s="5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</row>
    <row r="14" spans="1:107" x14ac:dyDescent="0.25">
      <c r="A14" s="45" t="s">
        <v>117</v>
      </c>
      <c r="B14" s="75">
        <f t="shared" si="0"/>
        <v>0</v>
      </c>
      <c r="C14" s="67">
        <v>0.8</v>
      </c>
      <c r="D14" s="69">
        <v>44319</v>
      </c>
      <c r="E14" s="77">
        <v>48.72</v>
      </c>
      <c r="F14" s="77">
        <f t="shared" si="2"/>
        <v>0</v>
      </c>
      <c r="G14" s="75"/>
      <c r="H14" s="16"/>
      <c r="I14" s="16"/>
      <c r="J14" s="175"/>
      <c r="K14" s="16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  <c r="BW14" s="40"/>
      <c r="BX14" s="40"/>
      <c r="BY14" s="40"/>
      <c r="BZ14" s="40"/>
      <c r="CA14" s="40"/>
      <c r="CB14" s="40"/>
      <c r="CC14" s="40"/>
      <c r="CD14" s="40"/>
      <c r="CE14" s="30">
        <f t="shared" si="1"/>
        <v>0</v>
      </c>
      <c r="CF14" s="5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</row>
    <row r="15" spans="1:107" x14ac:dyDescent="0.25">
      <c r="A15" s="45" t="s">
        <v>117</v>
      </c>
      <c r="B15" s="75">
        <f t="shared" si="0"/>
        <v>0</v>
      </c>
      <c r="C15" s="67">
        <v>8</v>
      </c>
      <c r="D15" s="69">
        <v>44445</v>
      </c>
      <c r="E15" s="77">
        <v>47.03</v>
      </c>
      <c r="F15" s="77">
        <f t="shared" si="2"/>
        <v>0</v>
      </c>
      <c r="G15" s="75"/>
      <c r="H15" s="16"/>
      <c r="I15" s="16"/>
      <c r="J15" s="175"/>
      <c r="K15" s="16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0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0"/>
      <c r="BO15" s="40"/>
      <c r="BP15" s="40"/>
      <c r="BQ15" s="40"/>
      <c r="BR15" s="40"/>
      <c r="BS15" s="40"/>
      <c r="BT15" s="40"/>
      <c r="BU15" s="40"/>
      <c r="BV15" s="40"/>
      <c r="BW15" s="40"/>
      <c r="BX15" s="40"/>
      <c r="BY15" s="40"/>
      <c r="BZ15" s="40"/>
      <c r="CA15" s="40"/>
      <c r="CB15" s="40"/>
      <c r="CC15" s="40"/>
      <c r="CD15" s="40"/>
      <c r="CE15" s="30">
        <f t="shared" si="1"/>
        <v>0</v>
      </c>
      <c r="CF15" s="5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</row>
    <row r="16" spans="1:107" x14ac:dyDescent="0.25">
      <c r="A16" s="45" t="s">
        <v>51</v>
      </c>
      <c r="B16" s="75">
        <f t="shared" si="0"/>
        <v>0</v>
      </c>
      <c r="C16" s="67">
        <v>0.8</v>
      </c>
      <c r="D16" s="70">
        <v>44557</v>
      </c>
      <c r="E16" s="114">
        <v>59.51</v>
      </c>
      <c r="F16" s="77">
        <f t="shared" si="2"/>
        <v>0</v>
      </c>
      <c r="G16" s="75">
        <v>0.8</v>
      </c>
      <c r="H16" s="16"/>
      <c r="I16" s="16"/>
      <c r="J16" s="175"/>
      <c r="K16" s="16"/>
      <c r="L16" s="40"/>
      <c r="M16" s="40">
        <v>0.8</v>
      </c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  <c r="AZ16" s="40"/>
      <c r="BA16" s="40"/>
      <c r="BB16" s="40"/>
      <c r="BC16" s="40"/>
      <c r="BD16" s="40"/>
      <c r="BE16" s="40"/>
      <c r="BF16" s="40"/>
      <c r="BG16" s="40"/>
      <c r="BH16" s="40"/>
      <c r="BI16" s="40"/>
      <c r="BJ16" s="40"/>
      <c r="BK16" s="40"/>
      <c r="BL16" s="40"/>
      <c r="BM16" s="40"/>
      <c r="BN16" s="40"/>
      <c r="BO16" s="40"/>
      <c r="BP16" s="40"/>
      <c r="BQ16" s="40"/>
      <c r="BR16" s="40"/>
      <c r="BS16" s="40"/>
      <c r="BT16" s="40"/>
      <c r="BU16" s="40"/>
      <c r="BV16" s="40"/>
      <c r="BW16" s="40"/>
      <c r="BX16" s="40"/>
      <c r="BY16" s="40"/>
      <c r="BZ16" s="40"/>
      <c r="CA16" s="40"/>
      <c r="CB16" s="40"/>
      <c r="CC16" s="40"/>
      <c r="CD16" s="40"/>
      <c r="CE16" s="30">
        <f t="shared" si="1"/>
        <v>0</v>
      </c>
      <c r="CF16" s="5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</row>
    <row r="17" spans="1:107" x14ac:dyDescent="0.25">
      <c r="A17" s="61" t="s">
        <v>51</v>
      </c>
      <c r="B17" s="75">
        <f t="shared" si="0"/>
        <v>8</v>
      </c>
      <c r="C17" s="67">
        <v>8</v>
      </c>
      <c r="D17" s="70">
        <v>44557</v>
      </c>
      <c r="E17" s="77">
        <v>56.64</v>
      </c>
      <c r="F17" s="77">
        <f t="shared" si="2"/>
        <v>453.12</v>
      </c>
      <c r="G17" s="75">
        <v>16</v>
      </c>
      <c r="H17" s="16"/>
      <c r="I17" s="16"/>
      <c r="J17" s="175"/>
      <c r="K17" s="16"/>
      <c r="L17" s="40"/>
      <c r="M17" s="40">
        <v>8</v>
      </c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>
        <v>8</v>
      </c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  <c r="AZ17" s="40"/>
      <c r="BA17" s="40"/>
      <c r="BB17" s="40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0"/>
      <c r="BO17" s="40"/>
      <c r="BP17" s="40"/>
      <c r="BQ17" s="40"/>
      <c r="BR17" s="40"/>
      <c r="BS17" s="40"/>
      <c r="BT17" s="40"/>
      <c r="BU17" s="40"/>
      <c r="BV17" s="40"/>
      <c r="BW17" s="40"/>
      <c r="BX17" s="40"/>
      <c r="BY17" s="40"/>
      <c r="BZ17" s="40"/>
      <c r="CA17" s="40"/>
      <c r="CB17" s="40"/>
      <c r="CC17" s="40"/>
      <c r="CD17" s="40"/>
      <c r="CE17" s="30">
        <f t="shared" si="1"/>
        <v>0</v>
      </c>
      <c r="CF17" s="5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</row>
    <row r="18" spans="1:107" x14ac:dyDescent="0.25">
      <c r="A18" s="61" t="s">
        <v>200</v>
      </c>
      <c r="B18" s="75">
        <f t="shared" si="0"/>
        <v>0</v>
      </c>
      <c r="C18" s="67">
        <v>0.9</v>
      </c>
      <c r="D18" s="69">
        <v>44396</v>
      </c>
      <c r="E18" s="77">
        <v>29.93</v>
      </c>
      <c r="F18" s="77">
        <f t="shared" si="2"/>
        <v>0</v>
      </c>
      <c r="G18" s="75"/>
      <c r="H18" s="16"/>
      <c r="I18" s="16"/>
      <c r="J18" s="175"/>
      <c r="K18" s="16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40"/>
      <c r="AW18" s="40"/>
      <c r="AX18" s="40"/>
      <c r="AY18" s="40"/>
      <c r="AZ18" s="40"/>
      <c r="BA18" s="40"/>
      <c r="BB18" s="40"/>
      <c r="BC18" s="40"/>
      <c r="BD18" s="40"/>
      <c r="BE18" s="40"/>
      <c r="BF18" s="40"/>
      <c r="BG18" s="40"/>
      <c r="BH18" s="40"/>
      <c r="BI18" s="40"/>
      <c r="BJ18" s="40"/>
      <c r="BK18" s="40"/>
      <c r="BL18" s="40"/>
      <c r="BM18" s="40"/>
      <c r="BN18" s="40"/>
      <c r="BO18" s="40"/>
      <c r="BP18" s="40"/>
      <c r="BQ18" s="40"/>
      <c r="BR18" s="40"/>
      <c r="BS18" s="40"/>
      <c r="BT18" s="40"/>
      <c r="BU18" s="40"/>
      <c r="BV18" s="40"/>
      <c r="BW18" s="40"/>
      <c r="BX18" s="40"/>
      <c r="BY18" s="40"/>
      <c r="BZ18" s="40"/>
      <c r="CA18" s="40"/>
      <c r="CB18" s="40"/>
      <c r="CC18" s="40"/>
      <c r="CD18" s="40"/>
      <c r="CE18" s="30">
        <f t="shared" si="1"/>
        <v>0</v>
      </c>
      <c r="CF18" s="5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</row>
    <row r="19" spans="1:107" x14ac:dyDescent="0.25">
      <c r="A19" s="61" t="s">
        <v>283</v>
      </c>
      <c r="B19" s="75">
        <f t="shared" si="0"/>
        <v>0</v>
      </c>
      <c r="C19" s="67">
        <v>8</v>
      </c>
      <c r="D19" s="69">
        <v>44123</v>
      </c>
      <c r="E19" s="77">
        <v>53.44</v>
      </c>
      <c r="F19" s="77">
        <f t="shared" si="2"/>
        <v>0</v>
      </c>
      <c r="G19" s="75"/>
      <c r="H19" s="16"/>
      <c r="I19" s="16"/>
      <c r="J19" s="175"/>
      <c r="K19" s="16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0"/>
      <c r="BN19" s="40"/>
      <c r="BO19" s="40"/>
      <c r="BP19" s="40"/>
      <c r="BQ19" s="40"/>
      <c r="BR19" s="40"/>
      <c r="BS19" s="40"/>
      <c r="BT19" s="40"/>
      <c r="BU19" s="40"/>
      <c r="BV19" s="40"/>
      <c r="BW19" s="40"/>
      <c r="BX19" s="40"/>
      <c r="BY19" s="40"/>
      <c r="BZ19" s="40"/>
      <c r="CA19" s="40"/>
      <c r="CB19" s="40"/>
      <c r="CC19" s="40"/>
      <c r="CD19" s="40"/>
      <c r="CE19" s="30">
        <f t="shared" si="1"/>
        <v>0</v>
      </c>
      <c r="CF19" s="5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</row>
    <row r="20" spans="1:107" x14ac:dyDescent="0.25">
      <c r="A20" s="61" t="s">
        <v>217</v>
      </c>
      <c r="B20" s="75">
        <f t="shared" si="0"/>
        <v>0</v>
      </c>
      <c r="C20" s="67">
        <v>1</v>
      </c>
      <c r="D20" s="69">
        <v>44522</v>
      </c>
      <c r="E20" s="77">
        <v>29.52</v>
      </c>
      <c r="F20" s="77">
        <f t="shared" si="2"/>
        <v>0</v>
      </c>
      <c r="G20" s="75"/>
      <c r="H20" s="16"/>
      <c r="I20" s="16"/>
      <c r="J20" s="175"/>
      <c r="K20" s="16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0"/>
      <c r="BN20" s="40"/>
      <c r="BO20" s="40"/>
      <c r="BP20" s="40"/>
      <c r="BQ20" s="40"/>
      <c r="BR20" s="40"/>
      <c r="BS20" s="40"/>
      <c r="BT20" s="40"/>
      <c r="BU20" s="40"/>
      <c r="BV20" s="40"/>
      <c r="BW20" s="40"/>
      <c r="BX20" s="40"/>
      <c r="BY20" s="40"/>
      <c r="BZ20" s="40"/>
      <c r="CA20" s="40"/>
      <c r="CB20" s="40"/>
      <c r="CC20" s="40"/>
      <c r="CD20" s="40"/>
      <c r="CE20" s="30">
        <f t="shared" si="1"/>
        <v>0</v>
      </c>
      <c r="CF20" s="5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</row>
    <row r="21" spans="1:107" x14ac:dyDescent="0.25">
      <c r="A21" s="61" t="s">
        <v>217</v>
      </c>
      <c r="B21" s="75">
        <f t="shared" si="0"/>
        <v>0</v>
      </c>
      <c r="C21" s="67">
        <v>10</v>
      </c>
      <c r="D21" s="69">
        <v>44557</v>
      </c>
      <c r="E21" s="77">
        <v>27.45</v>
      </c>
      <c r="F21" s="77">
        <f t="shared" si="2"/>
        <v>0</v>
      </c>
      <c r="G21" s="75"/>
      <c r="H21" s="16"/>
      <c r="I21" s="16"/>
      <c r="J21" s="175"/>
      <c r="K21" s="16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  <c r="AW21" s="40"/>
      <c r="AX21" s="40"/>
      <c r="AY21" s="40"/>
      <c r="AZ21" s="40"/>
      <c r="BA21" s="40"/>
      <c r="BB21" s="40"/>
      <c r="BC21" s="40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0"/>
      <c r="BO21" s="40"/>
      <c r="BP21" s="40"/>
      <c r="BQ21" s="40"/>
      <c r="BR21" s="40"/>
      <c r="BS21" s="40"/>
      <c r="BT21" s="40"/>
      <c r="BU21" s="40"/>
      <c r="BV21" s="40"/>
      <c r="BW21" s="40"/>
      <c r="BX21" s="40"/>
      <c r="BY21" s="40"/>
      <c r="BZ21" s="40"/>
      <c r="CA21" s="40"/>
      <c r="CB21" s="40"/>
      <c r="CC21" s="40"/>
      <c r="CD21" s="40"/>
      <c r="CE21" s="30">
        <f t="shared" si="1"/>
        <v>0</v>
      </c>
      <c r="CF21" s="5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</row>
    <row r="22" spans="1:107" x14ac:dyDescent="0.25">
      <c r="A22" s="61" t="s">
        <v>234</v>
      </c>
      <c r="B22" s="75">
        <f t="shared" si="0"/>
        <v>20</v>
      </c>
      <c r="C22" s="67">
        <v>10</v>
      </c>
      <c r="D22" s="69">
        <v>44585</v>
      </c>
      <c r="E22" s="77">
        <v>26.21</v>
      </c>
      <c r="F22" s="77">
        <f t="shared" si="2"/>
        <v>524.20000000000005</v>
      </c>
      <c r="G22" s="75">
        <v>5</v>
      </c>
      <c r="H22" s="16"/>
      <c r="I22" s="16"/>
      <c r="J22" s="175">
        <v>5</v>
      </c>
      <c r="K22" s="16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>
        <v>20</v>
      </c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  <c r="BA22" s="40"/>
      <c r="BB22" s="40"/>
      <c r="BC22" s="40"/>
      <c r="BD22" s="40">
        <v>20</v>
      </c>
      <c r="BE22" s="40"/>
      <c r="BF22" s="40"/>
      <c r="BG22" s="40"/>
      <c r="BH22" s="40"/>
      <c r="BI22" s="40"/>
      <c r="BJ22" s="40"/>
      <c r="BK22" s="40"/>
      <c r="BL22" s="40"/>
      <c r="BM22" s="40"/>
      <c r="BN22" s="40"/>
      <c r="BO22" s="40"/>
      <c r="BP22" s="40"/>
      <c r="BQ22" s="40"/>
      <c r="BR22" s="40"/>
      <c r="BS22" s="40"/>
      <c r="BT22" s="40"/>
      <c r="BU22" s="40"/>
      <c r="BV22" s="40"/>
      <c r="BW22" s="40"/>
      <c r="BX22" s="40"/>
      <c r="BY22" s="40"/>
      <c r="BZ22" s="40"/>
      <c r="CA22" s="40"/>
      <c r="CB22" s="40"/>
      <c r="CC22" s="40"/>
      <c r="CD22" s="40"/>
      <c r="CE22" s="30">
        <f t="shared" si="1"/>
        <v>0</v>
      </c>
      <c r="CF22" s="5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</row>
    <row r="23" spans="1:107" x14ac:dyDescent="0.25">
      <c r="A23" s="61" t="s">
        <v>234</v>
      </c>
      <c r="B23" s="75">
        <f t="shared" si="0"/>
        <v>0</v>
      </c>
      <c r="C23" s="67">
        <v>1</v>
      </c>
      <c r="D23" s="69">
        <v>44410</v>
      </c>
      <c r="E23" s="77">
        <v>29.14</v>
      </c>
      <c r="F23" s="77">
        <f t="shared" si="2"/>
        <v>0</v>
      </c>
      <c r="G23" s="75"/>
      <c r="H23" s="16"/>
      <c r="I23" s="16"/>
      <c r="J23" s="175"/>
      <c r="K23" s="16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30">
        <f t="shared" si="1"/>
        <v>0</v>
      </c>
      <c r="CF23" s="5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</row>
    <row r="24" spans="1:107" x14ac:dyDescent="0.25">
      <c r="A24" s="45" t="s">
        <v>83</v>
      </c>
      <c r="B24" s="75">
        <f t="shared" si="0"/>
        <v>60</v>
      </c>
      <c r="C24" s="67">
        <v>10</v>
      </c>
      <c r="D24" s="70">
        <v>44557</v>
      </c>
      <c r="E24" s="77">
        <v>30.02</v>
      </c>
      <c r="F24" s="77">
        <f t="shared" si="2"/>
        <v>1801.2</v>
      </c>
      <c r="G24" s="75">
        <v>90</v>
      </c>
      <c r="H24" s="16"/>
      <c r="I24" s="16"/>
      <c r="J24" s="175">
        <v>30</v>
      </c>
      <c r="K24" s="16"/>
      <c r="L24" s="40"/>
      <c r="M24" s="40"/>
      <c r="N24" s="40"/>
      <c r="O24" s="40"/>
      <c r="P24" s="40"/>
      <c r="Q24" s="40"/>
      <c r="R24" s="40"/>
      <c r="S24" s="40"/>
      <c r="T24" s="40">
        <v>20</v>
      </c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  <c r="AZ24" s="40"/>
      <c r="BA24" s="40"/>
      <c r="BB24" s="40"/>
      <c r="BC24" s="40"/>
      <c r="BD24" s="40">
        <v>20</v>
      </c>
      <c r="BE24" s="40"/>
      <c r="BF24" s="40"/>
      <c r="BG24" s="40"/>
      <c r="BH24" s="40"/>
      <c r="BI24" s="40"/>
      <c r="BJ24" s="40"/>
      <c r="BK24" s="40"/>
      <c r="BL24" s="40"/>
      <c r="BM24" s="40"/>
      <c r="BN24" s="40"/>
      <c r="BO24" s="40"/>
      <c r="BP24" s="40"/>
      <c r="BQ24" s="40"/>
      <c r="BR24" s="40"/>
      <c r="BS24" s="40"/>
      <c r="BT24" s="40"/>
      <c r="BU24" s="40"/>
      <c r="BV24" s="40"/>
      <c r="BW24" s="40"/>
      <c r="BX24" s="40"/>
      <c r="BY24" s="40"/>
      <c r="BZ24" s="40"/>
      <c r="CA24" s="40"/>
      <c r="CB24" s="40"/>
      <c r="CC24" s="40"/>
      <c r="CD24" s="40">
        <v>40</v>
      </c>
      <c r="CE24" s="30">
        <f t="shared" si="1"/>
        <v>20</v>
      </c>
      <c r="CF24" s="5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</row>
    <row r="25" spans="1:107" x14ac:dyDescent="0.25">
      <c r="A25" s="45" t="s">
        <v>83</v>
      </c>
      <c r="B25" s="75">
        <f t="shared" si="0"/>
        <v>20</v>
      </c>
      <c r="C25" s="67">
        <v>10</v>
      </c>
      <c r="D25" s="69">
        <v>44564</v>
      </c>
      <c r="E25" s="77">
        <v>29.98</v>
      </c>
      <c r="F25" s="77">
        <f t="shared" si="2"/>
        <v>599.6</v>
      </c>
      <c r="G25" s="75">
        <v>10</v>
      </c>
      <c r="H25" s="16"/>
      <c r="I25" s="16"/>
      <c r="J25" s="175"/>
      <c r="K25" s="16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>
        <v>10</v>
      </c>
      <c r="AX25" s="40"/>
      <c r="AY25" s="40"/>
      <c r="AZ25" s="40"/>
      <c r="BA25" s="40"/>
      <c r="BB25" s="40"/>
      <c r="BC25" s="40"/>
      <c r="BD25" s="40"/>
      <c r="BE25" s="40"/>
      <c r="BF25" s="40"/>
      <c r="BG25" s="40"/>
      <c r="BH25" s="40"/>
      <c r="BI25" s="40"/>
      <c r="BJ25" s="40"/>
      <c r="BK25" s="40"/>
      <c r="BL25" s="40"/>
      <c r="BM25" s="40"/>
      <c r="BN25" s="40"/>
      <c r="BO25" s="40"/>
      <c r="BP25" s="40"/>
      <c r="BQ25" s="40"/>
      <c r="BR25" s="40"/>
      <c r="BS25" s="40"/>
      <c r="BT25" s="40"/>
      <c r="BU25" s="40"/>
      <c r="BV25" s="40"/>
      <c r="BW25" s="40"/>
      <c r="BX25" s="40"/>
      <c r="BY25" s="40"/>
      <c r="BZ25" s="40"/>
      <c r="CA25" s="40"/>
      <c r="CB25" s="40"/>
      <c r="CC25" s="40"/>
      <c r="CD25" s="40">
        <v>20</v>
      </c>
      <c r="CE25" s="30">
        <f t="shared" si="1"/>
        <v>0</v>
      </c>
      <c r="CF25" s="5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</row>
    <row r="26" spans="1:107" x14ac:dyDescent="0.25">
      <c r="A26" s="45" t="s">
        <v>83</v>
      </c>
      <c r="B26" s="75">
        <f t="shared" si="0"/>
        <v>50</v>
      </c>
      <c r="C26" s="67">
        <v>10</v>
      </c>
      <c r="D26" s="69">
        <v>44593</v>
      </c>
      <c r="E26" s="77">
        <v>29.32</v>
      </c>
      <c r="F26" s="77">
        <f t="shared" si="2"/>
        <v>1466</v>
      </c>
      <c r="G26" s="75"/>
      <c r="H26" s="16"/>
      <c r="I26" s="16"/>
      <c r="J26" s="175"/>
      <c r="K26" s="16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  <c r="AZ26" s="40"/>
      <c r="BA26" s="40"/>
      <c r="BB26" s="40"/>
      <c r="BC26" s="40"/>
      <c r="BD26" s="40"/>
      <c r="BE26" s="40">
        <v>50</v>
      </c>
      <c r="BF26" s="40"/>
      <c r="BG26" s="40"/>
      <c r="BH26" s="40"/>
      <c r="BI26" s="40"/>
      <c r="BJ26" s="40"/>
      <c r="BK26" s="40"/>
      <c r="BL26" s="40"/>
      <c r="BM26" s="40"/>
      <c r="BN26" s="40"/>
      <c r="BO26" s="40"/>
      <c r="BP26" s="40"/>
      <c r="BQ26" s="40"/>
      <c r="BR26" s="40"/>
      <c r="BS26" s="40"/>
      <c r="BT26" s="40"/>
      <c r="BU26" s="40"/>
      <c r="BV26" s="40"/>
      <c r="BW26" s="40"/>
      <c r="BX26" s="40"/>
      <c r="BY26" s="40"/>
      <c r="BZ26" s="40"/>
      <c r="CA26" s="40"/>
      <c r="CB26" s="40"/>
      <c r="CC26" s="40"/>
      <c r="CD26" s="40"/>
      <c r="CE26" s="30">
        <f t="shared" si="1"/>
        <v>50</v>
      </c>
      <c r="CF26" s="5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</row>
    <row r="27" spans="1:107" x14ac:dyDescent="0.25">
      <c r="A27" s="45" t="s">
        <v>341</v>
      </c>
      <c r="B27" s="75">
        <f t="shared" si="0"/>
        <v>0</v>
      </c>
      <c r="C27" s="67">
        <v>9</v>
      </c>
      <c r="D27" s="69">
        <v>44480</v>
      </c>
      <c r="E27" s="77">
        <v>32.479999999999997</v>
      </c>
      <c r="F27" s="77">
        <f t="shared" si="2"/>
        <v>0</v>
      </c>
      <c r="G27" s="75"/>
      <c r="H27" s="16"/>
      <c r="I27" s="16"/>
      <c r="J27" s="175"/>
      <c r="K27" s="16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  <c r="AW27" s="40"/>
      <c r="AX27" s="40"/>
      <c r="AY27" s="40"/>
      <c r="AZ27" s="40"/>
      <c r="BA27" s="40"/>
      <c r="BB27" s="40"/>
      <c r="BC27" s="40"/>
      <c r="BD27" s="40"/>
      <c r="BE27" s="40"/>
      <c r="BF27" s="40"/>
      <c r="BG27" s="40"/>
      <c r="BH27" s="40"/>
      <c r="BI27" s="40"/>
      <c r="BJ27" s="40"/>
      <c r="BK27" s="40"/>
      <c r="BL27" s="40"/>
      <c r="BM27" s="40"/>
      <c r="BN27" s="40"/>
      <c r="BO27" s="40"/>
      <c r="BP27" s="40"/>
      <c r="BQ27" s="40"/>
      <c r="BR27" s="40"/>
      <c r="BS27" s="40"/>
      <c r="BT27" s="40"/>
      <c r="BU27" s="40"/>
      <c r="BV27" s="40"/>
      <c r="BW27" s="40"/>
      <c r="BX27" s="40"/>
      <c r="BY27" s="40"/>
      <c r="BZ27" s="40"/>
      <c r="CA27" s="40"/>
      <c r="CB27" s="40"/>
      <c r="CC27" s="40"/>
      <c r="CD27" s="40"/>
      <c r="CE27" s="30">
        <f t="shared" si="1"/>
        <v>0</v>
      </c>
      <c r="CF27" s="5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</row>
    <row r="28" spans="1:107" s="38" customFormat="1" x14ac:dyDescent="0.25">
      <c r="A28" s="45" t="s">
        <v>111</v>
      </c>
      <c r="B28" s="75">
        <f t="shared" si="0"/>
        <v>45</v>
      </c>
      <c r="C28" s="67">
        <v>9</v>
      </c>
      <c r="D28" s="70">
        <v>44585</v>
      </c>
      <c r="E28" s="77">
        <v>18.420000000000002</v>
      </c>
      <c r="F28" s="77">
        <f t="shared" si="2"/>
        <v>828.90000000000009</v>
      </c>
      <c r="G28" s="75"/>
      <c r="H28" s="16"/>
      <c r="I28" s="16"/>
      <c r="J28" s="175"/>
      <c r="K28" s="16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>
        <v>45</v>
      </c>
      <c r="AQ28" s="40">
        <v>36</v>
      </c>
      <c r="AR28" s="40"/>
      <c r="AS28" s="40"/>
      <c r="AT28" s="40"/>
      <c r="AU28" s="40"/>
      <c r="AV28" s="40"/>
      <c r="AW28" s="40">
        <v>36</v>
      </c>
      <c r="AX28" s="40"/>
      <c r="AY28" s="40"/>
      <c r="AZ28" s="40"/>
      <c r="BA28" s="40"/>
      <c r="BB28" s="40"/>
      <c r="BC28" s="40"/>
      <c r="BD28" s="40">
        <v>45</v>
      </c>
      <c r="BE28" s="40"/>
      <c r="BF28" s="40"/>
      <c r="BG28" s="40"/>
      <c r="BH28" s="40"/>
      <c r="BI28" s="40"/>
      <c r="BJ28" s="40"/>
      <c r="BK28" s="40"/>
      <c r="BL28" s="40"/>
      <c r="BM28" s="40"/>
      <c r="BN28" s="40"/>
      <c r="BO28" s="40"/>
      <c r="BP28" s="40"/>
      <c r="BQ28" s="40"/>
      <c r="BR28" s="40"/>
      <c r="BS28" s="40"/>
      <c r="BT28" s="40"/>
      <c r="BU28" s="40"/>
      <c r="BV28" s="40"/>
      <c r="BW28" s="40"/>
      <c r="BX28" s="40"/>
      <c r="BY28" s="40"/>
      <c r="BZ28" s="40"/>
      <c r="CA28" s="40"/>
      <c r="CB28" s="40"/>
      <c r="CC28" s="40"/>
      <c r="CD28" s="40"/>
      <c r="CE28" s="30">
        <f t="shared" si="1"/>
        <v>0</v>
      </c>
      <c r="CF28" s="5"/>
    </row>
    <row r="29" spans="1:107" s="38" customFormat="1" x14ac:dyDescent="0.25">
      <c r="A29" s="45" t="s">
        <v>111</v>
      </c>
      <c r="B29" s="75">
        <f t="shared" si="0"/>
        <v>18</v>
      </c>
      <c r="C29" s="67">
        <v>9</v>
      </c>
      <c r="D29" s="70">
        <v>44431</v>
      </c>
      <c r="E29" s="77">
        <v>18.559999999999999</v>
      </c>
      <c r="F29" s="77">
        <f t="shared" si="2"/>
        <v>334.08</v>
      </c>
      <c r="G29" s="75">
        <v>18</v>
      </c>
      <c r="H29" s="16"/>
      <c r="I29" s="16"/>
      <c r="J29" s="175"/>
      <c r="K29" s="16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>
        <v>18</v>
      </c>
      <c r="AM29" s="40"/>
      <c r="AN29" s="40"/>
      <c r="AO29" s="40"/>
      <c r="AP29" s="40"/>
      <c r="AQ29" s="40"/>
      <c r="AR29" s="40"/>
      <c r="AS29" s="40"/>
      <c r="AT29" s="40"/>
      <c r="AU29" s="40"/>
      <c r="AV29" s="40"/>
      <c r="AW29" s="40"/>
      <c r="AX29" s="40"/>
      <c r="AY29" s="40"/>
      <c r="AZ29" s="40"/>
      <c r="BA29" s="40"/>
      <c r="BB29" s="40"/>
      <c r="BC29" s="40"/>
      <c r="BD29" s="40"/>
      <c r="BE29" s="40"/>
      <c r="BF29" s="40"/>
      <c r="BG29" s="40"/>
      <c r="BH29" s="40"/>
      <c r="BI29" s="40"/>
      <c r="BJ29" s="40"/>
      <c r="BK29" s="40"/>
      <c r="BL29" s="40"/>
      <c r="BM29" s="40"/>
      <c r="BN29" s="40"/>
      <c r="BO29" s="40"/>
      <c r="BP29" s="40"/>
      <c r="BQ29" s="40"/>
      <c r="BR29" s="40"/>
      <c r="BS29" s="40"/>
      <c r="BT29" s="40"/>
      <c r="BU29" s="40"/>
      <c r="BV29" s="40"/>
      <c r="BW29" s="40"/>
      <c r="BX29" s="40"/>
      <c r="BY29" s="40"/>
      <c r="BZ29" s="40"/>
      <c r="CA29" s="40"/>
      <c r="CB29" s="40"/>
      <c r="CC29" s="40"/>
      <c r="CD29" s="40"/>
      <c r="CE29" s="30">
        <f t="shared" si="1"/>
        <v>0</v>
      </c>
      <c r="CF29" s="5"/>
    </row>
    <row r="30" spans="1:107" s="38" customFormat="1" x14ac:dyDescent="0.25">
      <c r="A30" s="188" t="s">
        <v>590</v>
      </c>
      <c r="B30" s="75">
        <f t="shared" si="0"/>
        <v>2.7</v>
      </c>
      <c r="C30" s="67">
        <v>0.9</v>
      </c>
      <c r="D30" s="70">
        <v>44593</v>
      </c>
      <c r="E30" s="77">
        <v>27.23</v>
      </c>
      <c r="F30" s="77">
        <f t="shared" si="2"/>
        <v>73.521000000000001</v>
      </c>
      <c r="G30" s="75"/>
      <c r="H30" s="16"/>
      <c r="I30" s="16"/>
      <c r="J30" s="175"/>
      <c r="K30" s="16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>
        <v>2.7</v>
      </c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30">
        <f t="shared" si="1"/>
        <v>2.7</v>
      </c>
      <c r="CF30" s="5"/>
    </row>
    <row r="31" spans="1:107" s="38" customFormat="1" x14ac:dyDescent="0.25">
      <c r="A31" s="188" t="s">
        <v>590</v>
      </c>
      <c r="B31" s="75">
        <f t="shared" si="0"/>
        <v>9</v>
      </c>
      <c r="C31" s="67">
        <v>9</v>
      </c>
      <c r="D31" s="70">
        <v>44593</v>
      </c>
      <c r="E31" s="77">
        <v>23.8</v>
      </c>
      <c r="F31" s="77">
        <f t="shared" si="2"/>
        <v>214.20000000000002</v>
      </c>
      <c r="G31" s="75"/>
      <c r="H31" s="16"/>
      <c r="I31" s="16"/>
      <c r="J31" s="175"/>
      <c r="K31" s="16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>
        <v>9</v>
      </c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30">
        <f t="shared" si="1"/>
        <v>9</v>
      </c>
      <c r="CF31" s="5"/>
    </row>
    <row r="32" spans="1:107" s="38" customFormat="1" x14ac:dyDescent="0.25">
      <c r="A32" s="45" t="s">
        <v>74</v>
      </c>
      <c r="B32" s="75">
        <f t="shared" si="0"/>
        <v>0</v>
      </c>
      <c r="C32" s="67">
        <v>0.9</v>
      </c>
      <c r="D32" s="69">
        <v>44396</v>
      </c>
      <c r="E32" s="77">
        <v>20.87</v>
      </c>
      <c r="F32" s="77">
        <f t="shared" si="2"/>
        <v>0</v>
      </c>
      <c r="G32" s="75"/>
      <c r="H32" s="16"/>
      <c r="I32" s="16"/>
      <c r="J32" s="175"/>
      <c r="K32" s="16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  <c r="AZ32" s="40"/>
      <c r="BA32" s="40"/>
      <c r="BB32" s="40"/>
      <c r="BC32" s="40"/>
      <c r="BD32" s="40"/>
      <c r="BE32" s="40"/>
      <c r="BF32" s="40"/>
      <c r="BG32" s="40"/>
      <c r="BH32" s="40"/>
      <c r="BI32" s="40"/>
      <c r="BJ32" s="40"/>
      <c r="BK32" s="40"/>
      <c r="BL32" s="40"/>
      <c r="BM32" s="40"/>
      <c r="BN32" s="40"/>
      <c r="BO32" s="40"/>
      <c r="BP32" s="40"/>
      <c r="BQ32" s="40"/>
      <c r="BR32" s="40"/>
      <c r="BS32" s="40"/>
      <c r="BT32" s="40"/>
      <c r="BU32" s="40"/>
      <c r="BV32" s="40"/>
      <c r="BW32" s="40"/>
      <c r="BX32" s="40"/>
      <c r="BY32" s="40"/>
      <c r="BZ32" s="40"/>
      <c r="CA32" s="40"/>
      <c r="CB32" s="40"/>
      <c r="CC32" s="40"/>
      <c r="CD32" s="40"/>
      <c r="CE32" s="30">
        <f t="shared" si="1"/>
        <v>0</v>
      </c>
      <c r="CF32" s="5"/>
    </row>
    <row r="33" spans="1:84" s="38" customFormat="1" x14ac:dyDescent="0.25">
      <c r="A33" s="45" t="s">
        <v>74</v>
      </c>
      <c r="B33" s="75">
        <f t="shared" si="0"/>
        <v>9</v>
      </c>
      <c r="C33" s="67">
        <v>9</v>
      </c>
      <c r="D33" s="69">
        <v>44557</v>
      </c>
      <c r="E33" s="77">
        <v>21.61</v>
      </c>
      <c r="F33" s="77">
        <f t="shared" si="2"/>
        <v>194.49</v>
      </c>
      <c r="G33" s="75">
        <v>9</v>
      </c>
      <c r="H33" s="16"/>
      <c r="I33" s="16"/>
      <c r="J33" s="175"/>
      <c r="K33" s="16"/>
      <c r="L33" s="40"/>
      <c r="M33" s="40"/>
      <c r="N33" s="40"/>
      <c r="O33" s="40"/>
      <c r="P33" s="40"/>
      <c r="Q33" s="40"/>
      <c r="R33" s="40"/>
      <c r="S33" s="40">
        <v>9</v>
      </c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  <c r="AO33" s="40"/>
      <c r="AP33" s="40"/>
      <c r="AQ33" s="40"/>
      <c r="AR33" s="40"/>
      <c r="AS33" s="40"/>
      <c r="AT33" s="40"/>
      <c r="AU33" s="40"/>
      <c r="AV33" s="40"/>
      <c r="AW33" s="40"/>
      <c r="AX33" s="40"/>
      <c r="AY33" s="40"/>
      <c r="AZ33" s="40"/>
      <c r="BA33" s="40"/>
      <c r="BB33" s="40"/>
      <c r="BC33" s="40"/>
      <c r="BD33" s="40"/>
      <c r="BE33" s="40"/>
      <c r="BF33" s="40"/>
      <c r="BG33" s="40"/>
      <c r="BH33" s="40"/>
      <c r="BI33" s="40"/>
      <c r="BJ33" s="40"/>
      <c r="BK33" s="40"/>
      <c r="BL33" s="40"/>
      <c r="BM33" s="40"/>
      <c r="BN33" s="40"/>
      <c r="BO33" s="40"/>
      <c r="BP33" s="40"/>
      <c r="BQ33" s="40"/>
      <c r="BR33" s="40"/>
      <c r="BS33" s="40"/>
      <c r="BT33" s="40"/>
      <c r="BU33" s="40"/>
      <c r="BV33" s="40"/>
      <c r="BW33" s="40"/>
      <c r="BX33" s="40"/>
      <c r="BY33" s="40"/>
      <c r="BZ33" s="40"/>
      <c r="CA33" s="40"/>
      <c r="CB33" s="40"/>
      <c r="CC33" s="40"/>
      <c r="CD33" s="40"/>
      <c r="CE33" s="30">
        <f t="shared" si="1"/>
        <v>0</v>
      </c>
      <c r="CF33" s="5"/>
    </row>
    <row r="34" spans="1:84" s="38" customFormat="1" x14ac:dyDescent="0.25">
      <c r="A34" s="45" t="s">
        <v>167</v>
      </c>
      <c r="B34" s="75">
        <f t="shared" si="0"/>
        <v>0</v>
      </c>
      <c r="C34" s="67">
        <v>10</v>
      </c>
      <c r="D34" s="69">
        <v>44396</v>
      </c>
      <c r="E34" s="77">
        <v>15.26</v>
      </c>
      <c r="F34" s="77">
        <f t="shared" si="2"/>
        <v>0</v>
      </c>
      <c r="G34" s="75"/>
      <c r="H34" s="16"/>
      <c r="I34" s="16"/>
      <c r="J34" s="175"/>
      <c r="K34" s="16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  <c r="AU34" s="40"/>
      <c r="AV34" s="40"/>
      <c r="AW34" s="40"/>
      <c r="AX34" s="40"/>
      <c r="AY34" s="40"/>
      <c r="AZ34" s="40"/>
      <c r="BA34" s="40"/>
      <c r="BB34" s="40"/>
      <c r="BC34" s="40"/>
      <c r="BD34" s="40"/>
      <c r="BE34" s="40"/>
      <c r="BF34" s="40"/>
      <c r="BG34" s="40"/>
      <c r="BH34" s="40"/>
      <c r="BI34" s="40"/>
      <c r="BJ34" s="40"/>
      <c r="BK34" s="40"/>
      <c r="BL34" s="40"/>
      <c r="BM34" s="40"/>
      <c r="BN34" s="40"/>
      <c r="BO34" s="40"/>
      <c r="BP34" s="40"/>
      <c r="BQ34" s="40"/>
      <c r="BR34" s="40"/>
      <c r="BS34" s="40"/>
      <c r="BT34" s="40"/>
      <c r="BU34" s="40"/>
      <c r="BV34" s="40"/>
      <c r="BW34" s="40"/>
      <c r="BX34" s="40"/>
      <c r="BY34" s="40"/>
      <c r="BZ34" s="40"/>
      <c r="CA34" s="40"/>
      <c r="CB34" s="40"/>
      <c r="CC34" s="40"/>
      <c r="CD34" s="40"/>
      <c r="CE34" s="30">
        <f t="shared" si="1"/>
        <v>0</v>
      </c>
      <c r="CF34" s="5"/>
    </row>
    <row r="35" spans="1:84" s="38" customFormat="1" x14ac:dyDescent="0.25">
      <c r="A35" s="45" t="s">
        <v>258</v>
      </c>
      <c r="B35" s="75">
        <f t="shared" si="0"/>
        <v>0</v>
      </c>
      <c r="C35" s="67">
        <v>9</v>
      </c>
      <c r="D35" s="69">
        <v>44585</v>
      </c>
      <c r="E35" s="77">
        <v>38.869999999999997</v>
      </c>
      <c r="F35" s="77">
        <f t="shared" si="2"/>
        <v>0</v>
      </c>
      <c r="G35" s="75"/>
      <c r="H35" s="16"/>
      <c r="I35" s="16"/>
      <c r="J35" s="175"/>
      <c r="K35" s="16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0"/>
      <c r="AW35" s="40"/>
      <c r="AX35" s="40"/>
      <c r="AY35" s="40"/>
      <c r="AZ35" s="40"/>
      <c r="BA35" s="40"/>
      <c r="BB35" s="40"/>
      <c r="BC35" s="40"/>
      <c r="BD35" s="40">
        <v>9</v>
      </c>
      <c r="BE35" s="40"/>
      <c r="BF35" s="40"/>
      <c r="BG35" s="40"/>
      <c r="BH35" s="40"/>
      <c r="BI35" s="40"/>
      <c r="BJ35" s="40"/>
      <c r="BK35" s="40"/>
      <c r="BL35" s="40">
        <v>9</v>
      </c>
      <c r="BM35" s="40"/>
      <c r="BN35" s="40"/>
      <c r="BO35" s="40"/>
      <c r="BP35" s="40"/>
      <c r="BQ35" s="40"/>
      <c r="BR35" s="40"/>
      <c r="BS35" s="40"/>
      <c r="BT35" s="40"/>
      <c r="BU35" s="40"/>
      <c r="BV35" s="40"/>
      <c r="BW35" s="40"/>
      <c r="BX35" s="40"/>
      <c r="BY35" s="40"/>
      <c r="BZ35" s="40"/>
      <c r="CA35" s="40"/>
      <c r="CB35" s="40"/>
      <c r="CC35" s="40"/>
      <c r="CD35" s="40"/>
      <c r="CE35" s="30">
        <f t="shared" si="1"/>
        <v>0</v>
      </c>
      <c r="CF35" s="5"/>
    </row>
    <row r="36" spans="1:84" s="38" customFormat="1" x14ac:dyDescent="0.25">
      <c r="A36" s="45" t="s">
        <v>488</v>
      </c>
      <c r="B36" s="75">
        <f t="shared" si="0"/>
        <v>0</v>
      </c>
      <c r="C36" s="67">
        <v>1</v>
      </c>
      <c r="D36" s="69">
        <v>44452</v>
      </c>
      <c r="E36" s="77">
        <v>27.19</v>
      </c>
      <c r="F36" s="77">
        <f t="shared" si="2"/>
        <v>0</v>
      </c>
      <c r="G36" s="75"/>
      <c r="H36" s="16"/>
      <c r="I36" s="16"/>
      <c r="J36" s="175"/>
      <c r="K36" s="16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  <c r="AZ36" s="40"/>
      <c r="BA36" s="40"/>
      <c r="BB36" s="40"/>
      <c r="BC36" s="40"/>
      <c r="BD36" s="40"/>
      <c r="BE36" s="40"/>
      <c r="BF36" s="40"/>
      <c r="BG36" s="40"/>
      <c r="BH36" s="40"/>
      <c r="BI36" s="40"/>
      <c r="BJ36" s="40"/>
      <c r="BK36" s="40"/>
      <c r="BL36" s="40"/>
      <c r="BM36" s="40"/>
      <c r="BN36" s="40"/>
      <c r="BO36" s="40"/>
      <c r="BP36" s="40"/>
      <c r="BQ36" s="40"/>
      <c r="BR36" s="40"/>
      <c r="BS36" s="40"/>
      <c r="BT36" s="40"/>
      <c r="BU36" s="40"/>
      <c r="BV36" s="40"/>
      <c r="BW36" s="40"/>
      <c r="BX36" s="40"/>
      <c r="BY36" s="40"/>
      <c r="BZ36" s="40"/>
      <c r="CA36" s="40"/>
      <c r="CB36" s="40"/>
      <c r="CC36" s="40"/>
      <c r="CD36" s="40"/>
      <c r="CE36" s="30">
        <f t="shared" si="1"/>
        <v>0</v>
      </c>
      <c r="CF36" s="5"/>
    </row>
    <row r="37" spans="1:84" s="38" customFormat="1" x14ac:dyDescent="0.25">
      <c r="A37" s="45" t="s">
        <v>325</v>
      </c>
      <c r="B37" s="75">
        <f t="shared" si="0"/>
        <v>20</v>
      </c>
      <c r="C37" s="67">
        <v>10</v>
      </c>
      <c r="D37" s="69">
        <v>44494</v>
      </c>
      <c r="E37" s="77">
        <v>25.14</v>
      </c>
      <c r="F37" s="77">
        <f t="shared" si="2"/>
        <v>502.8</v>
      </c>
      <c r="G37" s="75">
        <v>50</v>
      </c>
      <c r="H37" s="16"/>
      <c r="I37" s="16"/>
      <c r="J37" s="175"/>
      <c r="K37" s="16"/>
      <c r="L37" s="40"/>
      <c r="M37" s="40"/>
      <c r="N37" s="40"/>
      <c r="O37" s="40"/>
      <c r="P37" s="40"/>
      <c r="Q37" s="40">
        <v>30</v>
      </c>
      <c r="R37" s="40">
        <v>20</v>
      </c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  <c r="AZ37" s="40"/>
      <c r="BA37" s="40"/>
      <c r="BB37" s="40"/>
      <c r="BC37" s="40"/>
      <c r="BD37" s="40"/>
      <c r="BE37" s="40"/>
      <c r="BF37" s="40"/>
      <c r="BG37" s="40"/>
      <c r="BH37" s="40"/>
      <c r="BI37" s="40"/>
      <c r="BJ37" s="40"/>
      <c r="BK37" s="40"/>
      <c r="BL37" s="40"/>
      <c r="BM37" s="40"/>
      <c r="BN37" s="40"/>
      <c r="BO37" s="40"/>
      <c r="BP37" s="40"/>
      <c r="BQ37" s="40"/>
      <c r="BR37" s="40"/>
      <c r="BS37" s="40"/>
      <c r="BT37" s="40"/>
      <c r="BU37" s="40"/>
      <c r="BV37" s="40"/>
      <c r="BW37" s="40"/>
      <c r="BX37" s="40"/>
      <c r="BY37" s="40"/>
      <c r="BZ37" s="40"/>
      <c r="CA37" s="40"/>
      <c r="CB37" s="40"/>
      <c r="CC37" s="40"/>
      <c r="CD37" s="40"/>
      <c r="CE37" s="30">
        <f t="shared" si="1"/>
        <v>0</v>
      </c>
      <c r="CF37" s="5"/>
    </row>
    <row r="38" spans="1:84" s="38" customFormat="1" x14ac:dyDescent="0.25">
      <c r="A38" s="45" t="s">
        <v>325</v>
      </c>
      <c r="B38" s="75">
        <f t="shared" si="0"/>
        <v>0</v>
      </c>
      <c r="C38" s="67">
        <v>10</v>
      </c>
      <c r="D38" s="69">
        <v>44431</v>
      </c>
      <c r="E38" s="77">
        <v>24.8</v>
      </c>
      <c r="F38" s="77">
        <f t="shared" si="2"/>
        <v>0</v>
      </c>
      <c r="G38" s="75"/>
      <c r="H38" s="16"/>
      <c r="I38" s="16"/>
      <c r="J38" s="175"/>
      <c r="K38" s="16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  <c r="AZ38" s="40"/>
      <c r="BA38" s="40"/>
      <c r="BB38" s="40"/>
      <c r="BC38" s="40"/>
      <c r="BD38" s="40"/>
      <c r="BE38" s="40"/>
      <c r="BF38" s="40"/>
      <c r="BG38" s="40"/>
      <c r="BH38" s="40"/>
      <c r="BI38" s="40"/>
      <c r="BJ38" s="40"/>
      <c r="BK38" s="40"/>
      <c r="BL38" s="40"/>
      <c r="BM38" s="40"/>
      <c r="BN38" s="40"/>
      <c r="BO38" s="40"/>
      <c r="BP38" s="40"/>
      <c r="BQ38" s="40"/>
      <c r="BR38" s="40"/>
      <c r="BS38" s="40"/>
      <c r="BT38" s="40"/>
      <c r="BU38" s="40"/>
      <c r="BV38" s="40"/>
      <c r="BW38" s="40"/>
      <c r="BX38" s="40"/>
      <c r="BY38" s="40"/>
      <c r="BZ38" s="40"/>
      <c r="CA38" s="40"/>
      <c r="CB38" s="40"/>
      <c r="CC38" s="40"/>
      <c r="CD38" s="40"/>
      <c r="CE38" s="30">
        <f t="shared" si="1"/>
        <v>0</v>
      </c>
      <c r="CF38" s="5"/>
    </row>
    <row r="39" spans="1:84" s="38" customFormat="1" x14ac:dyDescent="0.25">
      <c r="A39" s="45" t="s">
        <v>82</v>
      </c>
      <c r="B39" s="75">
        <f t="shared" si="0"/>
        <v>30</v>
      </c>
      <c r="C39" s="67">
        <v>10</v>
      </c>
      <c r="D39" s="70">
        <v>44557</v>
      </c>
      <c r="E39" s="77">
        <v>30.95</v>
      </c>
      <c r="F39" s="77">
        <f t="shared" si="2"/>
        <v>928.5</v>
      </c>
      <c r="G39" s="75">
        <v>30</v>
      </c>
      <c r="H39" s="16"/>
      <c r="I39" s="16"/>
      <c r="J39" s="175"/>
      <c r="K39" s="16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>
        <v>30</v>
      </c>
      <c r="AM39" s="40"/>
      <c r="AN39" s="40"/>
      <c r="AO39" s="40"/>
      <c r="AP39" s="40"/>
      <c r="AQ39" s="40"/>
      <c r="AR39" s="40"/>
      <c r="AS39" s="40"/>
      <c r="AT39" s="40"/>
      <c r="AU39" s="40"/>
      <c r="AV39" s="40"/>
      <c r="AW39" s="40"/>
      <c r="AX39" s="40"/>
      <c r="AY39" s="40"/>
      <c r="AZ39" s="40"/>
      <c r="BA39" s="40"/>
      <c r="BB39" s="40"/>
      <c r="BC39" s="40"/>
      <c r="BD39" s="40"/>
      <c r="BE39" s="40"/>
      <c r="BF39" s="40"/>
      <c r="BG39" s="40"/>
      <c r="BH39" s="40"/>
      <c r="BI39" s="40"/>
      <c r="BJ39" s="40"/>
      <c r="BK39" s="40"/>
      <c r="BL39" s="40"/>
      <c r="BM39" s="40"/>
      <c r="BN39" s="40"/>
      <c r="BO39" s="40"/>
      <c r="BP39" s="40"/>
      <c r="BQ39" s="40"/>
      <c r="BR39" s="40"/>
      <c r="BS39" s="40"/>
      <c r="BT39" s="40"/>
      <c r="BU39" s="40"/>
      <c r="BV39" s="40"/>
      <c r="BW39" s="40"/>
      <c r="BX39" s="40"/>
      <c r="BY39" s="40"/>
      <c r="BZ39" s="40"/>
      <c r="CA39" s="40"/>
      <c r="CB39" s="40"/>
      <c r="CC39" s="40"/>
      <c r="CD39" s="40"/>
      <c r="CE39" s="30">
        <f t="shared" si="1"/>
        <v>0</v>
      </c>
      <c r="CF39" s="5"/>
    </row>
    <row r="40" spans="1:84" s="38" customFormat="1" x14ac:dyDescent="0.25">
      <c r="A40" s="61" t="s">
        <v>12</v>
      </c>
      <c r="B40" s="75">
        <f t="shared" si="0"/>
        <v>0</v>
      </c>
      <c r="C40" s="67">
        <v>1</v>
      </c>
      <c r="D40" s="68">
        <v>44522</v>
      </c>
      <c r="E40" s="77">
        <v>19.09</v>
      </c>
      <c r="F40" s="77">
        <f t="shared" si="2"/>
        <v>0</v>
      </c>
      <c r="G40" s="75"/>
      <c r="H40" s="16"/>
      <c r="I40" s="16"/>
      <c r="J40" s="175"/>
      <c r="K40" s="16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  <c r="AW40" s="40"/>
      <c r="AX40" s="40"/>
      <c r="AY40" s="40"/>
      <c r="AZ40" s="40"/>
      <c r="BA40" s="40"/>
      <c r="BB40" s="40"/>
      <c r="BC40" s="40"/>
      <c r="BD40" s="40"/>
      <c r="BE40" s="40"/>
      <c r="BF40" s="40"/>
      <c r="BG40" s="40"/>
      <c r="BH40" s="40"/>
      <c r="BI40" s="40"/>
      <c r="BJ40" s="40"/>
      <c r="BK40" s="40"/>
      <c r="BL40" s="40"/>
      <c r="BM40" s="40"/>
      <c r="BN40" s="40"/>
      <c r="BO40" s="40"/>
      <c r="BP40" s="40"/>
      <c r="BQ40" s="40"/>
      <c r="BR40" s="40"/>
      <c r="BS40" s="40"/>
      <c r="BT40" s="40"/>
      <c r="BU40" s="40"/>
      <c r="BV40" s="40"/>
      <c r="BW40" s="40"/>
      <c r="BX40" s="40"/>
      <c r="BY40" s="40"/>
      <c r="BZ40" s="40"/>
      <c r="CA40" s="40"/>
      <c r="CB40" s="40"/>
      <c r="CC40" s="40"/>
      <c r="CD40" s="40"/>
      <c r="CE40" s="30">
        <f t="shared" si="1"/>
        <v>0</v>
      </c>
      <c r="CF40" s="5"/>
    </row>
    <row r="41" spans="1:84" s="38" customFormat="1" x14ac:dyDescent="0.25">
      <c r="A41" s="61" t="s">
        <v>12</v>
      </c>
      <c r="B41" s="75">
        <f t="shared" si="0"/>
        <v>0</v>
      </c>
      <c r="C41" s="67">
        <v>10</v>
      </c>
      <c r="D41" s="68">
        <v>44585</v>
      </c>
      <c r="E41" s="77">
        <v>15.37</v>
      </c>
      <c r="F41" s="77">
        <f t="shared" si="2"/>
        <v>0</v>
      </c>
      <c r="G41" s="75"/>
      <c r="H41" s="16"/>
      <c r="I41" s="16"/>
      <c r="J41" s="175"/>
      <c r="K41" s="16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  <c r="AZ41" s="40"/>
      <c r="BA41" s="40"/>
      <c r="BB41" s="40"/>
      <c r="BC41" s="40"/>
      <c r="BD41" s="40">
        <v>10</v>
      </c>
      <c r="BE41" s="40"/>
      <c r="BF41" s="40"/>
      <c r="BG41" s="40"/>
      <c r="BH41" s="40"/>
      <c r="BI41" s="40"/>
      <c r="BJ41" s="40"/>
      <c r="BK41" s="40"/>
      <c r="BL41" s="40"/>
      <c r="BM41" s="40"/>
      <c r="BN41" s="40"/>
      <c r="BO41" s="40"/>
      <c r="BP41" s="40"/>
      <c r="BQ41" s="40"/>
      <c r="BR41" s="40"/>
      <c r="BS41" s="40"/>
      <c r="BT41" s="40"/>
      <c r="BU41" s="40"/>
      <c r="BV41" s="40"/>
      <c r="BW41" s="40"/>
      <c r="BX41" s="40">
        <v>10</v>
      </c>
      <c r="BY41" s="40"/>
      <c r="BZ41" s="40"/>
      <c r="CA41" s="40"/>
      <c r="CB41" s="40"/>
      <c r="CC41" s="40"/>
      <c r="CD41" s="40"/>
      <c r="CE41" s="30">
        <f t="shared" si="1"/>
        <v>0</v>
      </c>
      <c r="CF41" s="5"/>
    </row>
    <row r="42" spans="1:84" s="38" customFormat="1" x14ac:dyDescent="0.25">
      <c r="A42" s="61" t="s">
        <v>441</v>
      </c>
      <c r="B42" s="75">
        <f t="shared" si="0"/>
        <v>0</v>
      </c>
      <c r="C42" s="67">
        <v>10</v>
      </c>
      <c r="D42" s="68">
        <v>44503</v>
      </c>
      <c r="E42" s="77">
        <v>16.64</v>
      </c>
      <c r="F42" s="77">
        <f t="shared" si="2"/>
        <v>0</v>
      </c>
      <c r="G42" s="75"/>
      <c r="H42" s="16"/>
      <c r="I42" s="16"/>
      <c r="J42" s="175"/>
      <c r="K42" s="16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  <c r="AZ42" s="40"/>
      <c r="BA42" s="40"/>
      <c r="BB42" s="40"/>
      <c r="BC42" s="40"/>
      <c r="BD42" s="40"/>
      <c r="BE42" s="40"/>
      <c r="BF42" s="40"/>
      <c r="BG42" s="40"/>
      <c r="BH42" s="40"/>
      <c r="BI42" s="40"/>
      <c r="BJ42" s="40"/>
      <c r="BK42" s="40"/>
      <c r="BL42" s="40"/>
      <c r="BM42" s="40"/>
      <c r="BN42" s="40"/>
      <c r="BO42" s="40"/>
      <c r="BP42" s="40"/>
      <c r="BQ42" s="40"/>
      <c r="BR42" s="40"/>
      <c r="BS42" s="40"/>
      <c r="BT42" s="40"/>
      <c r="BU42" s="40"/>
      <c r="BV42" s="40"/>
      <c r="BW42" s="40"/>
      <c r="BX42" s="40"/>
      <c r="BY42" s="40"/>
      <c r="BZ42" s="40"/>
      <c r="CA42" s="40"/>
      <c r="CB42" s="40"/>
      <c r="CC42" s="40"/>
      <c r="CD42" s="40"/>
      <c r="CE42" s="30">
        <f t="shared" si="1"/>
        <v>0</v>
      </c>
      <c r="CF42" s="5"/>
    </row>
    <row r="43" spans="1:84" s="38" customFormat="1" x14ac:dyDescent="0.25">
      <c r="A43" s="61" t="s">
        <v>485</v>
      </c>
      <c r="B43" s="75">
        <f t="shared" si="0"/>
        <v>0</v>
      </c>
      <c r="C43" s="67">
        <v>1</v>
      </c>
      <c r="D43" s="68">
        <v>44466</v>
      </c>
      <c r="E43" s="77">
        <v>22.68</v>
      </c>
      <c r="F43" s="77">
        <f t="shared" si="2"/>
        <v>0</v>
      </c>
      <c r="G43" s="75"/>
      <c r="H43" s="16"/>
      <c r="I43" s="16"/>
      <c r="J43" s="175"/>
      <c r="K43" s="16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  <c r="AZ43" s="40"/>
      <c r="BA43" s="40"/>
      <c r="BB43" s="40"/>
      <c r="BC43" s="40"/>
      <c r="BD43" s="40"/>
      <c r="BE43" s="40"/>
      <c r="BF43" s="40"/>
      <c r="BG43" s="40"/>
      <c r="BH43" s="40"/>
      <c r="BI43" s="40"/>
      <c r="BJ43" s="40"/>
      <c r="BK43" s="40"/>
      <c r="BL43" s="40"/>
      <c r="BM43" s="40"/>
      <c r="BN43" s="40"/>
      <c r="BO43" s="40"/>
      <c r="BP43" s="40"/>
      <c r="BQ43" s="40"/>
      <c r="BR43" s="40"/>
      <c r="BS43" s="40"/>
      <c r="BT43" s="40"/>
      <c r="BU43" s="40"/>
      <c r="BV43" s="40"/>
      <c r="BW43" s="40"/>
      <c r="BX43" s="40"/>
      <c r="BY43" s="40"/>
      <c r="BZ43" s="40"/>
      <c r="CA43" s="40"/>
      <c r="CB43" s="40"/>
      <c r="CC43" s="40"/>
      <c r="CD43" s="40"/>
      <c r="CE43" s="30">
        <f t="shared" si="1"/>
        <v>0</v>
      </c>
      <c r="CF43" s="5"/>
    </row>
    <row r="44" spans="1:84" s="38" customFormat="1" x14ac:dyDescent="0.25">
      <c r="A44" s="61" t="s">
        <v>433</v>
      </c>
      <c r="B44" s="75">
        <f t="shared" si="0"/>
        <v>0</v>
      </c>
      <c r="C44" s="67">
        <v>10</v>
      </c>
      <c r="D44" s="68">
        <v>44221</v>
      </c>
      <c r="E44" s="77">
        <v>19.28</v>
      </c>
      <c r="F44" s="77">
        <f t="shared" si="2"/>
        <v>0</v>
      </c>
      <c r="G44" s="75"/>
      <c r="H44" s="16"/>
      <c r="I44" s="16"/>
      <c r="J44" s="175"/>
      <c r="K44" s="16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0"/>
      <c r="AS44" s="40"/>
      <c r="AT44" s="40"/>
      <c r="AU44" s="40"/>
      <c r="AV44" s="40"/>
      <c r="AW44" s="40"/>
      <c r="AX44" s="40"/>
      <c r="AY44" s="40"/>
      <c r="AZ44" s="40"/>
      <c r="BA44" s="40"/>
      <c r="BB44" s="40"/>
      <c r="BC44" s="40"/>
      <c r="BD44" s="40"/>
      <c r="BE44" s="40"/>
      <c r="BF44" s="40"/>
      <c r="BG44" s="40"/>
      <c r="BH44" s="40"/>
      <c r="BI44" s="40"/>
      <c r="BJ44" s="40"/>
      <c r="BK44" s="40"/>
      <c r="BL44" s="40"/>
      <c r="BM44" s="40"/>
      <c r="BN44" s="40"/>
      <c r="BO44" s="40"/>
      <c r="BP44" s="40"/>
      <c r="BQ44" s="40"/>
      <c r="BR44" s="40"/>
      <c r="BS44" s="40"/>
      <c r="BT44" s="40"/>
      <c r="BU44" s="40"/>
      <c r="BV44" s="40"/>
      <c r="BW44" s="40"/>
      <c r="BX44" s="40"/>
      <c r="BY44" s="40"/>
      <c r="BZ44" s="40"/>
      <c r="CA44" s="40"/>
      <c r="CB44" s="40"/>
      <c r="CC44" s="40"/>
      <c r="CD44" s="40"/>
      <c r="CE44" s="30">
        <f t="shared" si="1"/>
        <v>0</v>
      </c>
      <c r="CF44" s="5"/>
    </row>
    <row r="45" spans="1:84" s="38" customFormat="1" x14ac:dyDescent="0.25">
      <c r="A45" s="61" t="s">
        <v>274</v>
      </c>
      <c r="B45" s="75">
        <f t="shared" si="0"/>
        <v>0</v>
      </c>
      <c r="C45" s="67">
        <v>1</v>
      </c>
      <c r="D45" s="68">
        <v>44466</v>
      </c>
      <c r="E45" s="77">
        <v>17.489999999999998</v>
      </c>
      <c r="F45" s="77">
        <f t="shared" si="2"/>
        <v>0</v>
      </c>
      <c r="G45" s="75"/>
      <c r="H45" s="16"/>
      <c r="I45" s="16"/>
      <c r="J45" s="175"/>
      <c r="K45" s="16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  <c r="AW45" s="40"/>
      <c r="AX45" s="40"/>
      <c r="AY45" s="40"/>
      <c r="AZ45" s="40"/>
      <c r="BA45" s="40"/>
      <c r="BB45" s="40"/>
      <c r="BC45" s="40"/>
      <c r="BD45" s="40"/>
      <c r="BE45" s="40"/>
      <c r="BF45" s="40"/>
      <c r="BG45" s="40"/>
      <c r="BH45" s="40"/>
      <c r="BI45" s="40"/>
      <c r="BJ45" s="40"/>
      <c r="BK45" s="40"/>
      <c r="BL45" s="40"/>
      <c r="BM45" s="40"/>
      <c r="BN45" s="40"/>
      <c r="BO45" s="40"/>
      <c r="BP45" s="40"/>
      <c r="BQ45" s="40"/>
      <c r="BR45" s="40"/>
      <c r="BS45" s="40"/>
      <c r="BT45" s="40"/>
      <c r="BU45" s="40"/>
      <c r="BV45" s="40"/>
      <c r="BW45" s="40"/>
      <c r="BX45" s="40"/>
      <c r="BY45" s="40"/>
      <c r="BZ45" s="40"/>
      <c r="CA45" s="40"/>
      <c r="CB45" s="40"/>
      <c r="CC45" s="40"/>
      <c r="CD45" s="40"/>
      <c r="CE45" s="30">
        <f t="shared" si="1"/>
        <v>0</v>
      </c>
      <c r="CF45" s="5"/>
    </row>
    <row r="46" spans="1:84" s="38" customFormat="1" x14ac:dyDescent="0.25">
      <c r="A46" s="24" t="s">
        <v>56</v>
      </c>
      <c r="B46" s="75">
        <f t="shared" si="0"/>
        <v>0</v>
      </c>
      <c r="C46" s="67">
        <v>1</v>
      </c>
      <c r="D46" s="69">
        <v>44557</v>
      </c>
      <c r="E46" s="77">
        <v>29.36</v>
      </c>
      <c r="F46" s="77">
        <f t="shared" si="2"/>
        <v>0</v>
      </c>
      <c r="G46" s="75">
        <v>2</v>
      </c>
      <c r="H46" s="16"/>
      <c r="I46" s="16"/>
      <c r="J46" s="175"/>
      <c r="K46" s="16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0">
        <v>2</v>
      </c>
      <c r="AP46" s="40"/>
      <c r="AQ46" s="40"/>
      <c r="AR46" s="40"/>
      <c r="AS46" s="40"/>
      <c r="AT46" s="40"/>
      <c r="AU46" s="40"/>
      <c r="AV46" s="40"/>
      <c r="AW46" s="40"/>
      <c r="AX46" s="40"/>
      <c r="AY46" s="40"/>
      <c r="AZ46" s="40"/>
      <c r="BA46" s="40"/>
      <c r="BB46" s="40"/>
      <c r="BC46" s="40"/>
      <c r="BD46" s="40"/>
      <c r="BE46" s="40"/>
      <c r="BF46" s="40"/>
      <c r="BG46" s="40"/>
      <c r="BH46" s="40"/>
      <c r="BI46" s="40"/>
      <c r="BJ46" s="40"/>
      <c r="BK46" s="40"/>
      <c r="BL46" s="40"/>
      <c r="BM46" s="40"/>
      <c r="BN46" s="40"/>
      <c r="BO46" s="40"/>
      <c r="BP46" s="40"/>
      <c r="BQ46" s="40"/>
      <c r="BR46" s="40"/>
      <c r="BS46" s="40"/>
      <c r="BT46" s="40"/>
      <c r="BU46" s="40"/>
      <c r="BV46" s="40"/>
      <c r="BW46" s="40"/>
      <c r="BX46" s="40"/>
      <c r="BY46" s="40"/>
      <c r="BZ46" s="40"/>
      <c r="CA46" s="40"/>
      <c r="CB46" s="40"/>
      <c r="CC46" s="40"/>
      <c r="CD46" s="40"/>
      <c r="CE46" s="30">
        <f t="shared" si="1"/>
        <v>0</v>
      </c>
      <c r="CF46" s="5"/>
    </row>
    <row r="47" spans="1:84" s="38" customFormat="1" x14ac:dyDescent="0.25">
      <c r="A47" s="61" t="s">
        <v>56</v>
      </c>
      <c r="B47" s="75">
        <f t="shared" si="0"/>
        <v>0</v>
      </c>
      <c r="C47" s="67">
        <v>10</v>
      </c>
      <c r="D47" s="69">
        <v>44557</v>
      </c>
      <c r="E47" s="77">
        <v>27.22</v>
      </c>
      <c r="F47" s="77">
        <f t="shared" si="2"/>
        <v>0</v>
      </c>
      <c r="G47" s="75"/>
      <c r="H47" s="16"/>
      <c r="I47" s="16"/>
      <c r="J47" s="175"/>
      <c r="K47" s="16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  <c r="AZ47" s="40"/>
      <c r="BA47" s="40"/>
      <c r="BB47" s="40"/>
      <c r="BC47" s="40"/>
      <c r="BD47" s="40"/>
      <c r="BE47" s="40"/>
      <c r="BF47" s="40"/>
      <c r="BG47" s="40"/>
      <c r="BH47" s="40"/>
      <c r="BI47" s="40"/>
      <c r="BJ47" s="40"/>
      <c r="BK47" s="40"/>
      <c r="BL47" s="40"/>
      <c r="BM47" s="40"/>
      <c r="BN47" s="40"/>
      <c r="BO47" s="40"/>
      <c r="BP47" s="40"/>
      <c r="BQ47" s="40"/>
      <c r="BR47" s="40"/>
      <c r="BS47" s="40"/>
      <c r="BT47" s="40"/>
      <c r="BU47" s="40"/>
      <c r="BV47" s="40"/>
      <c r="BW47" s="40"/>
      <c r="BX47" s="40"/>
      <c r="BY47" s="40"/>
      <c r="BZ47" s="40"/>
      <c r="CA47" s="40"/>
      <c r="CB47" s="40"/>
      <c r="CC47" s="40"/>
      <c r="CD47" s="40"/>
      <c r="CE47" s="30">
        <f t="shared" si="1"/>
        <v>0</v>
      </c>
      <c r="CF47" s="5"/>
    </row>
    <row r="48" spans="1:84" s="38" customFormat="1" x14ac:dyDescent="0.25">
      <c r="A48" s="61" t="s">
        <v>449</v>
      </c>
      <c r="B48" s="75">
        <f t="shared" si="0"/>
        <v>0</v>
      </c>
      <c r="C48" s="67">
        <v>10</v>
      </c>
      <c r="D48" s="69">
        <v>44480</v>
      </c>
      <c r="E48" s="77">
        <v>17.68</v>
      </c>
      <c r="F48" s="77">
        <f t="shared" si="2"/>
        <v>0</v>
      </c>
      <c r="G48" s="75"/>
      <c r="H48" s="16"/>
      <c r="I48" s="16"/>
      <c r="J48" s="175"/>
      <c r="K48" s="16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  <c r="BA48" s="40"/>
      <c r="BB48" s="40"/>
      <c r="BC48" s="40"/>
      <c r="BD48" s="40"/>
      <c r="BE48" s="40"/>
      <c r="BF48" s="40"/>
      <c r="BG48" s="40"/>
      <c r="BH48" s="40"/>
      <c r="BI48" s="40"/>
      <c r="BJ48" s="40"/>
      <c r="BK48" s="40"/>
      <c r="BL48" s="40"/>
      <c r="BM48" s="40"/>
      <c r="BN48" s="40"/>
      <c r="BO48" s="40"/>
      <c r="BP48" s="40"/>
      <c r="BQ48" s="40"/>
      <c r="BR48" s="40"/>
      <c r="BS48" s="40"/>
      <c r="BT48" s="40"/>
      <c r="BU48" s="40"/>
      <c r="BV48" s="40"/>
      <c r="BW48" s="40"/>
      <c r="BX48" s="40"/>
      <c r="BY48" s="40"/>
      <c r="BZ48" s="40"/>
      <c r="CA48" s="40"/>
      <c r="CB48" s="40"/>
      <c r="CC48" s="40"/>
      <c r="CD48" s="40"/>
      <c r="CE48" s="30">
        <f t="shared" si="1"/>
        <v>0</v>
      </c>
      <c r="CF48" s="5"/>
    </row>
    <row r="49" spans="1:84" s="38" customFormat="1" x14ac:dyDescent="0.25">
      <c r="A49" s="61" t="s">
        <v>147</v>
      </c>
      <c r="B49" s="75">
        <f t="shared" si="0"/>
        <v>0</v>
      </c>
      <c r="C49" s="67">
        <v>1</v>
      </c>
      <c r="D49" s="69">
        <v>44532</v>
      </c>
      <c r="E49" s="77">
        <v>21.12</v>
      </c>
      <c r="F49" s="77">
        <f t="shared" si="2"/>
        <v>0</v>
      </c>
      <c r="G49" s="75"/>
      <c r="H49" s="16"/>
      <c r="I49" s="16"/>
      <c r="J49" s="175"/>
      <c r="K49" s="16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  <c r="AZ49" s="40"/>
      <c r="BA49" s="40"/>
      <c r="BB49" s="40"/>
      <c r="BC49" s="40"/>
      <c r="BD49" s="40"/>
      <c r="BE49" s="40"/>
      <c r="BF49" s="40"/>
      <c r="BG49" s="40"/>
      <c r="BH49" s="40"/>
      <c r="BI49" s="40"/>
      <c r="BJ49" s="40"/>
      <c r="BK49" s="40"/>
      <c r="BL49" s="40"/>
      <c r="BM49" s="40"/>
      <c r="BN49" s="40"/>
      <c r="BO49" s="40"/>
      <c r="BP49" s="40"/>
      <c r="BQ49" s="40"/>
      <c r="BR49" s="40"/>
      <c r="BS49" s="40"/>
      <c r="BT49" s="40"/>
      <c r="BU49" s="40"/>
      <c r="BV49" s="40"/>
      <c r="BW49" s="40"/>
      <c r="BX49" s="40"/>
      <c r="BY49" s="40"/>
      <c r="BZ49" s="40"/>
      <c r="CA49" s="40"/>
      <c r="CB49" s="40"/>
      <c r="CC49" s="40"/>
      <c r="CD49" s="40"/>
      <c r="CE49" s="30">
        <f t="shared" si="1"/>
        <v>0</v>
      </c>
      <c r="CF49" s="5"/>
    </row>
    <row r="50" spans="1:84" s="38" customFormat="1" x14ac:dyDescent="0.25">
      <c r="A50" s="61" t="s">
        <v>147</v>
      </c>
      <c r="B50" s="75">
        <f t="shared" si="0"/>
        <v>500</v>
      </c>
      <c r="C50" s="67">
        <v>10</v>
      </c>
      <c r="D50" s="69">
        <v>44593</v>
      </c>
      <c r="E50" s="77">
        <v>18.11</v>
      </c>
      <c r="F50" s="77">
        <f t="shared" si="2"/>
        <v>9055</v>
      </c>
      <c r="G50" s="75"/>
      <c r="H50" s="16"/>
      <c r="I50" s="16"/>
      <c r="J50" s="175"/>
      <c r="K50" s="16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>
        <v>500</v>
      </c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U50" s="40"/>
      <c r="AV50" s="40"/>
      <c r="AW50" s="40"/>
      <c r="AX50" s="40"/>
      <c r="AY50" s="40"/>
      <c r="AZ50" s="40"/>
      <c r="BA50" s="40"/>
      <c r="BB50" s="40"/>
      <c r="BC50" s="40"/>
      <c r="BD50" s="40"/>
      <c r="BE50" s="40">
        <v>500</v>
      </c>
      <c r="BF50" s="40"/>
      <c r="BG50" s="40"/>
      <c r="BH50" s="40"/>
      <c r="BI50" s="40"/>
      <c r="BJ50" s="40"/>
      <c r="BK50" s="40"/>
      <c r="BL50" s="40"/>
      <c r="BM50" s="40"/>
      <c r="BN50" s="40"/>
      <c r="BO50" s="40"/>
      <c r="BP50" s="40"/>
      <c r="BQ50" s="40"/>
      <c r="BR50" s="40"/>
      <c r="BS50" s="40"/>
      <c r="BT50" s="40"/>
      <c r="BU50" s="40"/>
      <c r="BV50" s="40"/>
      <c r="BW50" s="40"/>
      <c r="BX50" s="40"/>
      <c r="BY50" s="40"/>
      <c r="BZ50" s="40"/>
      <c r="CA50" s="40"/>
      <c r="CB50" s="40"/>
      <c r="CC50" s="40"/>
      <c r="CD50" s="40"/>
      <c r="CE50" s="30">
        <f t="shared" si="1"/>
        <v>0</v>
      </c>
      <c r="CF50" s="5"/>
    </row>
    <row r="51" spans="1:84" s="38" customFormat="1" x14ac:dyDescent="0.25">
      <c r="A51" s="61" t="s">
        <v>176</v>
      </c>
      <c r="B51" s="75">
        <f t="shared" si="0"/>
        <v>0</v>
      </c>
      <c r="C51" s="67">
        <v>10</v>
      </c>
      <c r="D51" s="69">
        <v>44543</v>
      </c>
      <c r="E51" s="77">
        <v>20.190000000000001</v>
      </c>
      <c r="F51" s="77">
        <f t="shared" si="2"/>
        <v>0</v>
      </c>
      <c r="G51" s="75"/>
      <c r="H51" s="16"/>
      <c r="I51" s="16"/>
      <c r="J51" s="175"/>
      <c r="K51" s="16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  <c r="AU51" s="40"/>
      <c r="AV51" s="40"/>
      <c r="AW51" s="40"/>
      <c r="AX51" s="40"/>
      <c r="AY51" s="40"/>
      <c r="AZ51" s="40"/>
      <c r="BA51" s="40"/>
      <c r="BB51" s="40"/>
      <c r="BC51" s="40"/>
      <c r="BD51" s="40"/>
      <c r="BE51" s="40"/>
      <c r="BF51" s="40"/>
      <c r="BG51" s="40"/>
      <c r="BH51" s="40"/>
      <c r="BI51" s="40"/>
      <c r="BJ51" s="40"/>
      <c r="BK51" s="40"/>
      <c r="BL51" s="40"/>
      <c r="BM51" s="40"/>
      <c r="BN51" s="40"/>
      <c r="BO51" s="40"/>
      <c r="BP51" s="40"/>
      <c r="BQ51" s="40"/>
      <c r="BR51" s="40"/>
      <c r="BS51" s="40"/>
      <c r="BT51" s="40"/>
      <c r="BU51" s="40"/>
      <c r="BV51" s="40"/>
      <c r="BW51" s="40"/>
      <c r="BX51" s="40"/>
      <c r="BY51" s="40"/>
      <c r="BZ51" s="40"/>
      <c r="CA51" s="40"/>
      <c r="CB51" s="40"/>
      <c r="CC51" s="40"/>
      <c r="CD51" s="40"/>
      <c r="CE51" s="30">
        <f t="shared" si="1"/>
        <v>0</v>
      </c>
      <c r="CF51" s="5"/>
    </row>
    <row r="52" spans="1:84" s="38" customFormat="1" x14ac:dyDescent="0.25">
      <c r="A52" s="61" t="s">
        <v>126</v>
      </c>
      <c r="B52" s="75">
        <f t="shared" si="0"/>
        <v>1</v>
      </c>
      <c r="C52" s="67">
        <v>1</v>
      </c>
      <c r="D52" s="70">
        <v>44593</v>
      </c>
      <c r="E52" s="77">
        <v>38.92</v>
      </c>
      <c r="F52" s="77">
        <f t="shared" si="2"/>
        <v>38.92</v>
      </c>
      <c r="G52" s="75"/>
      <c r="H52" s="16"/>
      <c r="I52" s="16"/>
      <c r="J52" s="175"/>
      <c r="K52" s="16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  <c r="AW52" s="40"/>
      <c r="AX52" s="40"/>
      <c r="AY52" s="40"/>
      <c r="AZ52" s="40"/>
      <c r="BA52" s="40"/>
      <c r="BB52" s="40"/>
      <c r="BC52" s="40"/>
      <c r="BD52" s="40">
        <v>1</v>
      </c>
      <c r="BE52" s="40">
        <v>1</v>
      </c>
      <c r="BF52" s="40"/>
      <c r="BG52" s="40"/>
      <c r="BH52" s="40">
        <v>1</v>
      </c>
      <c r="BI52" s="40"/>
      <c r="BJ52" s="40"/>
      <c r="BK52" s="40"/>
      <c r="BL52" s="40"/>
      <c r="BM52" s="40"/>
      <c r="BN52" s="40"/>
      <c r="BO52" s="40"/>
      <c r="BP52" s="40"/>
      <c r="BQ52" s="40"/>
      <c r="BR52" s="40"/>
      <c r="BS52" s="40"/>
      <c r="BT52" s="40"/>
      <c r="BU52" s="40"/>
      <c r="BV52" s="40"/>
      <c r="BW52" s="40"/>
      <c r="BX52" s="40"/>
      <c r="BY52" s="40"/>
      <c r="BZ52" s="40"/>
      <c r="CA52" s="40"/>
      <c r="CB52" s="40"/>
      <c r="CC52" s="40"/>
      <c r="CD52" s="40"/>
      <c r="CE52" s="30">
        <f t="shared" si="1"/>
        <v>1</v>
      </c>
      <c r="CF52" s="5"/>
    </row>
    <row r="53" spans="1:84" s="38" customFormat="1" x14ac:dyDescent="0.25">
      <c r="A53" s="61" t="s">
        <v>126</v>
      </c>
      <c r="B53" s="75">
        <f t="shared" si="0"/>
        <v>0</v>
      </c>
      <c r="C53" s="67">
        <v>1</v>
      </c>
      <c r="D53" s="70">
        <v>44543</v>
      </c>
      <c r="E53" s="77">
        <v>39.74</v>
      </c>
      <c r="F53" s="77">
        <f t="shared" si="2"/>
        <v>0</v>
      </c>
      <c r="G53" s="75"/>
      <c r="H53" s="16"/>
      <c r="I53" s="16"/>
      <c r="J53" s="175"/>
      <c r="K53" s="16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  <c r="AW53" s="40"/>
      <c r="AX53" s="40"/>
      <c r="AY53" s="40"/>
      <c r="AZ53" s="40"/>
      <c r="BA53" s="40"/>
      <c r="BB53" s="40"/>
      <c r="BC53" s="40"/>
      <c r="BD53" s="40"/>
      <c r="BE53" s="40"/>
      <c r="BF53" s="40"/>
      <c r="BG53" s="40"/>
      <c r="BH53" s="40"/>
      <c r="BI53" s="40"/>
      <c r="BJ53" s="40"/>
      <c r="BK53" s="40"/>
      <c r="BL53" s="40"/>
      <c r="BM53" s="40"/>
      <c r="BN53" s="40"/>
      <c r="BO53" s="40"/>
      <c r="BP53" s="40"/>
      <c r="BQ53" s="40"/>
      <c r="BR53" s="40"/>
      <c r="BS53" s="40"/>
      <c r="BT53" s="40"/>
      <c r="BU53" s="40"/>
      <c r="BV53" s="40"/>
      <c r="BW53" s="40"/>
      <c r="BX53" s="40"/>
      <c r="BY53" s="40"/>
      <c r="BZ53" s="40"/>
      <c r="CA53" s="40"/>
      <c r="CB53" s="40"/>
      <c r="CC53" s="40"/>
      <c r="CD53" s="40"/>
      <c r="CE53" s="30">
        <f t="shared" si="1"/>
        <v>0</v>
      </c>
      <c r="CF53" s="5"/>
    </row>
    <row r="54" spans="1:84" s="38" customFormat="1" x14ac:dyDescent="0.25">
      <c r="A54" s="61" t="s">
        <v>268</v>
      </c>
      <c r="B54" s="75">
        <f t="shared" si="0"/>
        <v>0</v>
      </c>
      <c r="C54" s="67">
        <v>1</v>
      </c>
      <c r="D54" s="69">
        <v>44494</v>
      </c>
      <c r="E54" s="77">
        <v>39.799999999999997</v>
      </c>
      <c r="F54" s="77">
        <f t="shared" si="2"/>
        <v>0</v>
      </c>
      <c r="G54" s="75"/>
      <c r="H54" s="16"/>
      <c r="I54" s="16"/>
      <c r="J54" s="175"/>
      <c r="K54" s="16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V54" s="40"/>
      <c r="AW54" s="40"/>
      <c r="AX54" s="40"/>
      <c r="AY54" s="40"/>
      <c r="AZ54" s="40"/>
      <c r="BA54" s="40"/>
      <c r="BB54" s="40"/>
      <c r="BC54" s="40"/>
      <c r="BD54" s="40"/>
      <c r="BE54" s="40"/>
      <c r="BF54" s="40"/>
      <c r="BG54" s="40"/>
      <c r="BH54" s="40"/>
      <c r="BI54" s="40"/>
      <c r="BJ54" s="40"/>
      <c r="BK54" s="40"/>
      <c r="BL54" s="40"/>
      <c r="BM54" s="40"/>
      <c r="BN54" s="40"/>
      <c r="BO54" s="40"/>
      <c r="BP54" s="40"/>
      <c r="BQ54" s="40"/>
      <c r="BR54" s="40"/>
      <c r="BS54" s="40"/>
      <c r="BT54" s="40"/>
      <c r="BU54" s="40"/>
      <c r="BV54" s="40"/>
      <c r="BW54" s="40"/>
      <c r="BX54" s="40"/>
      <c r="BY54" s="40"/>
      <c r="BZ54" s="40"/>
      <c r="CA54" s="40"/>
      <c r="CB54" s="40"/>
      <c r="CC54" s="40"/>
      <c r="CD54" s="40"/>
      <c r="CE54" s="30">
        <f t="shared" si="1"/>
        <v>0</v>
      </c>
      <c r="CF54" s="5"/>
    </row>
    <row r="55" spans="1:84" s="38" customFormat="1" x14ac:dyDescent="0.25">
      <c r="A55" s="61" t="s">
        <v>478</v>
      </c>
      <c r="B55" s="75">
        <f t="shared" si="0"/>
        <v>0</v>
      </c>
      <c r="C55" s="67">
        <v>1</v>
      </c>
      <c r="D55" s="69">
        <v>44445</v>
      </c>
      <c r="E55" s="77">
        <v>28.64</v>
      </c>
      <c r="F55" s="77">
        <f t="shared" si="2"/>
        <v>0</v>
      </c>
      <c r="G55" s="75"/>
      <c r="H55" s="16"/>
      <c r="I55" s="16"/>
      <c r="J55" s="175"/>
      <c r="K55" s="16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  <c r="AW55" s="40"/>
      <c r="AX55" s="40"/>
      <c r="AY55" s="40"/>
      <c r="AZ55" s="40"/>
      <c r="BA55" s="40"/>
      <c r="BB55" s="40"/>
      <c r="BC55" s="40"/>
      <c r="BD55" s="40"/>
      <c r="BE55" s="40"/>
      <c r="BF55" s="40"/>
      <c r="BG55" s="40"/>
      <c r="BH55" s="40"/>
      <c r="BI55" s="40"/>
      <c r="BJ55" s="40"/>
      <c r="BK55" s="40"/>
      <c r="BL55" s="40"/>
      <c r="BM55" s="40"/>
      <c r="BN55" s="40"/>
      <c r="BO55" s="40"/>
      <c r="BP55" s="40"/>
      <c r="BQ55" s="40"/>
      <c r="BR55" s="40"/>
      <c r="BS55" s="40"/>
      <c r="BT55" s="40"/>
      <c r="BU55" s="40"/>
      <c r="BV55" s="40"/>
      <c r="BW55" s="40"/>
      <c r="BX55" s="40"/>
      <c r="BY55" s="40"/>
      <c r="BZ55" s="40"/>
      <c r="CA55" s="40"/>
      <c r="CB55" s="40"/>
      <c r="CC55" s="40"/>
      <c r="CD55" s="40"/>
      <c r="CE55" s="30">
        <f t="shared" si="1"/>
        <v>0</v>
      </c>
      <c r="CF55" s="5"/>
    </row>
    <row r="56" spans="1:84" s="38" customFormat="1" x14ac:dyDescent="0.25">
      <c r="A56" s="45" t="s">
        <v>225</v>
      </c>
      <c r="B56" s="75">
        <f t="shared" si="0"/>
        <v>100</v>
      </c>
      <c r="C56" s="67">
        <v>10</v>
      </c>
      <c r="D56" s="70">
        <v>44593</v>
      </c>
      <c r="E56" s="77">
        <v>27.68</v>
      </c>
      <c r="F56" s="77">
        <f t="shared" si="2"/>
        <v>2768</v>
      </c>
      <c r="G56" s="75">
        <v>50</v>
      </c>
      <c r="H56" s="16"/>
      <c r="I56" s="16"/>
      <c r="J56" s="175"/>
      <c r="K56" s="16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>
        <v>50</v>
      </c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>
        <v>100</v>
      </c>
      <c r="BF56" s="40"/>
      <c r="BG56" s="40"/>
      <c r="BH56" s="40"/>
      <c r="BI56" s="40"/>
      <c r="BJ56" s="40"/>
      <c r="BK56" s="40"/>
      <c r="BL56" s="40"/>
      <c r="BM56" s="40"/>
      <c r="BN56" s="40"/>
      <c r="BO56" s="40"/>
      <c r="BP56" s="40"/>
      <c r="BQ56" s="40"/>
      <c r="BR56" s="40"/>
      <c r="BS56" s="40"/>
      <c r="BT56" s="40"/>
      <c r="BU56" s="40"/>
      <c r="BV56" s="40"/>
      <c r="BW56" s="40"/>
      <c r="BX56" s="40"/>
      <c r="BY56" s="40"/>
      <c r="BZ56" s="40"/>
      <c r="CA56" s="40"/>
      <c r="CB56" s="40"/>
      <c r="CC56" s="40"/>
      <c r="CD56" s="40"/>
      <c r="CE56" s="30">
        <f t="shared" si="1"/>
        <v>100</v>
      </c>
      <c r="CF56" s="5"/>
    </row>
    <row r="57" spans="1:84" s="38" customFormat="1" x14ac:dyDescent="0.25">
      <c r="A57" s="45" t="s">
        <v>225</v>
      </c>
      <c r="B57" s="75">
        <f t="shared" si="0"/>
        <v>50</v>
      </c>
      <c r="C57" s="67">
        <v>10</v>
      </c>
      <c r="D57" s="70">
        <v>44564</v>
      </c>
      <c r="E57" s="77">
        <v>28.31</v>
      </c>
      <c r="F57" s="77">
        <f t="shared" si="2"/>
        <v>1415.5</v>
      </c>
      <c r="G57" s="75"/>
      <c r="H57" s="16"/>
      <c r="I57" s="16"/>
      <c r="J57" s="175"/>
      <c r="K57" s="16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>
        <v>50</v>
      </c>
      <c r="AJ57" s="40">
        <v>50</v>
      </c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  <c r="AW57" s="40">
        <v>100</v>
      </c>
      <c r="AX57" s="40"/>
      <c r="AY57" s="40"/>
      <c r="AZ57" s="40"/>
      <c r="BA57" s="40"/>
      <c r="BB57" s="40"/>
      <c r="BC57" s="40"/>
      <c r="BD57" s="40"/>
      <c r="BE57" s="40"/>
      <c r="BF57" s="40"/>
      <c r="BG57" s="40"/>
      <c r="BH57" s="40"/>
      <c r="BI57" s="40"/>
      <c r="BJ57" s="40"/>
      <c r="BK57" s="40"/>
      <c r="BL57" s="40"/>
      <c r="BM57" s="40"/>
      <c r="BN57" s="40"/>
      <c r="BO57" s="40"/>
      <c r="BP57" s="40"/>
      <c r="BQ57" s="40"/>
      <c r="BR57" s="40"/>
      <c r="BS57" s="40"/>
      <c r="BT57" s="40"/>
      <c r="BU57" s="40"/>
      <c r="BV57" s="40"/>
      <c r="BW57" s="40"/>
      <c r="BX57" s="40"/>
      <c r="BY57" s="40"/>
      <c r="BZ57" s="40"/>
      <c r="CA57" s="40"/>
      <c r="CB57" s="40"/>
      <c r="CC57" s="40"/>
      <c r="CD57" s="40"/>
      <c r="CE57" s="30">
        <f t="shared" si="1"/>
        <v>0</v>
      </c>
      <c r="CF57" s="5"/>
    </row>
    <row r="58" spans="1:84" s="38" customFormat="1" x14ac:dyDescent="0.25">
      <c r="A58" s="61" t="s">
        <v>248</v>
      </c>
      <c r="B58" s="75">
        <f t="shared" si="0"/>
        <v>10</v>
      </c>
      <c r="C58" s="67">
        <v>10</v>
      </c>
      <c r="D58" s="69">
        <v>44494</v>
      </c>
      <c r="E58" s="77">
        <v>17.93</v>
      </c>
      <c r="F58" s="77">
        <f t="shared" si="2"/>
        <v>179.3</v>
      </c>
      <c r="G58" s="75">
        <v>10</v>
      </c>
      <c r="H58" s="16"/>
      <c r="I58" s="16"/>
      <c r="J58" s="175"/>
      <c r="K58" s="16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  <c r="AW58" s="40"/>
      <c r="AX58" s="40"/>
      <c r="AY58" s="40"/>
      <c r="AZ58" s="40"/>
      <c r="BA58" s="40"/>
      <c r="BB58" s="40"/>
      <c r="BC58" s="40"/>
      <c r="BD58" s="40"/>
      <c r="BE58" s="40"/>
      <c r="BF58" s="40"/>
      <c r="BG58" s="40"/>
      <c r="BH58" s="40"/>
      <c r="BI58" s="40"/>
      <c r="BJ58" s="40"/>
      <c r="BK58" s="40"/>
      <c r="BL58" s="40"/>
      <c r="BM58" s="40"/>
      <c r="BN58" s="40"/>
      <c r="BO58" s="40"/>
      <c r="BP58" s="40"/>
      <c r="BQ58" s="40"/>
      <c r="BR58" s="40"/>
      <c r="BS58" s="40"/>
      <c r="BT58" s="40"/>
      <c r="BU58" s="40"/>
      <c r="BV58" s="40"/>
      <c r="BW58" s="40"/>
      <c r="BX58" s="40"/>
      <c r="BY58" s="40"/>
      <c r="BZ58" s="40"/>
      <c r="CA58" s="40"/>
      <c r="CB58" s="40"/>
      <c r="CC58" s="40"/>
      <c r="CD58" s="40">
        <v>10</v>
      </c>
      <c r="CE58" s="30">
        <f t="shared" si="1"/>
        <v>0</v>
      </c>
      <c r="CF58" s="5"/>
    </row>
    <row r="59" spans="1:84" s="38" customFormat="1" x14ac:dyDescent="0.25">
      <c r="A59" s="61" t="s">
        <v>284</v>
      </c>
      <c r="B59" s="75">
        <f t="shared" si="0"/>
        <v>0</v>
      </c>
      <c r="C59" s="67">
        <v>1</v>
      </c>
      <c r="D59" s="69">
        <v>44585</v>
      </c>
      <c r="E59" s="77">
        <v>22.06</v>
      </c>
      <c r="F59" s="77">
        <f t="shared" si="2"/>
        <v>0</v>
      </c>
      <c r="G59" s="75"/>
      <c r="H59" s="16"/>
      <c r="I59" s="16"/>
      <c r="J59" s="175"/>
      <c r="K59" s="16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>
        <v>1</v>
      </c>
      <c r="BE59" s="40"/>
      <c r="BF59" s="40"/>
      <c r="BG59" s="40"/>
      <c r="BH59" s="40"/>
      <c r="BI59" s="40"/>
      <c r="BJ59" s="40"/>
      <c r="BK59" s="40"/>
      <c r="BL59" s="40"/>
      <c r="BM59" s="40"/>
      <c r="BN59" s="40"/>
      <c r="BO59" s="40"/>
      <c r="BP59" s="40"/>
      <c r="BQ59" s="40"/>
      <c r="BR59" s="40"/>
      <c r="BS59" s="40"/>
      <c r="BT59" s="40"/>
      <c r="BU59" s="40"/>
      <c r="BV59" s="40">
        <v>1</v>
      </c>
      <c r="BW59" s="40"/>
      <c r="BX59" s="40"/>
      <c r="BY59" s="40"/>
      <c r="BZ59" s="40"/>
      <c r="CA59" s="40"/>
      <c r="CB59" s="40"/>
      <c r="CC59" s="40"/>
      <c r="CD59" s="40"/>
      <c r="CE59" s="30">
        <f t="shared" si="1"/>
        <v>0</v>
      </c>
      <c r="CF59" s="5"/>
    </row>
    <row r="60" spans="1:84" s="38" customFormat="1" x14ac:dyDescent="0.25">
      <c r="A60" s="61" t="s">
        <v>471</v>
      </c>
      <c r="B60" s="75">
        <f t="shared" si="0"/>
        <v>0</v>
      </c>
      <c r="C60" s="67">
        <v>12</v>
      </c>
      <c r="D60" s="69">
        <v>44396</v>
      </c>
      <c r="E60" s="77">
        <v>15.39</v>
      </c>
      <c r="F60" s="77">
        <f t="shared" si="2"/>
        <v>0</v>
      </c>
      <c r="G60" s="75"/>
      <c r="H60" s="16"/>
      <c r="I60" s="16"/>
      <c r="J60" s="175"/>
      <c r="K60" s="16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  <c r="BO60" s="40"/>
      <c r="BP60" s="40"/>
      <c r="BQ60" s="40"/>
      <c r="BR60" s="40"/>
      <c r="BS60" s="40"/>
      <c r="BT60" s="40"/>
      <c r="BU60" s="40"/>
      <c r="BV60" s="40"/>
      <c r="BW60" s="40"/>
      <c r="BX60" s="40"/>
      <c r="BY60" s="40"/>
      <c r="BZ60" s="40"/>
      <c r="CA60" s="40"/>
      <c r="CB60" s="40"/>
      <c r="CC60" s="40"/>
      <c r="CD60" s="40"/>
      <c r="CE60" s="30">
        <f t="shared" si="1"/>
        <v>0</v>
      </c>
      <c r="CF60" s="5"/>
    </row>
    <row r="61" spans="1:84" s="38" customFormat="1" ht="13.5" customHeight="1" x14ac:dyDescent="0.25">
      <c r="A61" s="61" t="s">
        <v>69</v>
      </c>
      <c r="B61" s="75">
        <f t="shared" si="0"/>
        <v>0</v>
      </c>
      <c r="C61" s="67">
        <v>1</v>
      </c>
      <c r="D61" s="70">
        <v>44585</v>
      </c>
      <c r="E61" s="77">
        <v>22.91</v>
      </c>
      <c r="F61" s="77">
        <f t="shared" si="2"/>
        <v>0</v>
      </c>
      <c r="G61" s="75"/>
      <c r="H61" s="16"/>
      <c r="I61" s="16"/>
      <c r="J61" s="175"/>
      <c r="K61" s="16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>
        <v>1</v>
      </c>
      <c r="BE61" s="40"/>
      <c r="BF61" s="40"/>
      <c r="BG61" s="40"/>
      <c r="BH61" s="40"/>
      <c r="BI61" s="40"/>
      <c r="BJ61" s="40"/>
      <c r="BK61" s="40"/>
      <c r="BL61" s="40"/>
      <c r="BM61" s="40"/>
      <c r="BN61" s="40"/>
      <c r="BO61" s="40"/>
      <c r="BP61" s="40"/>
      <c r="BQ61" s="40"/>
      <c r="BR61" s="40"/>
      <c r="BS61" s="40"/>
      <c r="BT61" s="40"/>
      <c r="BU61" s="40"/>
      <c r="BV61" s="40"/>
      <c r="BW61" s="40"/>
      <c r="BX61" s="40"/>
      <c r="BY61" s="40">
        <v>1</v>
      </c>
      <c r="BZ61" s="40"/>
      <c r="CA61" s="40"/>
      <c r="CB61" s="40"/>
      <c r="CC61" s="40"/>
      <c r="CD61" s="40"/>
      <c r="CE61" s="30">
        <f t="shared" si="1"/>
        <v>0</v>
      </c>
      <c r="CF61" s="5"/>
    </row>
    <row r="62" spans="1:84" s="38" customFormat="1" ht="13.5" customHeight="1" x14ac:dyDescent="0.25">
      <c r="A62" s="61" t="s">
        <v>69</v>
      </c>
      <c r="B62" s="75">
        <f t="shared" si="0"/>
        <v>0</v>
      </c>
      <c r="C62" s="67">
        <v>10</v>
      </c>
      <c r="D62" s="70">
        <v>44557</v>
      </c>
      <c r="E62" s="77">
        <v>19.920000000000002</v>
      </c>
      <c r="F62" s="77">
        <f t="shared" si="2"/>
        <v>0</v>
      </c>
      <c r="G62" s="75">
        <v>10</v>
      </c>
      <c r="H62" s="16"/>
      <c r="I62" s="16"/>
      <c r="J62" s="175">
        <v>10</v>
      </c>
      <c r="K62" s="16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  <c r="AW62" s="40"/>
      <c r="AX62" s="40"/>
      <c r="AY62" s="40"/>
      <c r="AZ62" s="40"/>
      <c r="BA62" s="40"/>
      <c r="BB62" s="40"/>
      <c r="BC62" s="40"/>
      <c r="BD62" s="40"/>
      <c r="BE62" s="40"/>
      <c r="BF62" s="40"/>
      <c r="BG62" s="40"/>
      <c r="BH62" s="40"/>
      <c r="BI62" s="40"/>
      <c r="BJ62" s="40"/>
      <c r="BK62" s="40"/>
      <c r="BL62" s="40"/>
      <c r="BM62" s="40"/>
      <c r="BN62" s="40"/>
      <c r="BO62" s="40"/>
      <c r="BP62" s="40"/>
      <c r="BQ62" s="40"/>
      <c r="BR62" s="40"/>
      <c r="BS62" s="40"/>
      <c r="BT62" s="40"/>
      <c r="BU62" s="40"/>
      <c r="BV62" s="40"/>
      <c r="BW62" s="40"/>
      <c r="BX62" s="40"/>
      <c r="BY62" s="40"/>
      <c r="BZ62" s="40"/>
      <c r="CA62" s="40"/>
      <c r="CB62" s="40"/>
      <c r="CC62" s="40"/>
      <c r="CD62" s="40"/>
      <c r="CE62" s="30">
        <f t="shared" si="1"/>
        <v>0</v>
      </c>
      <c r="CF62" s="5"/>
    </row>
    <row r="63" spans="1:84" s="38" customFormat="1" ht="13.5" customHeight="1" x14ac:dyDescent="0.25">
      <c r="A63" s="61" t="s">
        <v>395</v>
      </c>
      <c r="B63" s="75">
        <f t="shared" si="0"/>
        <v>0</v>
      </c>
      <c r="C63" s="67">
        <v>10</v>
      </c>
      <c r="D63" s="70">
        <v>44452</v>
      </c>
      <c r="E63" s="77">
        <v>36.130000000000003</v>
      </c>
      <c r="F63" s="77">
        <f t="shared" si="2"/>
        <v>0</v>
      </c>
      <c r="G63" s="75"/>
      <c r="H63" s="16"/>
      <c r="I63" s="16"/>
      <c r="J63" s="175"/>
      <c r="K63" s="16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  <c r="AW63" s="40"/>
      <c r="AX63" s="40"/>
      <c r="AY63" s="40"/>
      <c r="AZ63" s="40"/>
      <c r="BA63" s="40"/>
      <c r="BB63" s="40"/>
      <c r="BC63" s="40"/>
      <c r="BD63" s="40"/>
      <c r="BE63" s="40"/>
      <c r="BF63" s="40"/>
      <c r="BG63" s="40"/>
      <c r="BH63" s="40"/>
      <c r="BI63" s="40"/>
      <c r="BJ63" s="40"/>
      <c r="BK63" s="40"/>
      <c r="BL63" s="40"/>
      <c r="BM63" s="40"/>
      <c r="BN63" s="40"/>
      <c r="BO63" s="40"/>
      <c r="BP63" s="40"/>
      <c r="BQ63" s="40"/>
      <c r="BR63" s="40"/>
      <c r="BS63" s="40"/>
      <c r="BT63" s="40"/>
      <c r="BU63" s="40"/>
      <c r="BV63" s="40"/>
      <c r="BW63" s="40"/>
      <c r="BX63" s="40"/>
      <c r="BY63" s="40"/>
      <c r="BZ63" s="40"/>
      <c r="CA63" s="40"/>
      <c r="CB63" s="40"/>
      <c r="CC63" s="40"/>
      <c r="CD63" s="40"/>
      <c r="CE63" s="30">
        <f t="shared" si="1"/>
        <v>0</v>
      </c>
      <c r="CF63" s="5"/>
    </row>
    <row r="64" spans="1:84" s="38" customFormat="1" ht="13.5" customHeight="1" x14ac:dyDescent="0.25">
      <c r="A64" s="61" t="s">
        <v>360</v>
      </c>
      <c r="B64" s="75">
        <f t="shared" si="0"/>
        <v>210</v>
      </c>
      <c r="C64" s="67">
        <v>10</v>
      </c>
      <c r="D64" s="70">
        <v>44585</v>
      </c>
      <c r="E64" s="77">
        <v>26.65</v>
      </c>
      <c r="F64" s="77">
        <f t="shared" si="2"/>
        <v>5596.5</v>
      </c>
      <c r="G64" s="75">
        <v>30</v>
      </c>
      <c r="H64" s="16"/>
      <c r="I64" s="16"/>
      <c r="J64" s="175"/>
      <c r="K64" s="16"/>
      <c r="L64" s="40"/>
      <c r="M64" s="40"/>
      <c r="N64" s="40"/>
      <c r="O64" s="40"/>
      <c r="P64" s="40"/>
      <c r="Q64" s="40">
        <v>30</v>
      </c>
      <c r="R64" s="40">
        <v>210</v>
      </c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  <c r="AW64" s="40"/>
      <c r="AX64" s="40"/>
      <c r="AY64" s="40"/>
      <c r="AZ64" s="40"/>
      <c r="BA64" s="40"/>
      <c r="BB64" s="40"/>
      <c r="BC64" s="40"/>
      <c r="BD64" s="40">
        <v>210</v>
      </c>
      <c r="BE64" s="40"/>
      <c r="BF64" s="40"/>
      <c r="BG64" s="40"/>
      <c r="BH64" s="40"/>
      <c r="BI64" s="40"/>
      <c r="BJ64" s="40"/>
      <c r="BK64" s="40"/>
      <c r="BL64" s="40"/>
      <c r="BM64" s="40"/>
      <c r="BN64" s="40"/>
      <c r="BO64" s="40"/>
      <c r="BP64" s="40"/>
      <c r="BQ64" s="40"/>
      <c r="BR64" s="40"/>
      <c r="BS64" s="40"/>
      <c r="BT64" s="40"/>
      <c r="BU64" s="40"/>
      <c r="BV64" s="40"/>
      <c r="BW64" s="40"/>
      <c r="BX64" s="40"/>
      <c r="BY64" s="40"/>
      <c r="BZ64" s="40"/>
      <c r="CA64" s="40"/>
      <c r="CB64" s="40"/>
      <c r="CC64" s="40"/>
      <c r="CD64" s="40"/>
      <c r="CE64" s="30">
        <f t="shared" si="1"/>
        <v>0</v>
      </c>
      <c r="CF64" s="5"/>
    </row>
    <row r="65" spans="1:84" s="38" customFormat="1" ht="13.5" customHeight="1" x14ac:dyDescent="0.25">
      <c r="A65" s="61" t="s">
        <v>360</v>
      </c>
      <c r="B65" s="75">
        <f t="shared" si="0"/>
        <v>0</v>
      </c>
      <c r="C65" s="67">
        <v>10</v>
      </c>
      <c r="D65" s="70">
        <v>44515</v>
      </c>
      <c r="E65" s="77">
        <v>27.06</v>
      </c>
      <c r="F65" s="77">
        <f t="shared" si="2"/>
        <v>0</v>
      </c>
      <c r="G65" s="75">
        <v>90</v>
      </c>
      <c r="H65" s="16"/>
      <c r="I65" s="16"/>
      <c r="J65" s="175"/>
      <c r="K65" s="16"/>
      <c r="L65" s="40"/>
      <c r="M65" s="40"/>
      <c r="N65" s="40"/>
      <c r="O65" s="40"/>
      <c r="P65" s="40"/>
      <c r="Q65" s="40">
        <v>90</v>
      </c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  <c r="AV65" s="40"/>
      <c r="AW65" s="40"/>
      <c r="AX65" s="40"/>
      <c r="AY65" s="40"/>
      <c r="AZ65" s="40"/>
      <c r="BA65" s="40"/>
      <c r="BB65" s="40"/>
      <c r="BC65" s="40"/>
      <c r="BD65" s="40"/>
      <c r="BE65" s="40"/>
      <c r="BF65" s="40"/>
      <c r="BG65" s="40"/>
      <c r="BH65" s="40"/>
      <c r="BI65" s="40"/>
      <c r="BJ65" s="40"/>
      <c r="BK65" s="40"/>
      <c r="BL65" s="40"/>
      <c r="BM65" s="40"/>
      <c r="BN65" s="40"/>
      <c r="BO65" s="40"/>
      <c r="BP65" s="40"/>
      <c r="BQ65" s="40"/>
      <c r="BR65" s="40"/>
      <c r="BS65" s="40"/>
      <c r="BT65" s="40"/>
      <c r="BU65" s="40"/>
      <c r="BV65" s="40"/>
      <c r="BW65" s="40"/>
      <c r="BX65" s="40"/>
      <c r="BY65" s="40"/>
      <c r="BZ65" s="40"/>
      <c r="CA65" s="40"/>
      <c r="CB65" s="40"/>
      <c r="CC65" s="40"/>
      <c r="CD65" s="40"/>
      <c r="CE65" s="30">
        <f t="shared" si="1"/>
        <v>0</v>
      </c>
      <c r="CF65" s="5"/>
    </row>
    <row r="66" spans="1:84" s="38" customFormat="1" ht="13.5" customHeight="1" x14ac:dyDescent="0.25">
      <c r="A66" s="61" t="s">
        <v>211</v>
      </c>
      <c r="B66" s="75">
        <f t="shared" si="0"/>
        <v>0</v>
      </c>
      <c r="C66" s="67">
        <v>10</v>
      </c>
      <c r="D66" s="70">
        <v>44333</v>
      </c>
      <c r="E66" s="77">
        <v>22.9</v>
      </c>
      <c r="F66" s="77">
        <f t="shared" si="2"/>
        <v>0</v>
      </c>
      <c r="G66" s="75"/>
      <c r="H66" s="16"/>
      <c r="I66" s="16"/>
      <c r="J66" s="175"/>
      <c r="K66" s="16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U66" s="40"/>
      <c r="AV66" s="40"/>
      <c r="AW66" s="40"/>
      <c r="AX66" s="40"/>
      <c r="AY66" s="40"/>
      <c r="AZ66" s="40"/>
      <c r="BA66" s="40"/>
      <c r="BB66" s="40"/>
      <c r="BC66" s="40"/>
      <c r="BD66" s="40"/>
      <c r="BE66" s="40"/>
      <c r="BF66" s="40"/>
      <c r="BG66" s="40"/>
      <c r="BH66" s="40"/>
      <c r="BI66" s="40"/>
      <c r="BJ66" s="40"/>
      <c r="BK66" s="40"/>
      <c r="BL66" s="40"/>
      <c r="BM66" s="40"/>
      <c r="BN66" s="40"/>
      <c r="BO66" s="40"/>
      <c r="BP66" s="40"/>
      <c r="BQ66" s="40"/>
      <c r="BR66" s="40"/>
      <c r="BS66" s="40"/>
      <c r="BT66" s="40"/>
      <c r="BU66" s="40"/>
      <c r="BV66" s="40"/>
      <c r="BW66" s="40"/>
      <c r="BX66" s="40"/>
      <c r="BY66" s="40"/>
      <c r="BZ66" s="40"/>
      <c r="CA66" s="40"/>
      <c r="CB66" s="40"/>
      <c r="CC66" s="40"/>
      <c r="CD66" s="40"/>
      <c r="CE66" s="30">
        <f t="shared" si="1"/>
        <v>0</v>
      </c>
      <c r="CF66" s="5"/>
    </row>
    <row r="67" spans="1:84" s="38" customFormat="1" x14ac:dyDescent="0.25">
      <c r="A67" s="61" t="s">
        <v>255</v>
      </c>
      <c r="B67" s="75">
        <f t="shared" si="0"/>
        <v>0</v>
      </c>
      <c r="C67" s="115">
        <v>1.1000000000000001</v>
      </c>
      <c r="D67" s="69">
        <v>44270</v>
      </c>
      <c r="E67" s="77">
        <v>35.44</v>
      </c>
      <c r="F67" s="77">
        <f t="shared" si="2"/>
        <v>0</v>
      </c>
      <c r="G67" s="75"/>
      <c r="H67" s="16"/>
      <c r="I67" s="16"/>
      <c r="J67" s="175"/>
      <c r="K67" s="16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  <c r="AW67" s="40"/>
      <c r="AX67" s="40"/>
      <c r="AY67" s="40"/>
      <c r="AZ67" s="40"/>
      <c r="BA67" s="40"/>
      <c r="BB67" s="40"/>
      <c r="BC67" s="40"/>
      <c r="BD67" s="40"/>
      <c r="BE67" s="40"/>
      <c r="BF67" s="40"/>
      <c r="BG67" s="40"/>
      <c r="BH67" s="40"/>
      <c r="BI67" s="40"/>
      <c r="BJ67" s="40"/>
      <c r="BK67" s="40"/>
      <c r="BL67" s="40"/>
      <c r="BM67" s="40"/>
      <c r="BN67" s="40"/>
      <c r="BO67" s="40"/>
      <c r="BP67" s="40"/>
      <c r="BQ67" s="40"/>
      <c r="BR67" s="40"/>
      <c r="BS67" s="40"/>
      <c r="BT67" s="40"/>
      <c r="BU67" s="40"/>
      <c r="BV67" s="40"/>
      <c r="BW67" s="40"/>
      <c r="BX67" s="40"/>
      <c r="BY67" s="40"/>
      <c r="BZ67" s="40"/>
      <c r="CA67" s="40"/>
      <c r="CB67" s="40"/>
      <c r="CC67" s="40"/>
      <c r="CD67" s="40"/>
      <c r="CE67" s="30">
        <f t="shared" si="1"/>
        <v>0</v>
      </c>
      <c r="CF67" s="5"/>
    </row>
    <row r="68" spans="1:84" s="38" customFormat="1" x14ac:dyDescent="0.25">
      <c r="A68" s="61" t="s">
        <v>405</v>
      </c>
      <c r="B68" s="75">
        <f t="shared" si="0"/>
        <v>0</v>
      </c>
      <c r="C68" s="115">
        <v>10</v>
      </c>
      <c r="D68" s="69">
        <v>44480</v>
      </c>
      <c r="E68" s="77">
        <v>23.27</v>
      </c>
      <c r="F68" s="77">
        <f t="shared" si="2"/>
        <v>0</v>
      </c>
      <c r="G68" s="75"/>
      <c r="H68" s="16"/>
      <c r="I68" s="16"/>
      <c r="J68" s="175"/>
      <c r="K68" s="16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  <c r="AW68" s="40"/>
      <c r="AX68" s="40"/>
      <c r="AY68" s="40"/>
      <c r="AZ68" s="40"/>
      <c r="BA68" s="40"/>
      <c r="BB68" s="40"/>
      <c r="BC68" s="40"/>
      <c r="BD68" s="40"/>
      <c r="BE68" s="40"/>
      <c r="BF68" s="40"/>
      <c r="BG68" s="40"/>
      <c r="BH68" s="40"/>
      <c r="BI68" s="40"/>
      <c r="BJ68" s="40"/>
      <c r="BK68" s="40"/>
      <c r="BL68" s="40"/>
      <c r="BM68" s="40"/>
      <c r="BN68" s="40"/>
      <c r="BO68" s="40"/>
      <c r="BP68" s="40"/>
      <c r="BQ68" s="40"/>
      <c r="BR68" s="40"/>
      <c r="BS68" s="40"/>
      <c r="BT68" s="40"/>
      <c r="BU68" s="40"/>
      <c r="BV68" s="40"/>
      <c r="BW68" s="40"/>
      <c r="BX68" s="40"/>
      <c r="BY68" s="40"/>
      <c r="BZ68" s="40"/>
      <c r="CA68" s="40"/>
      <c r="CB68" s="40"/>
      <c r="CC68" s="40"/>
      <c r="CD68" s="40"/>
      <c r="CE68" s="30">
        <f t="shared" si="1"/>
        <v>0</v>
      </c>
      <c r="CF68" s="5"/>
    </row>
    <row r="69" spans="1:84" s="38" customFormat="1" x14ac:dyDescent="0.25">
      <c r="A69" s="61" t="s">
        <v>123</v>
      </c>
      <c r="B69" s="75">
        <f t="shared" si="0"/>
        <v>4</v>
      </c>
      <c r="C69" s="67">
        <v>1</v>
      </c>
      <c r="D69" s="70">
        <v>44431</v>
      </c>
      <c r="E69" s="77">
        <v>19.73</v>
      </c>
      <c r="F69" s="77">
        <f t="shared" si="2"/>
        <v>78.92</v>
      </c>
      <c r="G69" s="75">
        <v>4</v>
      </c>
      <c r="H69" s="16"/>
      <c r="I69" s="16"/>
      <c r="J69" s="175"/>
      <c r="K69" s="16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  <c r="AW69" s="40"/>
      <c r="AX69" s="40"/>
      <c r="AY69" s="40"/>
      <c r="AZ69" s="40"/>
      <c r="BA69" s="40"/>
      <c r="BB69" s="40"/>
      <c r="BC69" s="40"/>
      <c r="BD69" s="40"/>
      <c r="BE69" s="40"/>
      <c r="BF69" s="40"/>
      <c r="BG69" s="40"/>
      <c r="BH69" s="40"/>
      <c r="BI69" s="40"/>
      <c r="BJ69" s="40"/>
      <c r="BK69" s="40"/>
      <c r="BL69" s="40"/>
      <c r="BM69" s="40"/>
      <c r="BN69" s="40"/>
      <c r="BO69" s="40"/>
      <c r="BP69" s="40"/>
      <c r="BQ69" s="40"/>
      <c r="BR69" s="40"/>
      <c r="BS69" s="40"/>
      <c r="BT69" s="40"/>
      <c r="BU69" s="40"/>
      <c r="BV69" s="40"/>
      <c r="BW69" s="40"/>
      <c r="BX69" s="40"/>
      <c r="BY69" s="40"/>
      <c r="BZ69" s="40"/>
      <c r="CA69" s="40"/>
      <c r="CB69" s="40"/>
      <c r="CC69" s="40"/>
      <c r="CD69" s="40">
        <v>4</v>
      </c>
      <c r="CE69" s="30">
        <f t="shared" si="1"/>
        <v>0</v>
      </c>
      <c r="CF69" s="5"/>
    </row>
    <row r="70" spans="1:84" s="38" customFormat="1" x14ac:dyDescent="0.25">
      <c r="A70" s="61" t="s">
        <v>123</v>
      </c>
      <c r="B70" s="75">
        <f t="shared" si="0"/>
        <v>370</v>
      </c>
      <c r="C70" s="67">
        <v>10</v>
      </c>
      <c r="D70" s="70">
        <v>44564</v>
      </c>
      <c r="E70" s="77">
        <v>17.09</v>
      </c>
      <c r="F70" s="77">
        <f t="shared" si="2"/>
        <v>6323.3</v>
      </c>
      <c r="G70" s="75">
        <v>70</v>
      </c>
      <c r="H70" s="16"/>
      <c r="I70" s="16"/>
      <c r="J70" s="175"/>
      <c r="K70" s="16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U70" s="40"/>
      <c r="AV70" s="40"/>
      <c r="AW70" s="40">
        <v>300</v>
      </c>
      <c r="AX70" s="40"/>
      <c r="AY70" s="40"/>
      <c r="AZ70" s="40"/>
      <c r="BA70" s="40"/>
      <c r="BB70" s="40"/>
      <c r="BC70" s="40"/>
      <c r="BD70" s="40"/>
      <c r="BE70" s="40"/>
      <c r="BF70" s="40"/>
      <c r="BG70" s="40"/>
      <c r="BH70" s="40"/>
      <c r="BI70" s="40"/>
      <c r="BJ70" s="40"/>
      <c r="BK70" s="40"/>
      <c r="BL70" s="40"/>
      <c r="BM70" s="40"/>
      <c r="BN70" s="40"/>
      <c r="BO70" s="40"/>
      <c r="BP70" s="40"/>
      <c r="BQ70" s="40"/>
      <c r="BR70" s="40"/>
      <c r="BS70" s="40"/>
      <c r="BT70" s="40"/>
      <c r="BU70" s="40"/>
      <c r="BV70" s="40"/>
      <c r="BW70" s="40"/>
      <c r="BX70" s="40"/>
      <c r="BY70" s="40"/>
      <c r="BZ70" s="40"/>
      <c r="CA70" s="40"/>
      <c r="CB70" s="40"/>
      <c r="CC70" s="40"/>
      <c r="CD70" s="40">
        <v>370</v>
      </c>
      <c r="CE70" s="30">
        <f t="shared" si="1"/>
        <v>0</v>
      </c>
      <c r="CF70" s="5"/>
    </row>
    <row r="71" spans="1:84" s="38" customFormat="1" x14ac:dyDescent="0.25">
      <c r="A71" s="61" t="s">
        <v>123</v>
      </c>
      <c r="B71" s="75">
        <f t="shared" ref="B71:B135" si="3">SUMIF(G$3:CD$3,"прих",G71:CD71)-SUMIF(G$3:CD$3,"отгр",G71:CD71)</f>
        <v>200</v>
      </c>
      <c r="C71" s="67">
        <v>10</v>
      </c>
      <c r="D71" s="70">
        <v>44593</v>
      </c>
      <c r="E71" s="77">
        <v>16.690000000000001</v>
      </c>
      <c r="F71" s="77">
        <f t="shared" si="2"/>
        <v>3338.0000000000005</v>
      </c>
      <c r="G71" s="75">
        <v>250</v>
      </c>
      <c r="H71" s="16"/>
      <c r="I71" s="16"/>
      <c r="J71" s="175"/>
      <c r="K71" s="16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U71" s="40"/>
      <c r="AV71" s="40"/>
      <c r="AW71" s="40"/>
      <c r="AX71" s="40"/>
      <c r="AY71" s="40">
        <v>50</v>
      </c>
      <c r="AZ71" s="40">
        <v>160</v>
      </c>
      <c r="BA71" s="40"/>
      <c r="BB71" s="40"/>
      <c r="BC71" s="40"/>
      <c r="BD71" s="40"/>
      <c r="BE71" s="40">
        <v>200</v>
      </c>
      <c r="BF71" s="40"/>
      <c r="BG71" s="40"/>
      <c r="BH71" s="40"/>
      <c r="BI71" s="40"/>
      <c r="BJ71" s="40"/>
      <c r="BK71" s="40"/>
      <c r="BL71" s="40"/>
      <c r="BM71" s="40"/>
      <c r="BN71" s="40"/>
      <c r="BO71" s="40"/>
      <c r="BP71" s="40"/>
      <c r="BQ71" s="40"/>
      <c r="BR71" s="40"/>
      <c r="BS71" s="40"/>
      <c r="BT71" s="40"/>
      <c r="BU71" s="40"/>
      <c r="BV71" s="40"/>
      <c r="BW71" s="40">
        <v>40</v>
      </c>
      <c r="BX71" s="40"/>
      <c r="BY71" s="40"/>
      <c r="BZ71" s="40"/>
      <c r="CA71" s="40"/>
      <c r="CB71" s="40"/>
      <c r="CC71" s="40"/>
      <c r="CD71" s="40">
        <v>200</v>
      </c>
      <c r="CE71" s="30">
        <f>$B71-SUMIF($G$3:$GS$3,"",$G71:$GS71)</f>
        <v>0</v>
      </c>
      <c r="CF71" s="5"/>
    </row>
    <row r="72" spans="1:84" s="38" customFormat="1" ht="12" customHeight="1" x14ac:dyDescent="0.25">
      <c r="A72" s="61" t="s">
        <v>123</v>
      </c>
      <c r="B72" s="75">
        <f t="shared" si="3"/>
        <v>2</v>
      </c>
      <c r="C72" s="67">
        <v>1</v>
      </c>
      <c r="D72" s="70">
        <v>44221</v>
      </c>
      <c r="E72" s="77">
        <v>18.440000000000001</v>
      </c>
      <c r="F72" s="77">
        <f t="shared" ref="F72:F139" si="4">E72*B72</f>
        <v>36.880000000000003</v>
      </c>
      <c r="G72" s="75">
        <v>2</v>
      </c>
      <c r="H72" s="16"/>
      <c r="I72" s="16"/>
      <c r="J72" s="175"/>
      <c r="K72" s="16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U72" s="40"/>
      <c r="AV72" s="40"/>
      <c r="AW72" s="40"/>
      <c r="AX72" s="40"/>
      <c r="AY72" s="40"/>
      <c r="AZ72" s="40"/>
      <c r="BA72" s="40"/>
      <c r="BB72" s="40"/>
      <c r="BC72" s="40"/>
      <c r="BD72" s="40"/>
      <c r="BE72" s="40"/>
      <c r="BF72" s="40"/>
      <c r="BG72" s="40"/>
      <c r="BH72" s="40"/>
      <c r="BI72" s="40"/>
      <c r="BJ72" s="40"/>
      <c r="BK72" s="40"/>
      <c r="BL72" s="40"/>
      <c r="BM72" s="40"/>
      <c r="BN72" s="40"/>
      <c r="BO72" s="40"/>
      <c r="BP72" s="40"/>
      <c r="BQ72" s="40"/>
      <c r="BR72" s="40"/>
      <c r="BS72" s="40"/>
      <c r="BT72" s="40"/>
      <c r="BU72" s="40"/>
      <c r="BV72" s="40"/>
      <c r="BW72" s="40"/>
      <c r="BX72" s="40"/>
      <c r="BY72" s="40"/>
      <c r="BZ72" s="40"/>
      <c r="CA72" s="40"/>
      <c r="CB72" s="40"/>
      <c r="CC72" s="40"/>
      <c r="CD72" s="40">
        <v>2</v>
      </c>
      <c r="CE72" s="30">
        <f>$B72-SUMIF($G$3:$GS$3,"",$G72:$GS72)</f>
        <v>0</v>
      </c>
      <c r="CF72" s="5"/>
    </row>
    <row r="73" spans="1:84" s="38" customFormat="1" ht="12" customHeight="1" x14ac:dyDescent="0.25">
      <c r="A73" s="61" t="s">
        <v>252</v>
      </c>
      <c r="B73" s="75">
        <f t="shared" si="3"/>
        <v>0</v>
      </c>
      <c r="C73" s="67">
        <v>10</v>
      </c>
      <c r="D73" s="70">
        <v>44382</v>
      </c>
      <c r="E73" s="77">
        <v>36.619999999999997</v>
      </c>
      <c r="F73" s="77">
        <f t="shared" si="4"/>
        <v>0</v>
      </c>
      <c r="G73" s="75"/>
      <c r="H73" s="16"/>
      <c r="I73" s="16"/>
      <c r="J73" s="175"/>
      <c r="K73" s="16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U73" s="40"/>
      <c r="AV73" s="40"/>
      <c r="AW73" s="40"/>
      <c r="AX73" s="40"/>
      <c r="AY73" s="40"/>
      <c r="AZ73" s="40"/>
      <c r="BA73" s="40"/>
      <c r="BB73" s="40"/>
      <c r="BC73" s="40"/>
      <c r="BD73" s="40"/>
      <c r="BE73" s="40"/>
      <c r="BF73" s="40"/>
      <c r="BG73" s="40"/>
      <c r="BH73" s="40"/>
      <c r="BI73" s="40"/>
      <c r="BJ73" s="40"/>
      <c r="BK73" s="40"/>
      <c r="BL73" s="40"/>
      <c r="BM73" s="40"/>
      <c r="BN73" s="40"/>
      <c r="BO73" s="40"/>
      <c r="BP73" s="40"/>
      <c r="BQ73" s="40"/>
      <c r="BR73" s="40"/>
      <c r="BS73" s="40"/>
      <c r="BT73" s="40"/>
      <c r="BU73" s="40"/>
      <c r="BV73" s="40"/>
      <c r="BW73" s="40"/>
      <c r="BX73" s="40"/>
      <c r="BY73" s="40"/>
      <c r="BZ73" s="40"/>
      <c r="CA73" s="40"/>
      <c r="CB73" s="40"/>
      <c r="CC73" s="40"/>
      <c r="CD73" s="40"/>
      <c r="CE73" s="30">
        <f>$B73-SUMIF($G$3:$GS$3,"",$G73:$GS73)</f>
        <v>0</v>
      </c>
      <c r="CF73" s="5"/>
    </row>
    <row r="74" spans="1:84" s="38" customFormat="1" ht="12" customHeight="1" x14ac:dyDescent="0.25">
      <c r="A74" s="61" t="s">
        <v>575</v>
      </c>
      <c r="B74" s="75">
        <f t="shared" si="3"/>
        <v>0</v>
      </c>
      <c r="C74" s="67">
        <v>0.8</v>
      </c>
      <c r="D74" s="70">
        <v>44585</v>
      </c>
      <c r="E74" s="77">
        <v>42</v>
      </c>
      <c r="F74" s="77">
        <f t="shared" si="4"/>
        <v>0</v>
      </c>
      <c r="G74" s="75"/>
      <c r="H74" s="16"/>
      <c r="I74" s="16"/>
      <c r="J74" s="175"/>
      <c r="K74" s="16"/>
      <c r="L74" s="40"/>
      <c r="M74" s="40"/>
      <c r="N74" s="40"/>
      <c r="O74" s="40"/>
      <c r="P74" s="40"/>
      <c r="Q74" s="40"/>
      <c r="R74" s="40"/>
      <c r="S74" s="40"/>
      <c r="T74" s="40"/>
      <c r="U74" s="40"/>
      <c r="V74" s="40">
        <v>1.6</v>
      </c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  <c r="AO74" s="40"/>
      <c r="AP74" s="40"/>
      <c r="AQ74" s="40"/>
      <c r="AR74" s="40"/>
      <c r="AS74" s="40"/>
      <c r="AT74" s="40"/>
      <c r="AU74" s="40"/>
      <c r="AV74" s="40"/>
      <c r="AW74" s="40"/>
      <c r="AX74" s="40"/>
      <c r="AY74" s="40"/>
      <c r="AZ74" s="40"/>
      <c r="BA74" s="40"/>
      <c r="BB74" s="40"/>
      <c r="BC74" s="40"/>
      <c r="BD74" s="40">
        <v>1.6</v>
      </c>
      <c r="BE74" s="40"/>
      <c r="BF74" s="40"/>
      <c r="BG74" s="40"/>
      <c r="BH74" s="40"/>
      <c r="BI74" s="40"/>
      <c r="BJ74" s="40"/>
      <c r="BK74" s="40"/>
      <c r="BL74" s="40"/>
      <c r="BM74" s="40"/>
      <c r="BN74" s="40"/>
      <c r="BO74" s="40"/>
      <c r="BP74" s="40"/>
      <c r="BQ74" s="40"/>
      <c r="BR74" s="40"/>
      <c r="BS74" s="40"/>
      <c r="BT74" s="40"/>
      <c r="BU74" s="40"/>
      <c r="BV74" s="40"/>
      <c r="BW74" s="40"/>
      <c r="BX74" s="40"/>
      <c r="BY74" s="40"/>
      <c r="BZ74" s="40"/>
      <c r="CA74" s="40"/>
      <c r="CB74" s="40"/>
      <c r="CC74" s="40"/>
      <c r="CD74" s="40"/>
      <c r="CE74" s="30">
        <f>$B74-SUMIF($G$3:$GS$3,"",$G74:$GS74)</f>
        <v>0</v>
      </c>
      <c r="CF74" s="5"/>
    </row>
    <row r="75" spans="1:84" s="38" customFormat="1" x14ac:dyDescent="0.25">
      <c r="A75" s="61" t="s">
        <v>13</v>
      </c>
      <c r="B75" s="75">
        <f t="shared" si="3"/>
        <v>9</v>
      </c>
      <c r="C75" s="67">
        <v>9</v>
      </c>
      <c r="D75" s="69">
        <v>44593</v>
      </c>
      <c r="E75" s="83">
        <v>22.35</v>
      </c>
      <c r="F75" s="77">
        <f t="shared" si="4"/>
        <v>201.15</v>
      </c>
      <c r="G75" s="75">
        <v>4.5</v>
      </c>
      <c r="H75" s="16"/>
      <c r="I75" s="16"/>
      <c r="J75" s="175">
        <v>4.5</v>
      </c>
      <c r="K75" s="16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  <c r="AO75" s="40"/>
      <c r="AP75" s="40"/>
      <c r="AQ75" s="40"/>
      <c r="AR75" s="40"/>
      <c r="AS75" s="40"/>
      <c r="AT75" s="40"/>
      <c r="AU75" s="40"/>
      <c r="AV75" s="40"/>
      <c r="AW75" s="40"/>
      <c r="AX75" s="40"/>
      <c r="AY75" s="40"/>
      <c r="AZ75" s="40"/>
      <c r="BA75" s="40"/>
      <c r="BB75" s="40"/>
      <c r="BC75" s="40"/>
      <c r="BD75" s="40"/>
      <c r="BE75" s="40">
        <v>9</v>
      </c>
      <c r="BF75" s="40"/>
      <c r="BG75" s="40"/>
      <c r="BH75" s="40"/>
      <c r="BI75" s="40"/>
      <c r="BJ75" s="40"/>
      <c r="BK75" s="40"/>
      <c r="BL75" s="40"/>
      <c r="BM75" s="40"/>
      <c r="BN75" s="40"/>
      <c r="BO75" s="40"/>
      <c r="BP75" s="40"/>
      <c r="BQ75" s="40"/>
      <c r="BR75" s="40"/>
      <c r="BS75" s="40"/>
      <c r="BT75" s="40"/>
      <c r="BU75" s="40"/>
      <c r="BV75" s="40"/>
      <c r="BW75" s="40"/>
      <c r="BX75" s="40"/>
      <c r="BY75" s="40"/>
      <c r="BZ75" s="40"/>
      <c r="CA75" s="40"/>
      <c r="CB75" s="40"/>
      <c r="CC75" s="40"/>
      <c r="CD75" s="40"/>
      <c r="CE75" s="30">
        <f>$B75-SUMIF($G$3:$GS$3,"",$G75:$GS75)</f>
        <v>9</v>
      </c>
      <c r="CF75" s="5"/>
    </row>
    <row r="76" spans="1:84" s="38" customFormat="1" x14ac:dyDescent="0.25">
      <c r="A76" s="61" t="s">
        <v>13</v>
      </c>
      <c r="B76" s="75">
        <f t="shared" si="3"/>
        <v>9</v>
      </c>
      <c r="C76" s="67">
        <v>9</v>
      </c>
      <c r="D76" s="69">
        <v>44557</v>
      </c>
      <c r="E76" s="83">
        <v>22.89</v>
      </c>
      <c r="F76" s="77">
        <f t="shared" si="4"/>
        <v>206.01</v>
      </c>
      <c r="G76" s="75">
        <v>9</v>
      </c>
      <c r="H76" s="16"/>
      <c r="I76" s="16"/>
      <c r="J76" s="175"/>
      <c r="K76" s="16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>
        <v>9</v>
      </c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  <c r="AO76" s="40"/>
      <c r="AP76" s="40"/>
      <c r="AQ76" s="40"/>
      <c r="AR76" s="40"/>
      <c r="AS76" s="40"/>
      <c r="AT76" s="40"/>
      <c r="AU76" s="40"/>
      <c r="AV76" s="40"/>
      <c r="AW76" s="40"/>
      <c r="AX76" s="40"/>
      <c r="AY76" s="40"/>
      <c r="AZ76" s="40"/>
      <c r="BA76" s="40"/>
      <c r="BB76" s="40"/>
      <c r="BC76" s="40"/>
      <c r="BD76" s="40"/>
      <c r="BE76" s="40"/>
      <c r="BF76" s="40"/>
      <c r="BG76" s="40"/>
      <c r="BH76" s="40"/>
      <c r="BI76" s="40"/>
      <c r="BJ76" s="40"/>
      <c r="BK76" s="40"/>
      <c r="BL76" s="40"/>
      <c r="BM76" s="40"/>
      <c r="BN76" s="40"/>
      <c r="BO76" s="40"/>
      <c r="BP76" s="40"/>
      <c r="BQ76" s="40"/>
      <c r="BR76" s="40"/>
      <c r="BS76" s="40"/>
      <c r="BT76" s="40"/>
      <c r="BU76" s="40"/>
      <c r="BV76" s="40"/>
      <c r="BW76" s="40"/>
      <c r="BX76" s="40"/>
      <c r="BY76" s="40"/>
      <c r="BZ76" s="40"/>
      <c r="CA76" s="40"/>
      <c r="CB76" s="40"/>
      <c r="CC76" s="40"/>
      <c r="CD76" s="40"/>
      <c r="CE76" s="30">
        <f>$B76-SUMIF($G$3:$GS$3,"",$G76:$GS76)</f>
        <v>0</v>
      </c>
      <c r="CF76" s="5"/>
    </row>
    <row r="77" spans="1:84" s="38" customFormat="1" x14ac:dyDescent="0.25">
      <c r="A77" s="61" t="s">
        <v>276</v>
      </c>
      <c r="B77" s="75">
        <f t="shared" si="3"/>
        <v>240</v>
      </c>
      <c r="C77" s="67">
        <v>10</v>
      </c>
      <c r="D77" s="69">
        <v>44585</v>
      </c>
      <c r="E77" s="83">
        <v>17.46</v>
      </c>
      <c r="F77" s="77">
        <f t="shared" si="4"/>
        <v>4190.4000000000005</v>
      </c>
      <c r="G77" s="75">
        <v>10</v>
      </c>
      <c r="H77" s="16"/>
      <c r="I77" s="16"/>
      <c r="J77" s="175"/>
      <c r="K77" s="16"/>
      <c r="L77" s="40"/>
      <c r="M77" s="40"/>
      <c r="N77" s="40"/>
      <c r="O77" s="40"/>
      <c r="P77" s="40"/>
      <c r="Q77" s="40"/>
      <c r="R77" s="40"/>
      <c r="S77" s="40">
        <v>240</v>
      </c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  <c r="AO77" s="40"/>
      <c r="AP77" s="40"/>
      <c r="AQ77" s="40"/>
      <c r="AR77" s="40"/>
      <c r="AS77" s="40">
        <v>10</v>
      </c>
      <c r="AT77" s="40"/>
      <c r="AU77" s="40"/>
      <c r="AV77" s="40"/>
      <c r="AW77" s="40"/>
      <c r="AX77" s="40"/>
      <c r="AY77" s="40"/>
      <c r="AZ77" s="40"/>
      <c r="BA77" s="40"/>
      <c r="BB77" s="40"/>
      <c r="BC77" s="40"/>
      <c r="BD77" s="40">
        <v>240</v>
      </c>
      <c r="BE77" s="40"/>
      <c r="BF77" s="40"/>
      <c r="BG77" s="40"/>
      <c r="BH77" s="40"/>
      <c r="BI77" s="40"/>
      <c r="BJ77" s="40"/>
      <c r="BK77" s="40"/>
      <c r="BL77" s="40"/>
      <c r="BM77" s="40"/>
      <c r="BN77" s="40"/>
      <c r="BO77" s="40"/>
      <c r="BP77" s="40"/>
      <c r="BQ77" s="40"/>
      <c r="BR77" s="40"/>
      <c r="BS77" s="40"/>
      <c r="BT77" s="40"/>
      <c r="BU77" s="40"/>
      <c r="BV77" s="40"/>
      <c r="BW77" s="40"/>
      <c r="BX77" s="40"/>
      <c r="BY77" s="40"/>
      <c r="BZ77" s="40"/>
      <c r="CA77" s="40"/>
      <c r="CB77" s="40"/>
      <c r="CC77" s="40"/>
      <c r="CD77" s="40"/>
      <c r="CE77" s="30">
        <f>$B77-SUMIF($G$3:$GS$3,"",$G77:$GS77)</f>
        <v>0</v>
      </c>
      <c r="CF77" s="5"/>
    </row>
    <row r="78" spans="1:84" s="38" customFormat="1" x14ac:dyDescent="0.25">
      <c r="A78" s="61" t="s">
        <v>276</v>
      </c>
      <c r="B78" s="75">
        <f t="shared" si="3"/>
        <v>10</v>
      </c>
      <c r="C78" s="67">
        <v>10</v>
      </c>
      <c r="D78" s="69">
        <v>44593</v>
      </c>
      <c r="E78" s="83">
        <v>17.43</v>
      </c>
      <c r="F78" s="77">
        <f t="shared" si="4"/>
        <v>174.3</v>
      </c>
      <c r="G78" s="75"/>
      <c r="H78" s="16"/>
      <c r="I78" s="16"/>
      <c r="J78" s="175"/>
      <c r="K78" s="16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  <c r="AO78" s="40"/>
      <c r="AP78" s="40"/>
      <c r="AQ78" s="40"/>
      <c r="AR78" s="40"/>
      <c r="AS78" s="40"/>
      <c r="AT78" s="40"/>
      <c r="AU78" s="40"/>
      <c r="AV78" s="40"/>
      <c r="AW78" s="40"/>
      <c r="AX78" s="40"/>
      <c r="AY78" s="40"/>
      <c r="AZ78" s="40"/>
      <c r="BA78" s="40"/>
      <c r="BB78" s="40"/>
      <c r="BC78" s="40"/>
      <c r="BD78" s="40"/>
      <c r="BE78" s="40">
        <v>10</v>
      </c>
      <c r="BF78" s="40"/>
      <c r="BG78" s="40"/>
      <c r="BH78" s="40"/>
      <c r="BI78" s="40"/>
      <c r="BJ78" s="40"/>
      <c r="BK78" s="40"/>
      <c r="BL78" s="40"/>
      <c r="BM78" s="40"/>
      <c r="BN78" s="40"/>
      <c r="BO78" s="40"/>
      <c r="BP78" s="40"/>
      <c r="BQ78" s="40"/>
      <c r="BR78" s="40"/>
      <c r="BS78" s="40"/>
      <c r="BT78" s="40"/>
      <c r="BU78" s="40"/>
      <c r="BV78" s="40"/>
      <c r="BW78" s="40"/>
      <c r="BX78" s="40"/>
      <c r="BY78" s="40"/>
      <c r="BZ78" s="40"/>
      <c r="CA78" s="40"/>
      <c r="CB78" s="40"/>
      <c r="CC78" s="40"/>
      <c r="CD78" s="40"/>
      <c r="CE78" s="30">
        <f>$B78-SUMIF($G$3:$GS$3,"",$G78:$GS78)</f>
        <v>10</v>
      </c>
      <c r="CF78" s="5"/>
    </row>
    <row r="79" spans="1:84" s="38" customFormat="1" x14ac:dyDescent="0.25">
      <c r="A79" s="45" t="s">
        <v>141</v>
      </c>
      <c r="B79" s="75">
        <f t="shared" si="3"/>
        <v>0</v>
      </c>
      <c r="C79" s="67">
        <v>1</v>
      </c>
      <c r="D79" s="70">
        <v>44585</v>
      </c>
      <c r="E79" s="83">
        <v>24.36</v>
      </c>
      <c r="F79" s="77">
        <f t="shared" si="4"/>
        <v>0</v>
      </c>
      <c r="G79" s="75"/>
      <c r="H79" s="16"/>
      <c r="I79" s="16"/>
      <c r="J79" s="175"/>
      <c r="K79" s="16"/>
      <c r="L79" s="40"/>
      <c r="M79" s="40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0"/>
      <c r="AK79" s="40"/>
      <c r="AL79" s="40"/>
      <c r="AM79" s="40"/>
      <c r="AN79" s="40"/>
      <c r="AO79" s="40"/>
      <c r="AP79" s="40"/>
      <c r="AQ79" s="40"/>
      <c r="AR79" s="40"/>
      <c r="AS79" s="40"/>
      <c r="AT79" s="40"/>
      <c r="AU79" s="40"/>
      <c r="AV79" s="40"/>
      <c r="AW79" s="40"/>
      <c r="AX79" s="40"/>
      <c r="AY79" s="40"/>
      <c r="AZ79" s="40"/>
      <c r="BA79" s="40"/>
      <c r="BB79" s="40"/>
      <c r="BC79" s="40"/>
      <c r="BD79" s="40">
        <v>1</v>
      </c>
      <c r="BE79" s="40"/>
      <c r="BF79" s="40"/>
      <c r="BG79" s="40">
        <v>1</v>
      </c>
      <c r="BH79" s="40"/>
      <c r="BI79" s="40"/>
      <c r="BJ79" s="40"/>
      <c r="BK79" s="40"/>
      <c r="BL79" s="40"/>
      <c r="BM79" s="40"/>
      <c r="BN79" s="40"/>
      <c r="BO79" s="40"/>
      <c r="BP79" s="40"/>
      <c r="BQ79" s="40"/>
      <c r="BR79" s="40"/>
      <c r="BS79" s="40"/>
      <c r="BT79" s="40"/>
      <c r="BU79" s="40"/>
      <c r="BV79" s="40"/>
      <c r="BW79" s="40"/>
      <c r="BX79" s="40"/>
      <c r="BY79" s="40"/>
      <c r="BZ79" s="40"/>
      <c r="CA79" s="40"/>
      <c r="CB79" s="40"/>
      <c r="CC79" s="40"/>
      <c r="CD79" s="40"/>
      <c r="CE79" s="30">
        <f>$B79-SUMIF($G$3:$GS$3,"",$G79:$GS79)</f>
        <v>0</v>
      </c>
      <c r="CF79" s="5"/>
    </row>
    <row r="80" spans="1:84" s="38" customFormat="1" x14ac:dyDescent="0.25">
      <c r="A80" s="45" t="s">
        <v>84</v>
      </c>
      <c r="B80" s="75">
        <f t="shared" si="3"/>
        <v>0</v>
      </c>
      <c r="C80" s="67">
        <v>1</v>
      </c>
      <c r="D80" s="70">
        <v>44532</v>
      </c>
      <c r="E80" s="83">
        <v>24.66</v>
      </c>
      <c r="F80" s="77">
        <f t="shared" si="4"/>
        <v>0</v>
      </c>
      <c r="G80" s="75"/>
      <c r="H80" s="16"/>
      <c r="I80" s="16"/>
      <c r="J80" s="175"/>
      <c r="K80" s="16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0"/>
      <c r="AK80" s="40"/>
      <c r="AL80" s="40"/>
      <c r="AM80" s="40"/>
      <c r="AN80" s="40"/>
      <c r="AO80" s="40"/>
      <c r="AP80" s="40"/>
      <c r="AQ80" s="40"/>
      <c r="AR80" s="40"/>
      <c r="AS80" s="40"/>
      <c r="AT80" s="40"/>
      <c r="AU80" s="40"/>
      <c r="AV80" s="40"/>
      <c r="AW80" s="40"/>
      <c r="AX80" s="40"/>
      <c r="AY80" s="40"/>
      <c r="AZ80" s="40"/>
      <c r="BA80" s="40"/>
      <c r="BB80" s="40"/>
      <c r="BC80" s="40"/>
      <c r="BD80" s="40"/>
      <c r="BE80" s="40"/>
      <c r="BF80" s="40"/>
      <c r="BG80" s="40"/>
      <c r="BH80" s="40"/>
      <c r="BI80" s="40"/>
      <c r="BJ80" s="40"/>
      <c r="BK80" s="40"/>
      <c r="BL80" s="40"/>
      <c r="BM80" s="40"/>
      <c r="BN80" s="40"/>
      <c r="BO80" s="40"/>
      <c r="BP80" s="40"/>
      <c r="BQ80" s="40"/>
      <c r="BR80" s="40"/>
      <c r="BS80" s="40"/>
      <c r="BT80" s="40"/>
      <c r="BU80" s="40"/>
      <c r="BV80" s="40"/>
      <c r="BW80" s="40"/>
      <c r="BX80" s="40"/>
      <c r="BY80" s="40"/>
      <c r="BZ80" s="40"/>
      <c r="CA80" s="40"/>
      <c r="CB80" s="40"/>
      <c r="CC80" s="40"/>
      <c r="CD80" s="40"/>
      <c r="CE80" s="30">
        <f>$B80-SUMIF($G$3:$GS$3,"",$G80:$GS80)</f>
        <v>0</v>
      </c>
      <c r="CF80" s="5"/>
    </row>
    <row r="81" spans="1:84" s="38" customFormat="1" x14ac:dyDescent="0.25">
      <c r="A81" s="45" t="s">
        <v>84</v>
      </c>
      <c r="B81" s="75">
        <f t="shared" si="3"/>
        <v>0</v>
      </c>
      <c r="C81" s="67">
        <v>1</v>
      </c>
      <c r="D81" s="70">
        <v>44319</v>
      </c>
      <c r="E81" s="83">
        <v>21.13</v>
      </c>
      <c r="F81" s="77">
        <f t="shared" si="4"/>
        <v>0</v>
      </c>
      <c r="G81" s="75"/>
      <c r="H81" s="16"/>
      <c r="I81" s="16"/>
      <c r="J81" s="175"/>
      <c r="K81" s="16"/>
      <c r="L81" s="40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40"/>
      <c r="AM81" s="40"/>
      <c r="AN81" s="40"/>
      <c r="AO81" s="40"/>
      <c r="AP81" s="40"/>
      <c r="AQ81" s="40"/>
      <c r="AR81" s="40"/>
      <c r="AS81" s="40"/>
      <c r="AT81" s="40"/>
      <c r="AU81" s="40"/>
      <c r="AV81" s="40"/>
      <c r="AW81" s="40"/>
      <c r="AX81" s="40"/>
      <c r="AY81" s="40"/>
      <c r="AZ81" s="40"/>
      <c r="BA81" s="40"/>
      <c r="BB81" s="40"/>
      <c r="BC81" s="40"/>
      <c r="BD81" s="40"/>
      <c r="BE81" s="40"/>
      <c r="BF81" s="40"/>
      <c r="BG81" s="40"/>
      <c r="BH81" s="40"/>
      <c r="BI81" s="40"/>
      <c r="BJ81" s="40"/>
      <c r="BK81" s="40"/>
      <c r="BL81" s="40"/>
      <c r="BM81" s="40"/>
      <c r="BN81" s="40"/>
      <c r="BO81" s="40"/>
      <c r="BP81" s="40"/>
      <c r="BQ81" s="40"/>
      <c r="BR81" s="40"/>
      <c r="BS81" s="40"/>
      <c r="BT81" s="40"/>
      <c r="BU81" s="40"/>
      <c r="BV81" s="40"/>
      <c r="BW81" s="40"/>
      <c r="BX81" s="40"/>
      <c r="BY81" s="40"/>
      <c r="BZ81" s="40"/>
      <c r="CA81" s="40"/>
      <c r="CB81" s="40"/>
      <c r="CC81" s="40"/>
      <c r="CD81" s="40"/>
      <c r="CE81" s="30">
        <f>$B81-SUMIF($G$3:$GS$3,"",$G81:$GS81)</f>
        <v>0</v>
      </c>
      <c r="CF81" s="5"/>
    </row>
    <row r="82" spans="1:84" s="38" customFormat="1" x14ac:dyDescent="0.25">
      <c r="A82" s="45" t="s">
        <v>344</v>
      </c>
      <c r="B82" s="75">
        <f t="shared" si="3"/>
        <v>0</v>
      </c>
      <c r="C82" s="67">
        <v>10</v>
      </c>
      <c r="D82" s="70">
        <v>44260</v>
      </c>
      <c r="E82" s="83">
        <v>37.869999999999997</v>
      </c>
      <c r="F82" s="77">
        <f t="shared" si="4"/>
        <v>0</v>
      </c>
      <c r="G82" s="75"/>
      <c r="H82" s="16"/>
      <c r="I82" s="16"/>
      <c r="J82" s="175"/>
      <c r="K82" s="16"/>
      <c r="L82" s="40"/>
      <c r="M82" s="40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40"/>
      <c r="AN82" s="40"/>
      <c r="AO82" s="40"/>
      <c r="AP82" s="40"/>
      <c r="AQ82" s="40"/>
      <c r="AR82" s="40"/>
      <c r="AS82" s="40"/>
      <c r="AT82" s="40"/>
      <c r="AU82" s="40"/>
      <c r="AV82" s="40"/>
      <c r="AW82" s="40"/>
      <c r="AX82" s="40"/>
      <c r="AY82" s="40"/>
      <c r="AZ82" s="40"/>
      <c r="BA82" s="40"/>
      <c r="BB82" s="40"/>
      <c r="BC82" s="40"/>
      <c r="BD82" s="40"/>
      <c r="BE82" s="40"/>
      <c r="BF82" s="40"/>
      <c r="BG82" s="40"/>
      <c r="BH82" s="40"/>
      <c r="BI82" s="40"/>
      <c r="BJ82" s="40"/>
      <c r="BK82" s="40"/>
      <c r="BL82" s="40"/>
      <c r="BM82" s="40"/>
      <c r="BN82" s="40"/>
      <c r="BO82" s="40"/>
      <c r="BP82" s="40"/>
      <c r="BQ82" s="40"/>
      <c r="BR82" s="40"/>
      <c r="BS82" s="40"/>
      <c r="BT82" s="40"/>
      <c r="BU82" s="40"/>
      <c r="BV82" s="40"/>
      <c r="BW82" s="40"/>
      <c r="BX82" s="40"/>
      <c r="BY82" s="40"/>
      <c r="BZ82" s="40"/>
      <c r="CA82" s="40"/>
      <c r="CB82" s="40"/>
      <c r="CC82" s="40"/>
      <c r="CD82" s="40"/>
      <c r="CE82" s="30">
        <f>$B82-SUMIF($G$3:$GS$3,"",$G82:$GS82)</f>
        <v>0</v>
      </c>
      <c r="CF82" s="5"/>
    </row>
    <row r="83" spans="1:84" s="38" customFormat="1" x14ac:dyDescent="0.25">
      <c r="A83" s="45" t="s">
        <v>236</v>
      </c>
      <c r="B83" s="75">
        <f t="shared" si="3"/>
        <v>250</v>
      </c>
      <c r="C83" s="67">
        <v>10</v>
      </c>
      <c r="D83" s="69">
        <v>44557</v>
      </c>
      <c r="E83" s="83">
        <v>22.83</v>
      </c>
      <c r="F83" s="77">
        <f t="shared" si="4"/>
        <v>5707.5</v>
      </c>
      <c r="G83" s="75">
        <v>250</v>
      </c>
      <c r="H83" s="16"/>
      <c r="I83" s="16"/>
      <c r="J83" s="175"/>
      <c r="K83" s="16"/>
      <c r="L83" s="40"/>
      <c r="M83" s="40"/>
      <c r="N83" s="40"/>
      <c r="O83" s="40"/>
      <c r="P83" s="40"/>
      <c r="Q83" s="40"/>
      <c r="R83" s="40"/>
      <c r="S83" s="40">
        <v>250</v>
      </c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  <c r="AO83" s="40"/>
      <c r="AP83" s="40"/>
      <c r="AQ83" s="40"/>
      <c r="AR83" s="40"/>
      <c r="AS83" s="40"/>
      <c r="AT83" s="40"/>
      <c r="AU83" s="40"/>
      <c r="AV83" s="40"/>
      <c r="AW83" s="40"/>
      <c r="AX83" s="40"/>
      <c r="AY83" s="40"/>
      <c r="AZ83" s="40"/>
      <c r="BA83" s="40"/>
      <c r="BB83" s="40"/>
      <c r="BC83" s="40"/>
      <c r="BD83" s="40"/>
      <c r="BE83" s="40"/>
      <c r="BF83" s="40"/>
      <c r="BG83" s="40"/>
      <c r="BH83" s="40"/>
      <c r="BI83" s="40"/>
      <c r="BJ83" s="40"/>
      <c r="BK83" s="40"/>
      <c r="BL83" s="40"/>
      <c r="BM83" s="40"/>
      <c r="BN83" s="40"/>
      <c r="BO83" s="40"/>
      <c r="BP83" s="40"/>
      <c r="BQ83" s="40"/>
      <c r="BR83" s="40"/>
      <c r="BS83" s="40"/>
      <c r="BT83" s="40"/>
      <c r="BU83" s="40"/>
      <c r="BV83" s="40"/>
      <c r="BW83" s="40"/>
      <c r="BX83" s="40"/>
      <c r="BY83" s="40"/>
      <c r="BZ83" s="40"/>
      <c r="CA83" s="40"/>
      <c r="CB83" s="40"/>
      <c r="CC83" s="40"/>
      <c r="CD83" s="40"/>
      <c r="CE83" s="30">
        <f>$B83-SUMIF($G$3:$GS$3,"",$G83:$GS83)</f>
        <v>0</v>
      </c>
      <c r="CF83" s="5"/>
    </row>
    <row r="84" spans="1:84" s="38" customFormat="1" x14ac:dyDescent="0.25">
      <c r="A84" s="45" t="s">
        <v>236</v>
      </c>
      <c r="B84" s="75">
        <f t="shared" si="3"/>
        <v>100</v>
      </c>
      <c r="C84" s="67">
        <v>10</v>
      </c>
      <c r="D84" s="69">
        <v>44585</v>
      </c>
      <c r="E84" s="83">
        <v>22.33</v>
      </c>
      <c r="F84" s="77">
        <f t="shared" si="4"/>
        <v>2233</v>
      </c>
      <c r="G84" s="75"/>
      <c r="H84" s="16"/>
      <c r="I84" s="16"/>
      <c r="J84" s="175"/>
      <c r="K84" s="16"/>
      <c r="L84" s="40"/>
      <c r="M84" s="40"/>
      <c r="N84" s="40"/>
      <c r="O84" s="40"/>
      <c r="P84" s="40"/>
      <c r="Q84" s="40"/>
      <c r="R84" s="40"/>
      <c r="S84" s="40">
        <v>100</v>
      </c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0"/>
      <c r="AJ84" s="40"/>
      <c r="AK84" s="40"/>
      <c r="AL84" s="40"/>
      <c r="AM84" s="40"/>
      <c r="AN84" s="40"/>
      <c r="AO84" s="40"/>
      <c r="AP84" s="40"/>
      <c r="AQ84" s="40"/>
      <c r="AR84" s="40"/>
      <c r="AS84" s="40"/>
      <c r="AT84" s="40"/>
      <c r="AU84" s="40"/>
      <c r="AV84" s="40"/>
      <c r="AW84" s="40"/>
      <c r="AX84" s="40"/>
      <c r="AY84" s="40"/>
      <c r="AZ84" s="40"/>
      <c r="BA84" s="40"/>
      <c r="BB84" s="40"/>
      <c r="BC84" s="40"/>
      <c r="BD84" s="40">
        <v>100</v>
      </c>
      <c r="BE84" s="40"/>
      <c r="BF84" s="40"/>
      <c r="BG84" s="40"/>
      <c r="BH84" s="40"/>
      <c r="BI84" s="40"/>
      <c r="BJ84" s="40"/>
      <c r="BK84" s="40"/>
      <c r="BL84" s="40"/>
      <c r="BM84" s="40"/>
      <c r="BN84" s="40"/>
      <c r="BO84" s="40"/>
      <c r="BP84" s="40"/>
      <c r="BQ84" s="40"/>
      <c r="BR84" s="40"/>
      <c r="BS84" s="40"/>
      <c r="BT84" s="40"/>
      <c r="BU84" s="40"/>
      <c r="BV84" s="40"/>
      <c r="BW84" s="40"/>
      <c r="BX84" s="40"/>
      <c r="BY84" s="40"/>
      <c r="BZ84" s="40"/>
      <c r="CA84" s="40"/>
      <c r="CB84" s="40"/>
      <c r="CC84" s="40"/>
      <c r="CD84" s="40"/>
      <c r="CE84" s="30">
        <f>$B84-SUMIF($G$3:$GS$3,"",$G84:$GS84)</f>
        <v>0</v>
      </c>
      <c r="CF84" s="5"/>
    </row>
    <row r="85" spans="1:84" s="38" customFormat="1" ht="13.5" customHeight="1" x14ac:dyDescent="0.25">
      <c r="A85" s="45" t="s">
        <v>86</v>
      </c>
      <c r="B85" s="75">
        <f t="shared" si="3"/>
        <v>30</v>
      </c>
      <c r="C85" s="67">
        <v>10</v>
      </c>
      <c r="D85" s="69">
        <v>44494</v>
      </c>
      <c r="E85" s="83">
        <v>15.72</v>
      </c>
      <c r="F85" s="77">
        <f t="shared" si="4"/>
        <v>471.6</v>
      </c>
      <c r="G85" s="75">
        <v>30</v>
      </c>
      <c r="H85" s="16"/>
      <c r="I85" s="16"/>
      <c r="J85" s="175"/>
      <c r="K85" s="16"/>
      <c r="L85" s="40"/>
      <c r="M85" s="40"/>
      <c r="N85" s="40"/>
      <c r="O85" s="40"/>
      <c r="P85" s="40"/>
      <c r="Q85" s="40"/>
      <c r="R85" s="40">
        <v>30</v>
      </c>
      <c r="S85" s="40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  <c r="AF85" s="40"/>
      <c r="AG85" s="40"/>
      <c r="AH85" s="40"/>
      <c r="AI85" s="40"/>
      <c r="AJ85" s="40"/>
      <c r="AK85" s="40"/>
      <c r="AL85" s="40"/>
      <c r="AM85" s="40"/>
      <c r="AN85" s="40"/>
      <c r="AO85" s="40"/>
      <c r="AP85" s="40"/>
      <c r="AQ85" s="40"/>
      <c r="AR85" s="40"/>
      <c r="AS85" s="40"/>
      <c r="AT85" s="40"/>
      <c r="AU85" s="40"/>
      <c r="AV85" s="40"/>
      <c r="AW85" s="40"/>
      <c r="AX85" s="40"/>
      <c r="AY85" s="40"/>
      <c r="AZ85" s="40"/>
      <c r="BA85" s="40"/>
      <c r="BB85" s="40"/>
      <c r="BC85" s="40"/>
      <c r="BD85" s="40"/>
      <c r="BE85" s="40"/>
      <c r="BF85" s="40"/>
      <c r="BG85" s="40"/>
      <c r="BH85" s="40"/>
      <c r="BI85" s="40"/>
      <c r="BJ85" s="40"/>
      <c r="BK85" s="40"/>
      <c r="BL85" s="40"/>
      <c r="BM85" s="40"/>
      <c r="BN85" s="40"/>
      <c r="BO85" s="40"/>
      <c r="BP85" s="40"/>
      <c r="BQ85" s="40"/>
      <c r="BR85" s="40"/>
      <c r="BS85" s="40"/>
      <c r="BT85" s="40"/>
      <c r="BU85" s="40"/>
      <c r="BV85" s="40"/>
      <c r="BW85" s="40"/>
      <c r="BX85" s="40"/>
      <c r="BY85" s="40"/>
      <c r="BZ85" s="40"/>
      <c r="CA85" s="40"/>
      <c r="CB85" s="40"/>
      <c r="CC85" s="40"/>
      <c r="CD85" s="40"/>
      <c r="CE85" s="30">
        <f>$B85-SUMIF($G$3:$GS$3,"",$G85:$GS85)</f>
        <v>0</v>
      </c>
      <c r="CF85" s="5"/>
    </row>
    <row r="86" spans="1:84" s="38" customFormat="1" x14ac:dyDescent="0.25">
      <c r="A86" s="45" t="s">
        <v>153</v>
      </c>
      <c r="B86" s="75">
        <f t="shared" si="3"/>
        <v>0</v>
      </c>
      <c r="C86" s="67">
        <v>1</v>
      </c>
      <c r="D86" s="69">
        <v>44410</v>
      </c>
      <c r="E86" s="83">
        <v>22.66</v>
      </c>
      <c r="F86" s="77">
        <f t="shared" si="4"/>
        <v>0</v>
      </c>
      <c r="G86" s="75"/>
      <c r="H86" s="16"/>
      <c r="I86" s="16"/>
      <c r="J86" s="175"/>
      <c r="K86" s="16"/>
      <c r="L86" s="40"/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  <c r="AF86" s="40"/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0"/>
      <c r="AS86" s="40"/>
      <c r="AT86" s="40"/>
      <c r="AU86" s="40"/>
      <c r="AV86" s="40"/>
      <c r="AW86" s="40"/>
      <c r="AX86" s="40"/>
      <c r="AY86" s="40"/>
      <c r="AZ86" s="40"/>
      <c r="BA86" s="40"/>
      <c r="BB86" s="40"/>
      <c r="BC86" s="40"/>
      <c r="BD86" s="40"/>
      <c r="BE86" s="40"/>
      <c r="BF86" s="40"/>
      <c r="BG86" s="40"/>
      <c r="BH86" s="40"/>
      <c r="BI86" s="40"/>
      <c r="BJ86" s="40"/>
      <c r="BK86" s="40"/>
      <c r="BL86" s="40"/>
      <c r="BM86" s="40"/>
      <c r="BN86" s="40"/>
      <c r="BO86" s="40"/>
      <c r="BP86" s="40"/>
      <c r="BQ86" s="40"/>
      <c r="BR86" s="40"/>
      <c r="BS86" s="40"/>
      <c r="BT86" s="40"/>
      <c r="BU86" s="40"/>
      <c r="BV86" s="40"/>
      <c r="BW86" s="40"/>
      <c r="BX86" s="40"/>
      <c r="BY86" s="40"/>
      <c r="BZ86" s="40"/>
      <c r="CA86" s="40"/>
      <c r="CB86" s="40"/>
      <c r="CC86" s="40"/>
      <c r="CD86" s="40"/>
      <c r="CE86" s="30">
        <f>$B86-SUMIF($G$3:$GS$3,"",$G86:$GS86)</f>
        <v>0</v>
      </c>
      <c r="CF86" s="5"/>
    </row>
    <row r="87" spans="1:84" s="38" customFormat="1" x14ac:dyDescent="0.25">
      <c r="A87" s="45" t="s">
        <v>169</v>
      </c>
      <c r="B87" s="75">
        <f t="shared" si="3"/>
        <v>0</v>
      </c>
      <c r="C87" s="67">
        <v>10</v>
      </c>
      <c r="D87" s="69">
        <v>44354</v>
      </c>
      <c r="E87" s="83">
        <v>24.1</v>
      </c>
      <c r="F87" s="77">
        <f t="shared" si="4"/>
        <v>0</v>
      </c>
      <c r="G87" s="75"/>
      <c r="H87" s="16"/>
      <c r="I87" s="16"/>
      <c r="J87" s="175"/>
      <c r="K87" s="16"/>
      <c r="L87" s="40"/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  <c r="AF87" s="40"/>
      <c r="AG87" s="40"/>
      <c r="AH87" s="40"/>
      <c r="AI87" s="40"/>
      <c r="AJ87" s="40"/>
      <c r="AK87" s="40"/>
      <c r="AL87" s="40"/>
      <c r="AM87" s="40"/>
      <c r="AN87" s="40"/>
      <c r="AO87" s="40"/>
      <c r="AP87" s="40"/>
      <c r="AQ87" s="40"/>
      <c r="AR87" s="40"/>
      <c r="AS87" s="40"/>
      <c r="AT87" s="40"/>
      <c r="AU87" s="40"/>
      <c r="AV87" s="40"/>
      <c r="AW87" s="40"/>
      <c r="AX87" s="40"/>
      <c r="AY87" s="40"/>
      <c r="AZ87" s="40"/>
      <c r="BA87" s="40"/>
      <c r="BB87" s="40"/>
      <c r="BC87" s="40"/>
      <c r="BD87" s="40"/>
      <c r="BE87" s="40"/>
      <c r="BF87" s="40"/>
      <c r="BG87" s="40"/>
      <c r="BH87" s="40"/>
      <c r="BI87" s="40"/>
      <c r="BJ87" s="40"/>
      <c r="BK87" s="40"/>
      <c r="BL87" s="40"/>
      <c r="BM87" s="40"/>
      <c r="BN87" s="40"/>
      <c r="BO87" s="40"/>
      <c r="BP87" s="40"/>
      <c r="BQ87" s="40"/>
      <c r="BR87" s="40"/>
      <c r="BS87" s="40"/>
      <c r="BT87" s="40"/>
      <c r="BU87" s="40"/>
      <c r="BV87" s="40"/>
      <c r="BW87" s="40"/>
      <c r="BX87" s="40"/>
      <c r="BY87" s="40"/>
      <c r="BZ87" s="40"/>
      <c r="CA87" s="40"/>
      <c r="CB87" s="40"/>
      <c r="CC87" s="40"/>
      <c r="CD87" s="40"/>
      <c r="CE87" s="30">
        <f>$B87-SUMIF($G$3:$GS$3,"",$G87:$GS87)</f>
        <v>0</v>
      </c>
      <c r="CF87" s="5"/>
    </row>
    <row r="88" spans="1:84" s="38" customFormat="1" x14ac:dyDescent="0.25">
      <c r="A88" s="61" t="s">
        <v>63</v>
      </c>
      <c r="B88" s="75">
        <f t="shared" si="3"/>
        <v>4.5</v>
      </c>
      <c r="C88" s="67">
        <v>0.9</v>
      </c>
      <c r="D88" s="70">
        <v>44593</v>
      </c>
      <c r="E88" s="84">
        <v>42.72</v>
      </c>
      <c r="F88" s="77">
        <f t="shared" si="4"/>
        <v>192.24</v>
      </c>
      <c r="G88" s="75"/>
      <c r="H88" s="16"/>
      <c r="I88" s="16"/>
      <c r="J88" s="175"/>
      <c r="K88" s="16"/>
      <c r="L88" s="40"/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  <c r="AF88" s="40"/>
      <c r="AG88" s="40"/>
      <c r="AH88" s="40"/>
      <c r="AI88" s="40"/>
      <c r="AJ88" s="40"/>
      <c r="AK88" s="40"/>
      <c r="AL88" s="40"/>
      <c r="AM88" s="40"/>
      <c r="AN88" s="40"/>
      <c r="AO88" s="40"/>
      <c r="AP88" s="40"/>
      <c r="AQ88" s="40"/>
      <c r="AR88" s="40"/>
      <c r="AS88" s="40"/>
      <c r="AT88" s="40"/>
      <c r="AU88" s="40"/>
      <c r="AV88" s="40"/>
      <c r="AW88" s="40"/>
      <c r="AX88" s="40"/>
      <c r="AY88" s="40"/>
      <c r="AZ88" s="40"/>
      <c r="BA88" s="40"/>
      <c r="BB88" s="40"/>
      <c r="BC88" s="40"/>
      <c r="BD88" s="40"/>
      <c r="BE88" s="40">
        <v>4.5</v>
      </c>
      <c r="BF88" s="40"/>
      <c r="BG88" s="40"/>
      <c r="BH88" s="40"/>
      <c r="BI88" s="40"/>
      <c r="BJ88" s="40"/>
      <c r="BK88" s="40"/>
      <c r="BL88" s="40"/>
      <c r="BM88" s="40"/>
      <c r="BN88" s="40"/>
      <c r="BO88" s="40"/>
      <c r="BP88" s="40"/>
      <c r="BQ88" s="40"/>
      <c r="BR88" s="40"/>
      <c r="BS88" s="40"/>
      <c r="BT88" s="40"/>
      <c r="BU88" s="40"/>
      <c r="BV88" s="40"/>
      <c r="BW88" s="40"/>
      <c r="BX88" s="40"/>
      <c r="BY88" s="40"/>
      <c r="BZ88" s="40"/>
      <c r="CA88" s="40"/>
      <c r="CB88" s="40"/>
      <c r="CC88" s="40"/>
      <c r="CD88" s="40"/>
      <c r="CE88" s="30">
        <f>$B88-SUMIF($G$3:$GS$3,"",$G88:$GS88)</f>
        <v>4.5</v>
      </c>
      <c r="CF88" s="5"/>
    </row>
    <row r="89" spans="1:84" s="38" customFormat="1" x14ac:dyDescent="0.25">
      <c r="A89" s="61" t="s">
        <v>63</v>
      </c>
      <c r="B89" s="75">
        <f t="shared" si="3"/>
        <v>45</v>
      </c>
      <c r="C89" s="67">
        <v>9</v>
      </c>
      <c r="D89" s="70">
        <v>44593</v>
      </c>
      <c r="E89" s="84">
        <v>40.44</v>
      </c>
      <c r="F89" s="77">
        <f t="shared" si="4"/>
        <v>1819.8</v>
      </c>
      <c r="G89" s="75"/>
      <c r="H89" s="16"/>
      <c r="I89" s="16"/>
      <c r="J89" s="175"/>
      <c r="K89" s="16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  <c r="AF89" s="40"/>
      <c r="AG89" s="40"/>
      <c r="AH89" s="40"/>
      <c r="AI89" s="40"/>
      <c r="AJ89" s="40"/>
      <c r="AK89" s="40"/>
      <c r="AL89" s="40"/>
      <c r="AM89" s="40"/>
      <c r="AN89" s="40"/>
      <c r="AO89" s="40"/>
      <c r="AP89" s="40"/>
      <c r="AQ89" s="40"/>
      <c r="AR89" s="40"/>
      <c r="AS89" s="40"/>
      <c r="AT89" s="40"/>
      <c r="AU89" s="40"/>
      <c r="AV89" s="40"/>
      <c r="AW89" s="40"/>
      <c r="AX89" s="40"/>
      <c r="AY89" s="40"/>
      <c r="AZ89" s="40"/>
      <c r="BA89" s="40"/>
      <c r="BB89" s="40"/>
      <c r="BC89" s="40"/>
      <c r="BD89" s="40"/>
      <c r="BE89" s="40">
        <v>45</v>
      </c>
      <c r="BF89" s="40"/>
      <c r="BG89" s="40"/>
      <c r="BH89" s="40"/>
      <c r="BI89" s="40"/>
      <c r="BJ89" s="40"/>
      <c r="BK89" s="40"/>
      <c r="BL89" s="40"/>
      <c r="BM89" s="40"/>
      <c r="BN89" s="40"/>
      <c r="BO89" s="40"/>
      <c r="BP89" s="40"/>
      <c r="BQ89" s="40"/>
      <c r="BR89" s="40"/>
      <c r="BS89" s="40"/>
      <c r="BT89" s="40"/>
      <c r="BU89" s="40"/>
      <c r="BV89" s="40"/>
      <c r="BW89" s="40"/>
      <c r="BX89" s="40"/>
      <c r="BY89" s="40"/>
      <c r="BZ89" s="40"/>
      <c r="CA89" s="40"/>
      <c r="CB89" s="40"/>
      <c r="CC89" s="40"/>
      <c r="CD89" s="40"/>
      <c r="CE89" s="30">
        <f>$B89-SUMIF($G$3:$GS$3,"",$G89:$GS89)</f>
        <v>45</v>
      </c>
      <c r="CF89" s="5"/>
    </row>
    <row r="90" spans="1:84" s="38" customFormat="1" x14ac:dyDescent="0.25">
      <c r="A90" s="61" t="s">
        <v>27</v>
      </c>
      <c r="B90" s="75">
        <f t="shared" si="3"/>
        <v>0</v>
      </c>
      <c r="C90" s="67">
        <v>1</v>
      </c>
      <c r="D90" s="69">
        <v>44532</v>
      </c>
      <c r="E90" s="77">
        <v>18.97</v>
      </c>
      <c r="F90" s="77">
        <f t="shared" si="4"/>
        <v>0</v>
      </c>
      <c r="G90" s="75"/>
      <c r="H90" s="16"/>
      <c r="I90" s="16"/>
      <c r="J90" s="175"/>
      <c r="K90" s="16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0"/>
      <c r="AK90" s="40"/>
      <c r="AL90" s="40"/>
      <c r="AM90" s="40"/>
      <c r="AN90" s="40"/>
      <c r="AO90" s="40"/>
      <c r="AP90" s="40"/>
      <c r="AQ90" s="40"/>
      <c r="AR90" s="40"/>
      <c r="AS90" s="40"/>
      <c r="AT90" s="40"/>
      <c r="AU90" s="40"/>
      <c r="AV90" s="40"/>
      <c r="AW90" s="40"/>
      <c r="AX90" s="40"/>
      <c r="AY90" s="40"/>
      <c r="AZ90" s="40"/>
      <c r="BA90" s="40"/>
      <c r="BB90" s="40"/>
      <c r="BC90" s="40"/>
      <c r="BD90" s="40"/>
      <c r="BE90" s="40"/>
      <c r="BF90" s="40"/>
      <c r="BG90" s="40"/>
      <c r="BH90" s="40"/>
      <c r="BI90" s="40"/>
      <c r="BJ90" s="40"/>
      <c r="BK90" s="40"/>
      <c r="BL90" s="40"/>
      <c r="BM90" s="40"/>
      <c r="BN90" s="40"/>
      <c r="BO90" s="40"/>
      <c r="BP90" s="40"/>
      <c r="BQ90" s="40"/>
      <c r="BR90" s="40"/>
      <c r="BS90" s="40"/>
      <c r="BT90" s="40"/>
      <c r="BU90" s="40"/>
      <c r="BV90" s="40"/>
      <c r="BW90" s="40"/>
      <c r="BX90" s="40"/>
      <c r="BY90" s="40"/>
      <c r="BZ90" s="40"/>
      <c r="CA90" s="40"/>
      <c r="CB90" s="40"/>
      <c r="CC90" s="40"/>
      <c r="CD90" s="40"/>
      <c r="CE90" s="30">
        <f>$B90-SUMIF($G$3:$GS$3,"",$G90:$GS90)</f>
        <v>0</v>
      </c>
      <c r="CF90" s="5"/>
    </row>
    <row r="91" spans="1:84" s="38" customFormat="1" ht="12" customHeight="1" x14ac:dyDescent="0.25">
      <c r="A91" s="61" t="s">
        <v>27</v>
      </c>
      <c r="B91" s="75">
        <f t="shared" si="3"/>
        <v>0</v>
      </c>
      <c r="C91" s="67">
        <v>10</v>
      </c>
      <c r="D91" s="70">
        <v>44340</v>
      </c>
      <c r="E91" s="77">
        <v>15.84</v>
      </c>
      <c r="F91" s="77">
        <f t="shared" si="4"/>
        <v>0</v>
      </c>
      <c r="G91" s="75"/>
      <c r="H91" s="16"/>
      <c r="I91" s="16"/>
      <c r="J91" s="175"/>
      <c r="K91" s="16"/>
      <c r="L91" s="40"/>
      <c r="M91" s="40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  <c r="AM91" s="40"/>
      <c r="AN91" s="40"/>
      <c r="AO91" s="40"/>
      <c r="AP91" s="40"/>
      <c r="AQ91" s="40"/>
      <c r="AR91" s="40"/>
      <c r="AS91" s="40"/>
      <c r="AT91" s="40"/>
      <c r="AU91" s="40"/>
      <c r="AV91" s="40"/>
      <c r="AW91" s="40"/>
      <c r="AX91" s="40"/>
      <c r="AY91" s="40"/>
      <c r="AZ91" s="40"/>
      <c r="BA91" s="40"/>
      <c r="BB91" s="40"/>
      <c r="BC91" s="40"/>
      <c r="BD91" s="40"/>
      <c r="BE91" s="40"/>
      <c r="BF91" s="40"/>
      <c r="BG91" s="40"/>
      <c r="BH91" s="40"/>
      <c r="BI91" s="40"/>
      <c r="BJ91" s="40"/>
      <c r="BK91" s="40"/>
      <c r="BL91" s="40"/>
      <c r="BM91" s="40"/>
      <c r="BN91" s="40"/>
      <c r="BO91" s="40"/>
      <c r="BP91" s="40"/>
      <c r="BQ91" s="40"/>
      <c r="BR91" s="40"/>
      <c r="BS91" s="40"/>
      <c r="BT91" s="40"/>
      <c r="BU91" s="40"/>
      <c r="BV91" s="40"/>
      <c r="BW91" s="40"/>
      <c r="BX91" s="40"/>
      <c r="BY91" s="40"/>
      <c r="BZ91" s="40"/>
      <c r="CA91" s="40"/>
      <c r="CB91" s="40"/>
      <c r="CC91" s="40"/>
      <c r="CD91" s="40"/>
      <c r="CE91" s="30">
        <f>$B91-SUMIF($G$3:$GS$3,"",$G91:$GS91)</f>
        <v>0</v>
      </c>
      <c r="CF91" s="5"/>
    </row>
    <row r="92" spans="1:84" s="38" customFormat="1" x14ac:dyDescent="0.25">
      <c r="A92" s="61" t="s">
        <v>552</v>
      </c>
      <c r="B92" s="75">
        <f t="shared" si="3"/>
        <v>0</v>
      </c>
      <c r="C92" s="67">
        <v>0</v>
      </c>
      <c r="D92" s="70">
        <v>44557</v>
      </c>
      <c r="E92" s="77">
        <v>24.68</v>
      </c>
      <c r="F92" s="77">
        <f t="shared" si="4"/>
        <v>0</v>
      </c>
      <c r="G92" s="75">
        <v>7</v>
      </c>
      <c r="H92" s="16"/>
      <c r="I92" s="16"/>
      <c r="J92" s="175"/>
      <c r="K92" s="16"/>
      <c r="L92" s="40">
        <v>7</v>
      </c>
      <c r="M92" s="40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  <c r="AO92" s="40"/>
      <c r="AP92" s="40"/>
      <c r="AQ92" s="40"/>
      <c r="AR92" s="40"/>
      <c r="AS92" s="40"/>
      <c r="AT92" s="40"/>
      <c r="AU92" s="40"/>
      <c r="AV92" s="40"/>
      <c r="AW92" s="40"/>
      <c r="AX92" s="40"/>
      <c r="AY92" s="40"/>
      <c r="AZ92" s="40"/>
      <c r="BA92" s="40"/>
      <c r="BB92" s="40"/>
      <c r="BC92" s="40"/>
      <c r="BD92" s="40"/>
      <c r="BE92" s="40"/>
      <c r="BF92" s="40"/>
      <c r="BG92" s="40"/>
      <c r="BH92" s="40"/>
      <c r="BI92" s="40"/>
      <c r="BJ92" s="40"/>
      <c r="BK92" s="40"/>
      <c r="BL92" s="40"/>
      <c r="BM92" s="40"/>
      <c r="BN92" s="40"/>
      <c r="BO92" s="40"/>
      <c r="BP92" s="40"/>
      <c r="BQ92" s="40"/>
      <c r="BR92" s="40"/>
      <c r="BS92" s="40"/>
      <c r="BT92" s="40"/>
      <c r="BU92" s="40"/>
      <c r="BV92" s="40"/>
      <c r="BW92" s="40"/>
      <c r="BX92" s="40"/>
      <c r="BY92" s="40"/>
      <c r="BZ92" s="40"/>
      <c r="CA92" s="40"/>
      <c r="CB92" s="40"/>
      <c r="CC92" s="40"/>
      <c r="CD92" s="40"/>
      <c r="CE92" s="30">
        <f>$B92-SUMIF($G$3:$GS$3,"",$G92:$GS92)</f>
        <v>0</v>
      </c>
      <c r="CF92" s="5"/>
    </row>
    <row r="93" spans="1:84" s="38" customFormat="1" x14ac:dyDescent="0.25">
      <c r="A93" s="61" t="s">
        <v>218</v>
      </c>
      <c r="B93" s="75">
        <f t="shared" si="3"/>
        <v>0</v>
      </c>
      <c r="C93" s="67">
        <v>1</v>
      </c>
      <c r="D93" s="69">
        <v>44585</v>
      </c>
      <c r="E93" s="77">
        <v>23.26</v>
      </c>
      <c r="F93" s="77">
        <f t="shared" si="4"/>
        <v>0</v>
      </c>
      <c r="G93" s="75"/>
      <c r="H93" s="16"/>
      <c r="I93" s="16"/>
      <c r="J93" s="175"/>
      <c r="K93" s="16"/>
      <c r="L93" s="40"/>
      <c r="M93" s="40"/>
      <c r="N93" s="40"/>
      <c r="O93" s="40"/>
      <c r="P93" s="40"/>
      <c r="Q93" s="40"/>
      <c r="R93" s="40"/>
      <c r="S93" s="40"/>
      <c r="T93" s="40"/>
      <c r="U93" s="40"/>
      <c r="V93" s="40">
        <v>2</v>
      </c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0"/>
      <c r="AK93" s="40"/>
      <c r="AL93" s="40"/>
      <c r="AM93" s="40"/>
      <c r="AN93" s="40"/>
      <c r="AO93" s="40"/>
      <c r="AP93" s="40"/>
      <c r="AQ93" s="40"/>
      <c r="AR93" s="40"/>
      <c r="AS93" s="40"/>
      <c r="AT93" s="40"/>
      <c r="AU93" s="40"/>
      <c r="AV93" s="40"/>
      <c r="AW93" s="40"/>
      <c r="AX93" s="40"/>
      <c r="AY93" s="40"/>
      <c r="AZ93" s="40"/>
      <c r="BA93" s="40"/>
      <c r="BB93" s="40"/>
      <c r="BC93" s="40"/>
      <c r="BD93" s="40">
        <v>2</v>
      </c>
      <c r="BE93" s="40"/>
      <c r="BF93" s="40"/>
      <c r="BG93" s="40"/>
      <c r="BH93" s="40"/>
      <c r="BI93" s="40"/>
      <c r="BJ93" s="40"/>
      <c r="BK93" s="40"/>
      <c r="BL93" s="40"/>
      <c r="BM93" s="40"/>
      <c r="BN93" s="40"/>
      <c r="BO93" s="40"/>
      <c r="BP93" s="40"/>
      <c r="BQ93" s="40"/>
      <c r="BR93" s="40"/>
      <c r="BS93" s="40"/>
      <c r="BT93" s="40"/>
      <c r="BU93" s="40"/>
      <c r="BV93" s="40"/>
      <c r="BW93" s="40"/>
      <c r="BX93" s="40"/>
      <c r="BY93" s="40"/>
      <c r="BZ93" s="40"/>
      <c r="CA93" s="40"/>
      <c r="CB93" s="40"/>
      <c r="CC93" s="40"/>
      <c r="CD93" s="40"/>
      <c r="CE93" s="30">
        <f>$B93-SUMIF($G$3:$GS$3,"",$G93:$GS93)</f>
        <v>0</v>
      </c>
    </row>
    <row r="94" spans="1:84" s="38" customFormat="1" x14ac:dyDescent="0.25">
      <c r="A94" s="61" t="s">
        <v>218</v>
      </c>
      <c r="B94" s="75">
        <f t="shared" si="3"/>
        <v>0</v>
      </c>
      <c r="C94" s="67">
        <v>10</v>
      </c>
      <c r="D94" s="69">
        <v>44585</v>
      </c>
      <c r="E94" s="77">
        <v>21.13</v>
      </c>
      <c r="F94" s="77">
        <f t="shared" si="4"/>
        <v>0</v>
      </c>
      <c r="G94" s="75"/>
      <c r="H94" s="16"/>
      <c r="I94" s="16"/>
      <c r="J94" s="175"/>
      <c r="K94" s="16"/>
      <c r="L94" s="40"/>
      <c r="M94" s="40"/>
      <c r="N94" s="40"/>
      <c r="O94" s="40"/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0"/>
      <c r="AK94" s="40"/>
      <c r="AL94" s="40"/>
      <c r="AM94" s="40"/>
      <c r="AN94" s="40"/>
      <c r="AO94" s="40"/>
      <c r="AP94" s="40"/>
      <c r="AQ94" s="40"/>
      <c r="AR94" s="40"/>
      <c r="AS94" s="40"/>
      <c r="AT94" s="40">
        <v>20</v>
      </c>
      <c r="AU94" s="40"/>
      <c r="AV94" s="40"/>
      <c r="AW94" s="40"/>
      <c r="AX94" s="40"/>
      <c r="AY94" s="40"/>
      <c r="AZ94" s="40"/>
      <c r="BA94" s="40"/>
      <c r="BB94" s="40"/>
      <c r="BC94" s="40"/>
      <c r="BD94" s="40">
        <v>20</v>
      </c>
      <c r="BE94" s="40"/>
      <c r="BF94" s="40"/>
      <c r="BG94" s="40"/>
      <c r="BH94" s="40"/>
      <c r="BI94" s="40"/>
      <c r="BJ94" s="40"/>
      <c r="BK94" s="40"/>
      <c r="BL94" s="40"/>
      <c r="BM94" s="40"/>
      <c r="BN94" s="40"/>
      <c r="BO94" s="40"/>
      <c r="BP94" s="40"/>
      <c r="BQ94" s="40"/>
      <c r="BR94" s="40"/>
      <c r="BS94" s="40"/>
      <c r="BT94" s="40"/>
      <c r="BU94" s="40"/>
      <c r="BV94" s="40"/>
      <c r="BW94" s="40"/>
      <c r="BX94" s="40"/>
      <c r="BY94" s="40"/>
      <c r="BZ94" s="40"/>
      <c r="CA94" s="40"/>
      <c r="CB94" s="40"/>
      <c r="CC94" s="40"/>
      <c r="CD94" s="40"/>
      <c r="CE94" s="30">
        <f>$B94-SUMIF($G$3:$GS$3,"",$G94:$GS94)</f>
        <v>0</v>
      </c>
    </row>
    <row r="95" spans="1:84" s="38" customFormat="1" x14ac:dyDescent="0.25">
      <c r="A95" s="45" t="s">
        <v>75</v>
      </c>
      <c r="B95" s="75">
        <f t="shared" si="3"/>
        <v>0</v>
      </c>
      <c r="C95" s="67">
        <v>1</v>
      </c>
      <c r="D95" s="69">
        <v>44452</v>
      </c>
      <c r="E95" s="77">
        <v>28.04</v>
      </c>
      <c r="F95" s="77">
        <f t="shared" si="4"/>
        <v>0</v>
      </c>
      <c r="G95" s="75"/>
      <c r="H95" s="16"/>
      <c r="I95" s="16"/>
      <c r="J95" s="175"/>
      <c r="K95" s="16"/>
      <c r="L95" s="40"/>
      <c r="M95" s="40"/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0"/>
      <c r="AK95" s="40"/>
      <c r="AL95" s="40"/>
      <c r="AM95" s="40"/>
      <c r="AN95" s="40"/>
      <c r="AO95" s="40"/>
      <c r="AP95" s="40"/>
      <c r="AQ95" s="40"/>
      <c r="AR95" s="40"/>
      <c r="AS95" s="40"/>
      <c r="AT95" s="40"/>
      <c r="AU95" s="40"/>
      <c r="AV95" s="40"/>
      <c r="AW95" s="40"/>
      <c r="AX95" s="40"/>
      <c r="AY95" s="40"/>
      <c r="AZ95" s="40"/>
      <c r="BA95" s="40"/>
      <c r="BB95" s="40"/>
      <c r="BC95" s="40"/>
      <c r="BD95" s="40"/>
      <c r="BE95" s="40"/>
      <c r="BF95" s="40"/>
      <c r="BG95" s="40"/>
      <c r="BH95" s="40"/>
      <c r="BI95" s="40"/>
      <c r="BJ95" s="40"/>
      <c r="BK95" s="40"/>
      <c r="BL95" s="40"/>
      <c r="BM95" s="40"/>
      <c r="BN95" s="40"/>
      <c r="BO95" s="40"/>
      <c r="BP95" s="40"/>
      <c r="BQ95" s="40"/>
      <c r="BR95" s="40"/>
      <c r="BS95" s="40"/>
      <c r="BT95" s="40"/>
      <c r="BU95" s="40"/>
      <c r="BV95" s="40"/>
      <c r="BW95" s="40"/>
      <c r="BX95" s="40"/>
      <c r="BY95" s="40"/>
      <c r="BZ95" s="40"/>
      <c r="CA95" s="40"/>
      <c r="CB95" s="40"/>
      <c r="CC95" s="40"/>
      <c r="CD95" s="40"/>
      <c r="CE95" s="30">
        <f>$B95-SUMIF($G$3:$GS$3,"",$G95:$GS95)</f>
        <v>0</v>
      </c>
      <c r="CF95" s="5"/>
    </row>
    <row r="96" spans="1:84" s="38" customFormat="1" x14ac:dyDescent="0.25">
      <c r="A96" s="45" t="s">
        <v>75</v>
      </c>
      <c r="B96" s="75">
        <f t="shared" si="3"/>
        <v>100</v>
      </c>
      <c r="C96" s="67">
        <v>10</v>
      </c>
      <c r="D96" s="69">
        <v>44593</v>
      </c>
      <c r="E96" s="77">
        <v>25.36</v>
      </c>
      <c r="F96" s="77">
        <f t="shared" si="4"/>
        <v>2536</v>
      </c>
      <c r="G96" s="75"/>
      <c r="H96" s="16"/>
      <c r="I96" s="16"/>
      <c r="J96" s="175"/>
      <c r="K96" s="16"/>
      <c r="L96" s="40"/>
      <c r="M96" s="40"/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  <c r="AH96" s="40"/>
      <c r="AI96" s="40"/>
      <c r="AJ96" s="40"/>
      <c r="AK96" s="40"/>
      <c r="AL96" s="40"/>
      <c r="AM96" s="40"/>
      <c r="AN96" s="40"/>
      <c r="AO96" s="40"/>
      <c r="AP96" s="40"/>
      <c r="AQ96" s="40"/>
      <c r="AR96" s="40"/>
      <c r="AS96" s="40"/>
      <c r="AT96" s="40"/>
      <c r="AU96" s="40"/>
      <c r="AV96" s="40"/>
      <c r="AW96" s="40"/>
      <c r="AX96" s="40"/>
      <c r="AY96" s="40"/>
      <c r="AZ96" s="40"/>
      <c r="BA96" s="40"/>
      <c r="BB96" s="40"/>
      <c r="BC96" s="40"/>
      <c r="BD96" s="40">
        <v>50</v>
      </c>
      <c r="BE96" s="40">
        <v>100</v>
      </c>
      <c r="BF96" s="40"/>
      <c r="BG96" s="40"/>
      <c r="BH96" s="40"/>
      <c r="BI96" s="40"/>
      <c r="BJ96" s="40"/>
      <c r="BK96" s="40"/>
      <c r="BL96" s="40"/>
      <c r="BM96" s="40"/>
      <c r="BN96" s="40"/>
      <c r="BO96" s="40"/>
      <c r="BP96" s="40"/>
      <c r="BQ96" s="40"/>
      <c r="BR96" s="40"/>
      <c r="BS96" s="40"/>
      <c r="BT96" s="40">
        <v>50</v>
      </c>
      <c r="BU96" s="40"/>
      <c r="BV96" s="40"/>
      <c r="BW96" s="40"/>
      <c r="BX96" s="40"/>
      <c r="BY96" s="40"/>
      <c r="BZ96" s="40"/>
      <c r="CA96" s="40"/>
      <c r="CB96" s="40"/>
      <c r="CC96" s="40"/>
      <c r="CD96" s="40"/>
      <c r="CE96" s="30">
        <f>$B96-SUMIF($G$3:$GS$3,"",$G96:$GS96)</f>
        <v>100</v>
      </c>
      <c r="CF96" s="5"/>
    </row>
    <row r="97" spans="1:84" s="38" customFormat="1" x14ac:dyDescent="0.25">
      <c r="A97" s="45" t="s">
        <v>124</v>
      </c>
      <c r="B97" s="75">
        <f t="shared" si="3"/>
        <v>0</v>
      </c>
      <c r="C97" s="67">
        <v>1</v>
      </c>
      <c r="D97" s="69">
        <v>44532</v>
      </c>
      <c r="E97" s="77">
        <v>32.93</v>
      </c>
      <c r="F97" s="77">
        <f t="shared" si="4"/>
        <v>0</v>
      </c>
      <c r="G97" s="75"/>
      <c r="H97" s="16"/>
      <c r="I97" s="16"/>
      <c r="J97" s="175"/>
      <c r="K97" s="16"/>
      <c r="L97" s="40"/>
      <c r="M97" s="40"/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0"/>
      <c r="AK97" s="40"/>
      <c r="AL97" s="40"/>
      <c r="AM97" s="40"/>
      <c r="AN97" s="40"/>
      <c r="AO97" s="40"/>
      <c r="AP97" s="40"/>
      <c r="AQ97" s="40"/>
      <c r="AR97" s="40"/>
      <c r="AS97" s="40"/>
      <c r="AT97" s="40"/>
      <c r="AU97" s="40"/>
      <c r="AV97" s="40"/>
      <c r="AW97" s="40"/>
      <c r="AX97" s="40"/>
      <c r="AY97" s="40"/>
      <c r="AZ97" s="40"/>
      <c r="BA97" s="40"/>
      <c r="BB97" s="40"/>
      <c r="BC97" s="40"/>
      <c r="BD97" s="40"/>
      <c r="BE97" s="40"/>
      <c r="BF97" s="40"/>
      <c r="BG97" s="40"/>
      <c r="BH97" s="40"/>
      <c r="BI97" s="40"/>
      <c r="BJ97" s="40"/>
      <c r="BK97" s="40"/>
      <c r="BL97" s="40"/>
      <c r="BM97" s="40"/>
      <c r="BN97" s="40"/>
      <c r="BO97" s="40"/>
      <c r="BP97" s="40"/>
      <c r="BQ97" s="40"/>
      <c r="BR97" s="40"/>
      <c r="BS97" s="40"/>
      <c r="BT97" s="40"/>
      <c r="BU97" s="40"/>
      <c r="BV97" s="40"/>
      <c r="BW97" s="40"/>
      <c r="BX97" s="40"/>
      <c r="BY97" s="40"/>
      <c r="BZ97" s="40"/>
      <c r="CA97" s="40"/>
      <c r="CB97" s="40"/>
      <c r="CC97" s="40"/>
      <c r="CD97" s="40"/>
      <c r="CE97" s="30">
        <f>$B97-SUMIF($G$3:$GS$3,"",$G97:$GS97)</f>
        <v>0</v>
      </c>
      <c r="CF97" s="5"/>
    </row>
    <row r="98" spans="1:84" s="38" customFormat="1" x14ac:dyDescent="0.25">
      <c r="A98" s="45" t="s">
        <v>384</v>
      </c>
      <c r="B98" s="75">
        <f t="shared" si="3"/>
        <v>0</v>
      </c>
      <c r="C98" s="67">
        <v>1</v>
      </c>
      <c r="D98" s="69">
        <v>44557</v>
      </c>
      <c r="E98" s="77">
        <v>27.94</v>
      </c>
      <c r="F98" s="77">
        <f t="shared" si="4"/>
        <v>0</v>
      </c>
      <c r="G98" s="75"/>
      <c r="H98" s="16"/>
      <c r="I98" s="16"/>
      <c r="J98" s="175"/>
      <c r="K98" s="16"/>
      <c r="L98" s="40"/>
      <c r="M98" s="40"/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0"/>
      <c r="AK98" s="40"/>
      <c r="AL98" s="40"/>
      <c r="AM98" s="40"/>
      <c r="AN98" s="40"/>
      <c r="AO98" s="40"/>
      <c r="AP98" s="40"/>
      <c r="AQ98" s="40"/>
      <c r="AR98" s="40"/>
      <c r="AS98" s="40"/>
      <c r="AT98" s="40"/>
      <c r="AU98" s="40"/>
      <c r="AV98" s="40"/>
      <c r="AW98" s="40"/>
      <c r="AX98" s="40"/>
      <c r="AY98" s="40"/>
      <c r="AZ98" s="40"/>
      <c r="BA98" s="40"/>
      <c r="BB98" s="40"/>
      <c r="BC98" s="40"/>
      <c r="BD98" s="40"/>
      <c r="BE98" s="40"/>
      <c r="BF98" s="40"/>
      <c r="BG98" s="40"/>
      <c r="BH98" s="40"/>
      <c r="BI98" s="40"/>
      <c r="BJ98" s="40"/>
      <c r="BK98" s="40"/>
      <c r="BL98" s="40"/>
      <c r="BM98" s="40"/>
      <c r="BN98" s="40"/>
      <c r="BO98" s="40"/>
      <c r="BP98" s="40"/>
      <c r="BQ98" s="40"/>
      <c r="BR98" s="40"/>
      <c r="BS98" s="40"/>
      <c r="BT98" s="40"/>
      <c r="BU98" s="40"/>
      <c r="BV98" s="40"/>
      <c r="BW98" s="40"/>
      <c r="BX98" s="40"/>
      <c r="BY98" s="40"/>
      <c r="BZ98" s="40"/>
      <c r="CA98" s="40"/>
      <c r="CB98" s="40"/>
      <c r="CC98" s="40"/>
      <c r="CD98" s="40"/>
      <c r="CE98" s="30">
        <f>$B98-SUMIF($G$3:$GS$3,"",$G98:$GS98)</f>
        <v>0</v>
      </c>
      <c r="CF98" s="5"/>
    </row>
    <row r="99" spans="1:84" s="38" customFormat="1" x14ac:dyDescent="0.25">
      <c r="A99" s="45" t="s">
        <v>250</v>
      </c>
      <c r="B99" s="75">
        <f t="shared" si="3"/>
        <v>0</v>
      </c>
      <c r="C99" s="67">
        <v>10</v>
      </c>
      <c r="D99" s="70">
        <v>44543</v>
      </c>
      <c r="E99" s="77">
        <v>25.89</v>
      </c>
      <c r="F99" s="77">
        <f t="shared" si="4"/>
        <v>0</v>
      </c>
      <c r="G99" s="75"/>
      <c r="H99" s="16"/>
      <c r="I99" s="16"/>
      <c r="J99" s="175"/>
      <c r="K99" s="16"/>
      <c r="L99" s="40"/>
      <c r="M99" s="40"/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0"/>
      <c r="AJ99" s="40"/>
      <c r="AK99" s="40"/>
      <c r="AL99" s="40"/>
      <c r="AM99" s="40"/>
      <c r="AN99" s="40"/>
      <c r="AO99" s="40"/>
      <c r="AP99" s="40"/>
      <c r="AQ99" s="40"/>
      <c r="AR99" s="40"/>
      <c r="AS99" s="40"/>
      <c r="AT99" s="40"/>
      <c r="AU99" s="40"/>
      <c r="AV99" s="40"/>
      <c r="AW99" s="40"/>
      <c r="AX99" s="40"/>
      <c r="AY99" s="40"/>
      <c r="AZ99" s="40"/>
      <c r="BA99" s="40"/>
      <c r="BB99" s="40"/>
      <c r="BC99" s="40"/>
      <c r="BD99" s="40"/>
      <c r="BE99" s="40"/>
      <c r="BF99" s="40"/>
      <c r="BG99" s="40"/>
      <c r="BH99" s="40"/>
      <c r="BI99" s="40"/>
      <c r="BJ99" s="40"/>
      <c r="BK99" s="40"/>
      <c r="BL99" s="40"/>
      <c r="BM99" s="40"/>
      <c r="BN99" s="40"/>
      <c r="BO99" s="40"/>
      <c r="BP99" s="40"/>
      <c r="BQ99" s="40"/>
      <c r="BR99" s="40"/>
      <c r="BS99" s="40"/>
      <c r="BT99" s="40"/>
      <c r="BU99" s="40"/>
      <c r="BV99" s="40"/>
      <c r="BW99" s="40"/>
      <c r="BX99" s="40"/>
      <c r="BY99" s="40"/>
      <c r="BZ99" s="40"/>
      <c r="CA99" s="40"/>
      <c r="CB99" s="40"/>
      <c r="CC99" s="40"/>
      <c r="CD99" s="40"/>
      <c r="CE99" s="30">
        <f>$B99-SUMIF($G$3:$GS$3,"",$G99:$GS99)</f>
        <v>0</v>
      </c>
      <c r="CF99" s="5"/>
    </row>
    <row r="100" spans="1:84" s="38" customFormat="1" x14ac:dyDescent="0.25">
      <c r="A100" s="24" t="s">
        <v>55</v>
      </c>
      <c r="B100" s="75">
        <f t="shared" si="3"/>
        <v>4</v>
      </c>
      <c r="C100" s="67">
        <v>1</v>
      </c>
      <c r="D100" s="69">
        <v>44593</v>
      </c>
      <c r="E100" s="77">
        <v>38.74</v>
      </c>
      <c r="F100" s="77">
        <f t="shared" si="4"/>
        <v>154.96</v>
      </c>
      <c r="G100" s="75"/>
      <c r="H100" s="16"/>
      <c r="I100" s="16"/>
      <c r="J100" s="175"/>
      <c r="K100" s="16"/>
      <c r="L100" s="40"/>
      <c r="M100" s="40"/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K100" s="40"/>
      <c r="AL100" s="40"/>
      <c r="AM100" s="40"/>
      <c r="AN100" s="40"/>
      <c r="AO100" s="40"/>
      <c r="AP100" s="40"/>
      <c r="AQ100" s="40"/>
      <c r="AR100" s="40"/>
      <c r="AS100" s="40"/>
      <c r="AT100" s="40"/>
      <c r="AU100" s="40"/>
      <c r="AV100" s="40"/>
      <c r="AW100" s="40"/>
      <c r="AX100" s="40"/>
      <c r="AY100" s="40"/>
      <c r="AZ100" s="40"/>
      <c r="BA100" s="40"/>
      <c r="BB100" s="40"/>
      <c r="BC100" s="40"/>
      <c r="BD100" s="40"/>
      <c r="BE100" s="40">
        <v>4</v>
      </c>
      <c r="BF100" s="40"/>
      <c r="BG100" s="40"/>
      <c r="BH100" s="40"/>
      <c r="BI100" s="40"/>
      <c r="BJ100" s="40"/>
      <c r="BK100" s="40"/>
      <c r="BL100" s="40"/>
      <c r="BM100" s="40"/>
      <c r="BN100" s="40"/>
      <c r="BO100" s="40"/>
      <c r="BP100" s="40"/>
      <c r="BQ100" s="40"/>
      <c r="BR100" s="40"/>
      <c r="BS100" s="40"/>
      <c r="BT100" s="40"/>
      <c r="BU100" s="40"/>
      <c r="BV100" s="40"/>
      <c r="BW100" s="40"/>
      <c r="BX100" s="40"/>
      <c r="BY100" s="40"/>
      <c r="BZ100" s="40"/>
      <c r="CA100" s="40"/>
      <c r="CB100" s="40"/>
      <c r="CC100" s="40"/>
      <c r="CD100" s="40"/>
      <c r="CE100" s="30">
        <f>$B100-SUMIF($G$3:$GS$3,"",$G100:$GS100)</f>
        <v>4</v>
      </c>
      <c r="CF100" s="5"/>
    </row>
    <row r="101" spans="1:84" s="38" customFormat="1" x14ac:dyDescent="0.25">
      <c r="A101" s="61" t="s">
        <v>55</v>
      </c>
      <c r="B101" s="75">
        <f t="shared" si="3"/>
        <v>10</v>
      </c>
      <c r="C101" s="67">
        <v>10</v>
      </c>
      <c r="D101" s="69">
        <v>44543</v>
      </c>
      <c r="E101" s="77">
        <v>36.06</v>
      </c>
      <c r="F101" s="77">
        <f t="shared" si="4"/>
        <v>360.6</v>
      </c>
      <c r="G101" s="75">
        <v>10</v>
      </c>
      <c r="H101" s="16"/>
      <c r="I101" s="16"/>
      <c r="J101" s="175"/>
      <c r="K101" s="16"/>
      <c r="L101" s="40"/>
      <c r="M101" s="40"/>
      <c r="N101" s="40"/>
      <c r="O101" s="40"/>
      <c r="P101" s="40"/>
      <c r="Q101" s="40"/>
      <c r="R101" s="40"/>
      <c r="S101" s="40">
        <v>10</v>
      </c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0"/>
      <c r="AK101" s="40"/>
      <c r="AL101" s="40"/>
      <c r="AM101" s="40"/>
      <c r="AN101" s="40"/>
      <c r="AO101" s="40"/>
      <c r="AP101" s="40"/>
      <c r="AQ101" s="40"/>
      <c r="AR101" s="40"/>
      <c r="AS101" s="40"/>
      <c r="AT101" s="40"/>
      <c r="AU101" s="40"/>
      <c r="AV101" s="40"/>
      <c r="AW101" s="40"/>
      <c r="AX101" s="40"/>
      <c r="AY101" s="40"/>
      <c r="AZ101" s="40"/>
      <c r="BA101" s="40"/>
      <c r="BB101" s="40"/>
      <c r="BC101" s="40"/>
      <c r="BD101" s="40"/>
      <c r="BE101" s="40"/>
      <c r="BF101" s="40"/>
      <c r="BG101" s="40"/>
      <c r="BH101" s="40"/>
      <c r="BI101" s="40"/>
      <c r="BJ101" s="40"/>
      <c r="BK101" s="40"/>
      <c r="BL101" s="40"/>
      <c r="BM101" s="40"/>
      <c r="BN101" s="40"/>
      <c r="BO101" s="40"/>
      <c r="BP101" s="40"/>
      <c r="BQ101" s="40"/>
      <c r="BR101" s="40"/>
      <c r="BS101" s="40"/>
      <c r="BT101" s="40"/>
      <c r="BU101" s="40"/>
      <c r="BV101" s="40"/>
      <c r="BW101" s="40"/>
      <c r="BX101" s="40"/>
      <c r="BY101" s="40"/>
      <c r="BZ101" s="40"/>
      <c r="CA101" s="40"/>
      <c r="CB101" s="40"/>
      <c r="CC101" s="40"/>
      <c r="CD101" s="40"/>
      <c r="CE101" s="30">
        <f>$B101-SUMIF($G$3:$GS$3,"",$G101:$GS101)</f>
        <v>0</v>
      </c>
      <c r="CF101" s="5"/>
    </row>
    <row r="102" spans="1:84" s="38" customFormat="1" x14ac:dyDescent="0.25">
      <c r="A102" s="61" t="s">
        <v>14</v>
      </c>
      <c r="B102" s="75">
        <f t="shared" si="3"/>
        <v>0</v>
      </c>
      <c r="C102" s="67">
        <v>1</v>
      </c>
      <c r="D102" s="69">
        <v>44249</v>
      </c>
      <c r="E102" s="77">
        <v>23.57</v>
      </c>
      <c r="F102" s="77">
        <f t="shared" si="4"/>
        <v>0</v>
      </c>
      <c r="G102" s="75"/>
      <c r="H102" s="16"/>
      <c r="I102" s="16"/>
      <c r="J102" s="175"/>
      <c r="K102" s="16"/>
      <c r="L102" s="40"/>
      <c r="M102" s="40"/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  <c r="AO102" s="40"/>
      <c r="AP102" s="40"/>
      <c r="AQ102" s="40"/>
      <c r="AR102" s="40"/>
      <c r="AS102" s="40"/>
      <c r="AT102" s="40"/>
      <c r="AU102" s="40"/>
      <c r="AV102" s="40"/>
      <c r="AW102" s="40"/>
      <c r="AX102" s="40"/>
      <c r="AY102" s="40"/>
      <c r="AZ102" s="40"/>
      <c r="BA102" s="40"/>
      <c r="BB102" s="40"/>
      <c r="BC102" s="40"/>
      <c r="BD102" s="40"/>
      <c r="BE102" s="40"/>
      <c r="BF102" s="40"/>
      <c r="BG102" s="40"/>
      <c r="BH102" s="40"/>
      <c r="BI102" s="40"/>
      <c r="BJ102" s="40"/>
      <c r="BK102" s="40"/>
      <c r="BL102" s="40"/>
      <c r="BM102" s="40"/>
      <c r="BN102" s="40"/>
      <c r="BO102" s="40"/>
      <c r="BP102" s="40"/>
      <c r="BQ102" s="40"/>
      <c r="BR102" s="40"/>
      <c r="BS102" s="40"/>
      <c r="BT102" s="40"/>
      <c r="BU102" s="40"/>
      <c r="BV102" s="40"/>
      <c r="BW102" s="40"/>
      <c r="BX102" s="40"/>
      <c r="BY102" s="40"/>
      <c r="BZ102" s="40"/>
      <c r="CA102" s="40"/>
      <c r="CB102" s="40"/>
      <c r="CC102" s="40"/>
      <c r="CD102" s="40"/>
      <c r="CE102" s="30">
        <f>$B102-SUMIF($G$3:$GS$3,"",$G102:$GS102)</f>
        <v>0</v>
      </c>
      <c r="CF102" s="5"/>
    </row>
    <row r="103" spans="1:84" s="38" customFormat="1" x14ac:dyDescent="0.25">
      <c r="A103" s="61" t="s">
        <v>14</v>
      </c>
      <c r="B103" s="75">
        <f t="shared" si="3"/>
        <v>0</v>
      </c>
      <c r="C103" s="67">
        <v>10</v>
      </c>
      <c r="D103" s="69">
        <v>44543</v>
      </c>
      <c r="E103" s="77">
        <v>20.89</v>
      </c>
      <c r="F103" s="77">
        <f t="shared" si="4"/>
        <v>0</v>
      </c>
      <c r="G103" s="75"/>
      <c r="H103" s="16"/>
      <c r="I103" s="16"/>
      <c r="J103" s="175"/>
      <c r="K103" s="16"/>
      <c r="L103" s="40"/>
      <c r="M103" s="40"/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0"/>
      <c r="AK103" s="40"/>
      <c r="AL103" s="40"/>
      <c r="AM103" s="40"/>
      <c r="AN103" s="40"/>
      <c r="AO103" s="40"/>
      <c r="AP103" s="40"/>
      <c r="AQ103" s="40"/>
      <c r="AR103" s="40"/>
      <c r="AS103" s="40"/>
      <c r="AT103" s="40"/>
      <c r="AU103" s="40"/>
      <c r="AV103" s="40"/>
      <c r="AW103" s="40"/>
      <c r="AX103" s="40"/>
      <c r="AY103" s="40"/>
      <c r="AZ103" s="40"/>
      <c r="BA103" s="40"/>
      <c r="BB103" s="40"/>
      <c r="BC103" s="40"/>
      <c r="BD103" s="40"/>
      <c r="BE103" s="40"/>
      <c r="BF103" s="40"/>
      <c r="BG103" s="40"/>
      <c r="BH103" s="40"/>
      <c r="BI103" s="40"/>
      <c r="BJ103" s="40"/>
      <c r="BK103" s="40"/>
      <c r="BL103" s="40"/>
      <c r="BM103" s="40"/>
      <c r="BN103" s="40"/>
      <c r="BO103" s="40"/>
      <c r="BP103" s="40"/>
      <c r="BQ103" s="40"/>
      <c r="BR103" s="40"/>
      <c r="BS103" s="40"/>
      <c r="BT103" s="40"/>
      <c r="BU103" s="40"/>
      <c r="BV103" s="40"/>
      <c r="BW103" s="40"/>
      <c r="BX103" s="40"/>
      <c r="BY103" s="40"/>
      <c r="BZ103" s="40"/>
      <c r="CA103" s="40"/>
      <c r="CB103" s="40"/>
      <c r="CC103" s="40"/>
      <c r="CD103" s="40"/>
      <c r="CE103" s="30">
        <f>$B103-SUMIF($G$3:$GS$3,"",$G103:$GS103)</f>
        <v>0</v>
      </c>
      <c r="CF103" s="5"/>
    </row>
    <row r="104" spans="1:84" s="38" customFormat="1" x14ac:dyDescent="0.25">
      <c r="A104" s="61" t="s">
        <v>98</v>
      </c>
      <c r="B104" s="75">
        <f t="shared" si="3"/>
        <v>0</v>
      </c>
      <c r="C104" s="67">
        <v>10</v>
      </c>
      <c r="D104" s="69">
        <v>44305</v>
      </c>
      <c r="E104" s="77">
        <v>24.62</v>
      </c>
      <c r="F104" s="77">
        <f t="shared" si="4"/>
        <v>0</v>
      </c>
      <c r="G104" s="75"/>
      <c r="H104" s="16"/>
      <c r="I104" s="16"/>
      <c r="J104" s="175"/>
      <c r="K104" s="16"/>
      <c r="L104" s="40"/>
      <c r="M104" s="40"/>
      <c r="N104" s="40"/>
      <c r="O104" s="40"/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  <c r="AJ104" s="40"/>
      <c r="AK104" s="40"/>
      <c r="AL104" s="40"/>
      <c r="AM104" s="40"/>
      <c r="AN104" s="40"/>
      <c r="AO104" s="40"/>
      <c r="AP104" s="40"/>
      <c r="AQ104" s="40"/>
      <c r="AR104" s="40"/>
      <c r="AS104" s="40"/>
      <c r="AT104" s="40"/>
      <c r="AU104" s="40"/>
      <c r="AV104" s="40"/>
      <c r="AW104" s="40"/>
      <c r="AX104" s="40"/>
      <c r="AY104" s="40"/>
      <c r="AZ104" s="40"/>
      <c r="BA104" s="40"/>
      <c r="BB104" s="40"/>
      <c r="BC104" s="40"/>
      <c r="BD104" s="40"/>
      <c r="BE104" s="40"/>
      <c r="BF104" s="40"/>
      <c r="BG104" s="40"/>
      <c r="BH104" s="40"/>
      <c r="BI104" s="40"/>
      <c r="BJ104" s="40"/>
      <c r="BK104" s="40"/>
      <c r="BL104" s="40"/>
      <c r="BM104" s="40"/>
      <c r="BN104" s="40"/>
      <c r="BO104" s="40"/>
      <c r="BP104" s="40"/>
      <c r="BQ104" s="40"/>
      <c r="BR104" s="40"/>
      <c r="BS104" s="40"/>
      <c r="BT104" s="40"/>
      <c r="BU104" s="40"/>
      <c r="BV104" s="40"/>
      <c r="BW104" s="40"/>
      <c r="BX104" s="40"/>
      <c r="BY104" s="40"/>
      <c r="BZ104" s="40"/>
      <c r="CA104" s="40"/>
      <c r="CB104" s="40"/>
      <c r="CC104" s="40"/>
      <c r="CD104" s="40"/>
      <c r="CE104" s="30">
        <f>$B104-SUMIF($G$3:$GS$3,"",$G104:$GS104)</f>
        <v>0</v>
      </c>
      <c r="CF104" s="5"/>
    </row>
    <row r="105" spans="1:84" s="38" customFormat="1" x14ac:dyDescent="0.25">
      <c r="A105" s="45" t="s">
        <v>109</v>
      </c>
      <c r="B105" s="75">
        <f t="shared" si="3"/>
        <v>0</v>
      </c>
      <c r="C105" s="67">
        <v>1</v>
      </c>
      <c r="D105" s="69">
        <v>44410</v>
      </c>
      <c r="E105" s="77">
        <v>27.75</v>
      </c>
      <c r="F105" s="77">
        <f t="shared" si="4"/>
        <v>0</v>
      </c>
      <c r="G105" s="75"/>
      <c r="H105" s="16"/>
      <c r="I105" s="16"/>
      <c r="J105" s="175"/>
      <c r="K105" s="16"/>
      <c r="L105" s="40"/>
      <c r="M105" s="40"/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0"/>
      <c r="AK105" s="40"/>
      <c r="AL105" s="40"/>
      <c r="AM105" s="40"/>
      <c r="AN105" s="40"/>
      <c r="AO105" s="40"/>
      <c r="AP105" s="40"/>
      <c r="AQ105" s="40"/>
      <c r="AR105" s="40"/>
      <c r="AS105" s="40"/>
      <c r="AT105" s="40"/>
      <c r="AU105" s="40"/>
      <c r="AV105" s="40"/>
      <c r="AW105" s="40"/>
      <c r="AX105" s="40"/>
      <c r="AY105" s="40"/>
      <c r="AZ105" s="40"/>
      <c r="BA105" s="40"/>
      <c r="BB105" s="40"/>
      <c r="BC105" s="40"/>
      <c r="BD105" s="40"/>
      <c r="BE105" s="40"/>
      <c r="BF105" s="40"/>
      <c r="BG105" s="40"/>
      <c r="BH105" s="40"/>
      <c r="BI105" s="40"/>
      <c r="BJ105" s="40"/>
      <c r="BK105" s="40"/>
      <c r="BL105" s="40"/>
      <c r="BM105" s="40"/>
      <c r="BN105" s="40"/>
      <c r="BO105" s="40"/>
      <c r="BP105" s="40"/>
      <c r="BQ105" s="40"/>
      <c r="BR105" s="40"/>
      <c r="BS105" s="40"/>
      <c r="BT105" s="40"/>
      <c r="BU105" s="40"/>
      <c r="BV105" s="40"/>
      <c r="BW105" s="40"/>
      <c r="BX105" s="40"/>
      <c r="BY105" s="40"/>
      <c r="BZ105" s="40"/>
      <c r="CA105" s="40"/>
      <c r="CB105" s="40"/>
      <c r="CC105" s="40"/>
      <c r="CD105" s="40"/>
      <c r="CE105" s="30">
        <f>$B105-SUMIF($G$3:$GS$3,"",$G105:$GS105)</f>
        <v>0</v>
      </c>
      <c r="CF105" s="5"/>
    </row>
    <row r="106" spans="1:84" s="38" customFormat="1" x14ac:dyDescent="0.25">
      <c r="A106" s="45" t="s">
        <v>109</v>
      </c>
      <c r="B106" s="75">
        <f t="shared" si="3"/>
        <v>0</v>
      </c>
      <c r="C106" s="67">
        <v>10</v>
      </c>
      <c r="D106" s="69">
        <v>44333</v>
      </c>
      <c r="E106" s="77">
        <v>25.09</v>
      </c>
      <c r="F106" s="77">
        <f t="shared" si="4"/>
        <v>0</v>
      </c>
      <c r="G106" s="75"/>
      <c r="H106" s="16"/>
      <c r="I106" s="16"/>
      <c r="J106" s="175"/>
      <c r="K106" s="16"/>
      <c r="L106" s="40"/>
      <c r="M106" s="40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0"/>
      <c r="AK106" s="40"/>
      <c r="AL106" s="40"/>
      <c r="AM106" s="40"/>
      <c r="AN106" s="40"/>
      <c r="AO106" s="40"/>
      <c r="AP106" s="40"/>
      <c r="AQ106" s="40"/>
      <c r="AR106" s="40"/>
      <c r="AS106" s="40"/>
      <c r="AT106" s="40"/>
      <c r="AU106" s="40"/>
      <c r="AV106" s="40"/>
      <c r="AW106" s="40"/>
      <c r="AX106" s="40"/>
      <c r="AY106" s="40"/>
      <c r="AZ106" s="40"/>
      <c r="BA106" s="40"/>
      <c r="BB106" s="40"/>
      <c r="BC106" s="40"/>
      <c r="BD106" s="40"/>
      <c r="BE106" s="40"/>
      <c r="BF106" s="40"/>
      <c r="BG106" s="40"/>
      <c r="BH106" s="40"/>
      <c r="BI106" s="40"/>
      <c r="BJ106" s="40"/>
      <c r="BK106" s="40"/>
      <c r="BL106" s="40"/>
      <c r="BM106" s="40"/>
      <c r="BN106" s="40"/>
      <c r="BO106" s="40"/>
      <c r="BP106" s="40"/>
      <c r="BQ106" s="40"/>
      <c r="BR106" s="40"/>
      <c r="BS106" s="40"/>
      <c r="BT106" s="40"/>
      <c r="BU106" s="40"/>
      <c r="BV106" s="40"/>
      <c r="BW106" s="40"/>
      <c r="BX106" s="40"/>
      <c r="BY106" s="40"/>
      <c r="BZ106" s="40"/>
      <c r="CA106" s="40"/>
      <c r="CB106" s="40"/>
      <c r="CC106" s="40"/>
      <c r="CD106" s="40"/>
      <c r="CE106" s="30">
        <f>$B106-SUMIF($G$3:$GS$3,"",$G106:$GS106)</f>
        <v>0</v>
      </c>
      <c r="CF106" s="5"/>
    </row>
    <row r="107" spans="1:84" s="38" customFormat="1" x14ac:dyDescent="0.25">
      <c r="A107" s="45" t="s">
        <v>181</v>
      </c>
      <c r="B107" s="75">
        <f t="shared" si="3"/>
        <v>2</v>
      </c>
      <c r="C107" s="67">
        <v>1</v>
      </c>
      <c r="D107" s="69">
        <v>44585</v>
      </c>
      <c r="E107" s="77">
        <v>21.22</v>
      </c>
      <c r="F107" s="77">
        <f t="shared" si="4"/>
        <v>42.44</v>
      </c>
      <c r="G107" s="75">
        <v>2</v>
      </c>
      <c r="H107" s="16"/>
      <c r="I107" s="16"/>
      <c r="J107" s="175"/>
      <c r="K107" s="16"/>
      <c r="L107" s="40"/>
      <c r="M107" s="40"/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40"/>
      <c r="Y107" s="40">
        <v>2</v>
      </c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0"/>
      <c r="AK107" s="40"/>
      <c r="AL107" s="40"/>
      <c r="AM107" s="40"/>
      <c r="AN107" s="40"/>
      <c r="AO107" s="40"/>
      <c r="AP107" s="40"/>
      <c r="AQ107" s="40"/>
      <c r="AR107" s="40"/>
      <c r="AS107" s="40"/>
      <c r="AT107" s="40"/>
      <c r="AU107" s="40"/>
      <c r="AV107" s="40"/>
      <c r="AW107" s="40"/>
      <c r="AX107" s="40"/>
      <c r="AY107" s="40"/>
      <c r="AZ107" s="40"/>
      <c r="BA107" s="40"/>
      <c r="BB107" s="40"/>
      <c r="BC107" s="40"/>
      <c r="BD107" s="40"/>
      <c r="BE107" s="40"/>
      <c r="BF107" s="40"/>
      <c r="BG107" s="40"/>
      <c r="BH107" s="40"/>
      <c r="BI107" s="40"/>
      <c r="BJ107" s="40"/>
      <c r="BK107" s="40"/>
      <c r="BL107" s="40"/>
      <c r="BM107" s="40"/>
      <c r="BN107" s="40"/>
      <c r="BO107" s="40"/>
      <c r="BP107" s="40"/>
      <c r="BQ107" s="40"/>
      <c r="BR107" s="40"/>
      <c r="BS107" s="40"/>
      <c r="BT107" s="40"/>
      <c r="BU107" s="40"/>
      <c r="BV107" s="40"/>
      <c r="BW107" s="40"/>
      <c r="BX107" s="40"/>
      <c r="BY107" s="40"/>
      <c r="BZ107" s="40"/>
      <c r="CA107" s="40"/>
      <c r="CB107" s="40"/>
      <c r="CC107" s="40"/>
      <c r="CD107" s="40"/>
      <c r="CE107" s="30">
        <f>$B107-SUMIF($G$3:$GS$3,"",$G107:$GS107)</f>
        <v>0</v>
      </c>
      <c r="CF107" s="5"/>
    </row>
    <row r="108" spans="1:84" s="38" customFormat="1" x14ac:dyDescent="0.25">
      <c r="A108" s="45" t="s">
        <v>270</v>
      </c>
      <c r="B108" s="75">
        <f t="shared" si="3"/>
        <v>180</v>
      </c>
      <c r="C108" s="67">
        <v>10</v>
      </c>
      <c r="D108" s="70">
        <v>44593</v>
      </c>
      <c r="E108" s="77">
        <v>20.85</v>
      </c>
      <c r="F108" s="77">
        <f t="shared" si="4"/>
        <v>3753.0000000000005</v>
      </c>
      <c r="G108" s="75">
        <v>60</v>
      </c>
      <c r="H108" s="16"/>
      <c r="I108" s="16"/>
      <c r="J108" s="175"/>
      <c r="K108" s="16"/>
      <c r="L108" s="40"/>
      <c r="M108" s="40"/>
      <c r="N108" s="40"/>
      <c r="O108" s="40"/>
      <c r="P108" s="40"/>
      <c r="Q108" s="40">
        <v>60</v>
      </c>
      <c r="R108" s="40">
        <v>180</v>
      </c>
      <c r="S108" s="40"/>
      <c r="T108" s="40"/>
      <c r="U108" s="40"/>
      <c r="V108" s="40"/>
      <c r="W108" s="40"/>
      <c r="X108" s="40"/>
      <c r="Y108" s="40"/>
      <c r="Z108" s="40"/>
      <c r="AA108" s="40"/>
      <c r="AB108" s="40"/>
      <c r="AC108" s="40"/>
      <c r="AD108" s="40"/>
      <c r="AE108" s="40"/>
      <c r="AF108" s="40"/>
      <c r="AG108" s="40"/>
      <c r="AH108" s="40"/>
      <c r="AI108" s="40"/>
      <c r="AJ108" s="40">
        <v>1</v>
      </c>
      <c r="AK108" s="40"/>
      <c r="AL108" s="40"/>
      <c r="AM108" s="40"/>
      <c r="AN108" s="40"/>
      <c r="AO108" s="40"/>
      <c r="AP108" s="40"/>
      <c r="AQ108" s="40"/>
      <c r="AR108" s="40"/>
      <c r="AS108" s="40"/>
      <c r="AT108" s="40"/>
      <c r="AU108" s="40"/>
      <c r="AV108" s="40"/>
      <c r="AW108" s="40"/>
      <c r="AX108" s="40"/>
      <c r="AY108" s="40"/>
      <c r="AZ108" s="40"/>
      <c r="BA108" s="40"/>
      <c r="BB108" s="40"/>
      <c r="BC108" s="40"/>
      <c r="BD108" s="40">
        <v>2</v>
      </c>
      <c r="BE108" s="40">
        <v>180</v>
      </c>
      <c r="BF108" s="40"/>
      <c r="BG108" s="40"/>
      <c r="BH108" s="40"/>
      <c r="BI108" s="40"/>
      <c r="BJ108" s="40"/>
      <c r="BK108" s="40"/>
      <c r="BL108" s="40"/>
      <c r="BM108" s="40"/>
      <c r="BN108" s="40"/>
      <c r="BO108" s="40"/>
      <c r="BP108" s="40"/>
      <c r="BQ108" s="40"/>
      <c r="BR108" s="40"/>
      <c r="BS108" s="40"/>
      <c r="BT108" s="40"/>
      <c r="BU108" s="40"/>
      <c r="BV108" s="40"/>
      <c r="BW108" s="40"/>
      <c r="BX108" s="40"/>
      <c r="BY108" s="40"/>
      <c r="BZ108" s="40">
        <v>1</v>
      </c>
      <c r="CA108" s="40"/>
      <c r="CB108" s="40"/>
      <c r="CC108" s="40"/>
      <c r="CD108" s="40"/>
      <c r="CE108" s="30">
        <f>$B108-SUMIF($G$3:$GS$3,"",$G108:$GS108)</f>
        <v>0</v>
      </c>
      <c r="CF108" s="5"/>
    </row>
    <row r="109" spans="1:84" s="38" customFormat="1" x14ac:dyDescent="0.25">
      <c r="A109" s="45" t="s">
        <v>270</v>
      </c>
      <c r="B109" s="75">
        <f t="shared" si="3"/>
        <v>220</v>
      </c>
      <c r="C109" s="67">
        <v>10</v>
      </c>
      <c r="D109" s="70">
        <v>44585</v>
      </c>
      <c r="E109" s="77">
        <v>21.35</v>
      </c>
      <c r="F109" s="77">
        <f t="shared" si="4"/>
        <v>4697</v>
      </c>
      <c r="G109" s="75">
        <v>40</v>
      </c>
      <c r="H109" s="16"/>
      <c r="I109" s="16"/>
      <c r="J109" s="175"/>
      <c r="K109" s="16"/>
      <c r="L109" s="40"/>
      <c r="M109" s="40"/>
      <c r="N109" s="40"/>
      <c r="O109" s="40"/>
      <c r="P109" s="40"/>
      <c r="Q109" s="40">
        <v>50</v>
      </c>
      <c r="R109" s="40"/>
      <c r="S109" s="40">
        <v>30</v>
      </c>
      <c r="T109" s="40"/>
      <c r="U109" s="40"/>
      <c r="V109" s="40"/>
      <c r="W109" s="40"/>
      <c r="X109" s="40"/>
      <c r="Y109" s="40"/>
      <c r="Z109" s="40"/>
      <c r="AA109" s="40">
        <v>10</v>
      </c>
      <c r="AB109" s="40"/>
      <c r="AC109" s="40"/>
      <c r="AD109" s="40"/>
      <c r="AE109" s="40"/>
      <c r="AF109" s="40"/>
      <c r="AG109" s="40"/>
      <c r="AH109" s="40"/>
      <c r="AI109" s="40"/>
      <c r="AJ109" s="40"/>
      <c r="AK109" s="40"/>
      <c r="AL109" s="40"/>
      <c r="AM109" s="40"/>
      <c r="AN109" s="40"/>
      <c r="AO109" s="40"/>
      <c r="AP109" s="40"/>
      <c r="AQ109" s="40"/>
      <c r="AR109" s="40"/>
      <c r="AS109" s="40"/>
      <c r="AT109" s="40"/>
      <c r="AU109" s="40"/>
      <c r="AV109" s="40"/>
      <c r="AW109" s="40">
        <v>50</v>
      </c>
      <c r="AX109" s="40"/>
      <c r="AY109" s="40"/>
      <c r="AZ109" s="40"/>
      <c r="BA109" s="40"/>
      <c r="BB109" s="40"/>
      <c r="BC109" s="40"/>
      <c r="BD109" s="40">
        <v>180</v>
      </c>
      <c r="BE109" s="40"/>
      <c r="BF109" s="40"/>
      <c r="BG109" s="40"/>
      <c r="BH109" s="40"/>
      <c r="BI109" s="40"/>
      <c r="BJ109" s="40"/>
      <c r="BK109" s="40"/>
      <c r="BL109" s="40"/>
      <c r="BM109" s="40"/>
      <c r="BN109" s="40"/>
      <c r="BO109" s="40"/>
      <c r="BP109" s="40"/>
      <c r="BQ109" s="40"/>
      <c r="BR109" s="40"/>
      <c r="BS109" s="40"/>
      <c r="BT109" s="40"/>
      <c r="BU109" s="40"/>
      <c r="BV109" s="40"/>
      <c r="BW109" s="40"/>
      <c r="BX109" s="40"/>
      <c r="BY109" s="40"/>
      <c r="BZ109" s="40"/>
      <c r="CA109" s="40"/>
      <c r="CB109" s="40"/>
      <c r="CC109" s="40"/>
      <c r="CD109" s="40"/>
      <c r="CE109" s="30">
        <f>$B109-SUMIF($G$3:$GS$3,"",$G109:$GS109)</f>
        <v>180</v>
      </c>
      <c r="CF109" s="5"/>
    </row>
    <row r="110" spans="1:84" s="38" customFormat="1" x14ac:dyDescent="0.25">
      <c r="A110" s="45" t="s">
        <v>385</v>
      </c>
      <c r="B110" s="75">
        <f t="shared" si="3"/>
        <v>0</v>
      </c>
      <c r="C110" s="67">
        <v>1</v>
      </c>
      <c r="D110" s="70">
        <v>44319</v>
      </c>
      <c r="E110" s="77">
        <v>28.41</v>
      </c>
      <c r="F110" s="77">
        <f t="shared" si="4"/>
        <v>0</v>
      </c>
      <c r="G110" s="75"/>
      <c r="H110" s="16"/>
      <c r="I110" s="16"/>
      <c r="J110" s="175"/>
      <c r="K110" s="16"/>
      <c r="L110" s="40"/>
      <c r="M110" s="40"/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40"/>
      <c r="Y110" s="40"/>
      <c r="Z110" s="40"/>
      <c r="AA110" s="40"/>
      <c r="AB110" s="40"/>
      <c r="AC110" s="40"/>
      <c r="AD110" s="40"/>
      <c r="AE110" s="40"/>
      <c r="AF110" s="40"/>
      <c r="AG110" s="40"/>
      <c r="AH110" s="40"/>
      <c r="AI110" s="40"/>
      <c r="AJ110" s="40"/>
      <c r="AK110" s="40"/>
      <c r="AL110" s="40"/>
      <c r="AM110" s="40"/>
      <c r="AN110" s="40"/>
      <c r="AO110" s="40"/>
      <c r="AP110" s="40"/>
      <c r="AQ110" s="40"/>
      <c r="AR110" s="40"/>
      <c r="AS110" s="40"/>
      <c r="AT110" s="40"/>
      <c r="AU110" s="40"/>
      <c r="AV110" s="40"/>
      <c r="AW110" s="40"/>
      <c r="AX110" s="40"/>
      <c r="AY110" s="40"/>
      <c r="AZ110" s="40"/>
      <c r="BA110" s="40"/>
      <c r="BB110" s="40"/>
      <c r="BC110" s="40"/>
      <c r="BD110" s="40"/>
      <c r="BE110" s="40"/>
      <c r="BF110" s="40"/>
      <c r="BG110" s="40"/>
      <c r="BH110" s="40"/>
      <c r="BI110" s="40"/>
      <c r="BJ110" s="40"/>
      <c r="BK110" s="40"/>
      <c r="BL110" s="40"/>
      <c r="BM110" s="40"/>
      <c r="BN110" s="40"/>
      <c r="BO110" s="40"/>
      <c r="BP110" s="40"/>
      <c r="BQ110" s="40"/>
      <c r="BR110" s="40"/>
      <c r="BS110" s="40"/>
      <c r="BT110" s="40"/>
      <c r="BU110" s="40"/>
      <c r="BV110" s="40"/>
      <c r="BW110" s="40"/>
      <c r="BX110" s="40"/>
      <c r="BY110" s="40"/>
      <c r="BZ110" s="40"/>
      <c r="CA110" s="40"/>
      <c r="CB110" s="40"/>
      <c r="CC110" s="40"/>
      <c r="CD110" s="40"/>
      <c r="CE110" s="30">
        <f>$B110-SUMIF($G$3:$GS$3,"",$G110:$GS110)</f>
        <v>0</v>
      </c>
      <c r="CF110" s="5"/>
    </row>
    <row r="111" spans="1:84" s="38" customFormat="1" x14ac:dyDescent="0.25">
      <c r="A111" s="45" t="s">
        <v>385</v>
      </c>
      <c r="B111" s="75">
        <f t="shared" si="3"/>
        <v>0</v>
      </c>
      <c r="C111" s="67">
        <v>10</v>
      </c>
      <c r="D111" s="70">
        <v>44319</v>
      </c>
      <c r="E111" s="77">
        <v>25.79</v>
      </c>
      <c r="F111" s="77">
        <f t="shared" si="4"/>
        <v>0</v>
      </c>
      <c r="G111" s="75"/>
      <c r="H111" s="16"/>
      <c r="I111" s="16"/>
      <c r="J111" s="175"/>
      <c r="K111" s="16"/>
      <c r="L111" s="40"/>
      <c r="M111" s="40"/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40"/>
      <c r="Y111" s="40"/>
      <c r="Z111" s="40"/>
      <c r="AA111" s="40"/>
      <c r="AB111" s="40"/>
      <c r="AC111" s="40"/>
      <c r="AD111" s="40"/>
      <c r="AE111" s="40"/>
      <c r="AF111" s="40"/>
      <c r="AG111" s="40"/>
      <c r="AH111" s="40"/>
      <c r="AI111" s="40"/>
      <c r="AJ111" s="40"/>
      <c r="AK111" s="40"/>
      <c r="AL111" s="40"/>
      <c r="AM111" s="40"/>
      <c r="AN111" s="40"/>
      <c r="AO111" s="40"/>
      <c r="AP111" s="40"/>
      <c r="AQ111" s="40"/>
      <c r="AR111" s="40"/>
      <c r="AS111" s="40"/>
      <c r="AT111" s="40"/>
      <c r="AU111" s="40"/>
      <c r="AV111" s="40"/>
      <c r="AW111" s="40"/>
      <c r="AX111" s="40"/>
      <c r="AY111" s="40"/>
      <c r="AZ111" s="40"/>
      <c r="BA111" s="40"/>
      <c r="BB111" s="40"/>
      <c r="BC111" s="40"/>
      <c r="BD111" s="40"/>
      <c r="BE111" s="40"/>
      <c r="BF111" s="40"/>
      <c r="BG111" s="40"/>
      <c r="BH111" s="40"/>
      <c r="BI111" s="40"/>
      <c r="BJ111" s="40"/>
      <c r="BK111" s="40"/>
      <c r="BL111" s="40"/>
      <c r="BM111" s="40"/>
      <c r="BN111" s="40"/>
      <c r="BO111" s="40"/>
      <c r="BP111" s="40"/>
      <c r="BQ111" s="40"/>
      <c r="BR111" s="40"/>
      <c r="BS111" s="40"/>
      <c r="BT111" s="40"/>
      <c r="BU111" s="40"/>
      <c r="BV111" s="40"/>
      <c r="BW111" s="40"/>
      <c r="BX111" s="40"/>
      <c r="BY111" s="40"/>
      <c r="BZ111" s="40"/>
      <c r="CA111" s="40"/>
      <c r="CB111" s="40"/>
      <c r="CC111" s="40"/>
      <c r="CD111" s="40"/>
      <c r="CE111" s="30">
        <f>$B111-SUMIF($G$3:$GS$3,"",$G111:$GS111)</f>
        <v>0</v>
      </c>
      <c r="CF111" s="5"/>
    </row>
    <row r="112" spans="1:84" s="38" customFormat="1" x14ac:dyDescent="0.25">
      <c r="A112" s="45" t="s">
        <v>148</v>
      </c>
      <c r="B112" s="75">
        <f t="shared" si="3"/>
        <v>0</v>
      </c>
      <c r="C112" s="67">
        <v>10</v>
      </c>
      <c r="D112" s="70">
        <v>44585</v>
      </c>
      <c r="E112" s="77">
        <v>21.58</v>
      </c>
      <c r="F112" s="77">
        <f t="shared" si="4"/>
        <v>0</v>
      </c>
      <c r="G112" s="75"/>
      <c r="H112" s="16"/>
      <c r="I112" s="16"/>
      <c r="J112" s="175"/>
      <c r="K112" s="16"/>
      <c r="L112" s="40"/>
      <c r="M112" s="40"/>
      <c r="N112" s="40">
        <v>10</v>
      </c>
      <c r="O112" s="40"/>
      <c r="P112" s="40"/>
      <c r="Q112" s="40"/>
      <c r="R112" s="40"/>
      <c r="S112" s="40"/>
      <c r="T112" s="40"/>
      <c r="U112" s="40"/>
      <c r="V112" s="40"/>
      <c r="W112" s="40"/>
      <c r="X112" s="40"/>
      <c r="Y112" s="40"/>
      <c r="Z112" s="40"/>
      <c r="AA112" s="40"/>
      <c r="AB112" s="40"/>
      <c r="AC112" s="40"/>
      <c r="AD112" s="40"/>
      <c r="AE112" s="40"/>
      <c r="AF112" s="40"/>
      <c r="AG112" s="40"/>
      <c r="AH112" s="40"/>
      <c r="AI112" s="40"/>
      <c r="AJ112" s="40"/>
      <c r="AK112" s="40"/>
      <c r="AL112" s="40"/>
      <c r="AM112" s="40"/>
      <c r="AN112" s="40"/>
      <c r="AO112" s="40"/>
      <c r="AP112" s="40"/>
      <c r="AQ112" s="40"/>
      <c r="AR112" s="40"/>
      <c r="AS112" s="40"/>
      <c r="AT112" s="40"/>
      <c r="AU112" s="40"/>
      <c r="AV112" s="40"/>
      <c r="AW112" s="40">
        <v>10</v>
      </c>
      <c r="AX112" s="40"/>
      <c r="AY112" s="40"/>
      <c r="AZ112" s="40"/>
      <c r="BA112" s="40"/>
      <c r="BB112" s="40"/>
      <c r="BC112" s="40"/>
      <c r="BD112" s="40">
        <v>10</v>
      </c>
      <c r="BE112" s="40"/>
      <c r="BF112" s="40"/>
      <c r="BG112" s="40"/>
      <c r="BH112" s="40"/>
      <c r="BI112" s="40"/>
      <c r="BJ112" s="40"/>
      <c r="BK112" s="40"/>
      <c r="BL112" s="40"/>
      <c r="BM112" s="40"/>
      <c r="BN112" s="40"/>
      <c r="BO112" s="40"/>
      <c r="BP112" s="40"/>
      <c r="BQ112" s="40"/>
      <c r="BR112" s="40"/>
      <c r="BS112" s="40"/>
      <c r="BT112" s="40"/>
      <c r="BU112" s="40"/>
      <c r="BV112" s="40"/>
      <c r="BW112" s="40"/>
      <c r="BX112" s="40"/>
      <c r="BY112" s="40"/>
      <c r="BZ112" s="40"/>
      <c r="CA112" s="40"/>
      <c r="CB112" s="40"/>
      <c r="CC112" s="40">
        <v>10</v>
      </c>
      <c r="CD112" s="40"/>
      <c r="CE112" s="30">
        <f>$B112-SUMIF($G$3:$GS$3,"",$G112:$GS112)</f>
        <v>0</v>
      </c>
      <c r="CF112" s="5"/>
    </row>
    <row r="113" spans="1:84" s="38" customFormat="1" x14ac:dyDescent="0.25">
      <c r="A113" s="45" t="s">
        <v>49</v>
      </c>
      <c r="B113" s="75">
        <f t="shared" si="3"/>
        <v>110</v>
      </c>
      <c r="C113" s="67">
        <v>10</v>
      </c>
      <c r="D113" s="70">
        <v>44564</v>
      </c>
      <c r="E113" s="77">
        <v>22.37</v>
      </c>
      <c r="F113" s="77">
        <f t="shared" si="4"/>
        <v>2460.7000000000003</v>
      </c>
      <c r="G113" s="75">
        <v>30</v>
      </c>
      <c r="H113" s="16"/>
      <c r="I113" s="16"/>
      <c r="J113" s="175"/>
      <c r="K113" s="16"/>
      <c r="L113" s="40"/>
      <c r="M113" s="40"/>
      <c r="N113" s="40"/>
      <c r="O113" s="40"/>
      <c r="P113" s="40">
        <v>110</v>
      </c>
      <c r="Q113" s="40"/>
      <c r="R113" s="40"/>
      <c r="S113" s="40"/>
      <c r="T113" s="40"/>
      <c r="U113" s="40"/>
      <c r="V113" s="40"/>
      <c r="W113" s="40"/>
      <c r="X113" s="40"/>
      <c r="Y113" s="40"/>
      <c r="Z113" s="40"/>
      <c r="AA113" s="40"/>
      <c r="AB113" s="40"/>
      <c r="AC113" s="40"/>
      <c r="AD113" s="40"/>
      <c r="AE113" s="40"/>
      <c r="AF113" s="40"/>
      <c r="AG113" s="40"/>
      <c r="AH113" s="40"/>
      <c r="AI113" s="40"/>
      <c r="AJ113" s="40"/>
      <c r="AK113" s="40"/>
      <c r="AL113" s="40"/>
      <c r="AM113" s="40"/>
      <c r="AN113" s="40"/>
      <c r="AO113" s="40"/>
      <c r="AP113" s="40"/>
      <c r="AQ113" s="40"/>
      <c r="AR113" s="40"/>
      <c r="AS113" s="40"/>
      <c r="AT113" s="40"/>
      <c r="AU113" s="40"/>
      <c r="AV113" s="40"/>
      <c r="AW113" s="40">
        <v>80</v>
      </c>
      <c r="AX113" s="40"/>
      <c r="AY113" s="40"/>
      <c r="AZ113" s="40"/>
      <c r="BA113" s="40"/>
      <c r="BB113" s="40"/>
      <c r="BC113" s="40"/>
      <c r="BD113" s="40"/>
      <c r="BE113" s="40"/>
      <c r="BF113" s="40"/>
      <c r="BG113" s="40"/>
      <c r="BH113" s="40"/>
      <c r="BI113" s="40"/>
      <c r="BJ113" s="40"/>
      <c r="BK113" s="40"/>
      <c r="BL113" s="40"/>
      <c r="BM113" s="40"/>
      <c r="BN113" s="40"/>
      <c r="BO113" s="40"/>
      <c r="BP113" s="40"/>
      <c r="BQ113" s="40"/>
      <c r="BR113" s="40"/>
      <c r="BS113" s="40"/>
      <c r="BT113" s="40"/>
      <c r="BU113" s="40"/>
      <c r="BV113" s="40"/>
      <c r="BW113" s="40"/>
      <c r="BX113" s="40"/>
      <c r="BY113" s="40"/>
      <c r="BZ113" s="40"/>
      <c r="CA113" s="40"/>
      <c r="CB113" s="40"/>
      <c r="CC113" s="40"/>
      <c r="CD113" s="40"/>
      <c r="CE113" s="30">
        <f>$B113-SUMIF($G$3:$GS$3,"",$G113:$GS113)</f>
        <v>0</v>
      </c>
      <c r="CF113" s="5"/>
    </row>
    <row r="114" spans="1:84" s="38" customFormat="1" x14ac:dyDescent="0.25">
      <c r="A114" s="45" t="s">
        <v>49</v>
      </c>
      <c r="B114" s="75">
        <f t="shared" si="3"/>
        <v>10</v>
      </c>
      <c r="C114" s="67">
        <v>10</v>
      </c>
      <c r="D114" s="70">
        <v>44431</v>
      </c>
      <c r="E114" s="77">
        <v>22.04</v>
      </c>
      <c r="F114" s="77">
        <f t="shared" si="4"/>
        <v>220.39999999999998</v>
      </c>
      <c r="G114" s="75">
        <v>10</v>
      </c>
      <c r="H114" s="16"/>
      <c r="I114" s="16"/>
      <c r="J114" s="175"/>
      <c r="K114" s="16"/>
      <c r="L114" s="40"/>
      <c r="M114" s="40"/>
      <c r="N114" s="40"/>
      <c r="O114" s="40"/>
      <c r="P114" s="40">
        <v>10</v>
      </c>
      <c r="Q114" s="40"/>
      <c r="R114" s="40"/>
      <c r="S114" s="40"/>
      <c r="T114" s="40"/>
      <c r="U114" s="40"/>
      <c r="V114" s="40"/>
      <c r="W114" s="40"/>
      <c r="X114" s="40"/>
      <c r="Y114" s="40"/>
      <c r="Z114" s="40"/>
      <c r="AA114" s="40"/>
      <c r="AB114" s="40"/>
      <c r="AC114" s="40"/>
      <c r="AD114" s="40"/>
      <c r="AE114" s="40"/>
      <c r="AF114" s="40"/>
      <c r="AG114" s="40"/>
      <c r="AH114" s="40"/>
      <c r="AI114" s="40"/>
      <c r="AJ114" s="40"/>
      <c r="AK114" s="40"/>
      <c r="AL114" s="40"/>
      <c r="AM114" s="40"/>
      <c r="AN114" s="40"/>
      <c r="AO114" s="40"/>
      <c r="AP114" s="40"/>
      <c r="AQ114" s="40"/>
      <c r="AR114" s="40"/>
      <c r="AS114" s="40"/>
      <c r="AT114" s="40"/>
      <c r="AU114" s="40"/>
      <c r="AV114" s="40"/>
      <c r="AW114" s="40"/>
      <c r="AX114" s="40"/>
      <c r="AY114" s="40"/>
      <c r="AZ114" s="40"/>
      <c r="BA114" s="40"/>
      <c r="BB114" s="40"/>
      <c r="BC114" s="40"/>
      <c r="BD114" s="40"/>
      <c r="BE114" s="40"/>
      <c r="BF114" s="40"/>
      <c r="BG114" s="40"/>
      <c r="BH114" s="40"/>
      <c r="BI114" s="40"/>
      <c r="BJ114" s="40"/>
      <c r="BK114" s="40"/>
      <c r="BL114" s="40"/>
      <c r="BM114" s="40"/>
      <c r="BN114" s="40"/>
      <c r="BO114" s="40"/>
      <c r="BP114" s="40"/>
      <c r="BQ114" s="40"/>
      <c r="BR114" s="40"/>
      <c r="BS114" s="40"/>
      <c r="BT114" s="40"/>
      <c r="BU114" s="40"/>
      <c r="BV114" s="40"/>
      <c r="BW114" s="40"/>
      <c r="BX114" s="40"/>
      <c r="BY114" s="40"/>
      <c r="BZ114" s="40"/>
      <c r="CA114" s="40"/>
      <c r="CB114" s="40"/>
      <c r="CC114" s="40"/>
      <c r="CD114" s="40"/>
      <c r="CE114" s="30">
        <f>$B114-SUMIF($G$3:$GS$3,"",$G114:$GS114)</f>
        <v>0</v>
      </c>
      <c r="CF114" s="5"/>
    </row>
    <row r="115" spans="1:84" s="38" customFormat="1" x14ac:dyDescent="0.25">
      <c r="A115" s="45" t="s">
        <v>49</v>
      </c>
      <c r="B115" s="75">
        <f t="shared" si="3"/>
        <v>30</v>
      </c>
      <c r="C115" s="67">
        <v>10</v>
      </c>
      <c r="D115" s="70">
        <v>44522</v>
      </c>
      <c r="E115" s="77">
        <v>22.22</v>
      </c>
      <c r="F115" s="77">
        <f t="shared" si="4"/>
        <v>666.59999999999991</v>
      </c>
      <c r="G115" s="75">
        <v>30</v>
      </c>
      <c r="H115" s="16"/>
      <c r="I115" s="16"/>
      <c r="J115" s="175"/>
      <c r="K115" s="16"/>
      <c r="L115" s="40"/>
      <c r="M115" s="40"/>
      <c r="N115" s="40"/>
      <c r="O115" s="40"/>
      <c r="P115" s="40">
        <v>30</v>
      </c>
      <c r="Q115" s="40"/>
      <c r="R115" s="40"/>
      <c r="S115" s="40"/>
      <c r="T115" s="40"/>
      <c r="U115" s="40"/>
      <c r="V115" s="40"/>
      <c r="W115" s="40"/>
      <c r="X115" s="40"/>
      <c r="Y115" s="40"/>
      <c r="Z115" s="40"/>
      <c r="AA115" s="40"/>
      <c r="AB115" s="40"/>
      <c r="AC115" s="40"/>
      <c r="AD115" s="40"/>
      <c r="AE115" s="40"/>
      <c r="AF115" s="40"/>
      <c r="AG115" s="40"/>
      <c r="AH115" s="40"/>
      <c r="AI115" s="40"/>
      <c r="AJ115" s="40"/>
      <c r="AK115" s="40"/>
      <c r="AL115" s="40"/>
      <c r="AM115" s="40"/>
      <c r="AN115" s="40"/>
      <c r="AO115" s="40"/>
      <c r="AP115" s="40"/>
      <c r="AQ115" s="40"/>
      <c r="AR115" s="40"/>
      <c r="AS115" s="40"/>
      <c r="AT115" s="40"/>
      <c r="AU115" s="40"/>
      <c r="AV115" s="40"/>
      <c r="AW115" s="40"/>
      <c r="AX115" s="40"/>
      <c r="AY115" s="40"/>
      <c r="AZ115" s="40"/>
      <c r="BA115" s="40"/>
      <c r="BB115" s="40"/>
      <c r="BC115" s="40"/>
      <c r="BD115" s="40"/>
      <c r="BE115" s="40"/>
      <c r="BF115" s="40"/>
      <c r="BG115" s="40"/>
      <c r="BH115" s="40"/>
      <c r="BI115" s="40"/>
      <c r="BJ115" s="40"/>
      <c r="BK115" s="40"/>
      <c r="BL115" s="40"/>
      <c r="BM115" s="40"/>
      <c r="BN115" s="40"/>
      <c r="BO115" s="40"/>
      <c r="BP115" s="40"/>
      <c r="BQ115" s="40"/>
      <c r="BR115" s="40"/>
      <c r="BS115" s="40"/>
      <c r="BT115" s="40"/>
      <c r="BU115" s="40"/>
      <c r="BV115" s="40"/>
      <c r="BW115" s="40"/>
      <c r="BX115" s="40"/>
      <c r="BY115" s="40"/>
      <c r="BZ115" s="40"/>
      <c r="CA115" s="40"/>
      <c r="CB115" s="40"/>
      <c r="CC115" s="40"/>
      <c r="CD115" s="40"/>
      <c r="CE115" s="30">
        <f>$B115-SUMIF($G$3:$GS$3,"",$G115:$GS115)</f>
        <v>0</v>
      </c>
      <c r="CF115" s="5"/>
    </row>
    <row r="116" spans="1:84" s="38" customFormat="1" x14ac:dyDescent="0.25">
      <c r="A116" s="45" t="s">
        <v>100</v>
      </c>
      <c r="B116" s="75">
        <f t="shared" si="3"/>
        <v>0</v>
      </c>
      <c r="C116" s="67">
        <v>10</v>
      </c>
      <c r="D116" s="69">
        <v>44532</v>
      </c>
      <c r="E116" s="77">
        <v>59.15</v>
      </c>
      <c r="F116" s="77">
        <f t="shared" si="4"/>
        <v>0</v>
      </c>
      <c r="G116" s="75">
        <v>20</v>
      </c>
      <c r="H116" s="16"/>
      <c r="I116" s="16"/>
      <c r="J116" s="175"/>
      <c r="K116" s="16"/>
      <c r="L116" s="40"/>
      <c r="M116" s="40"/>
      <c r="N116" s="40"/>
      <c r="O116" s="40"/>
      <c r="P116" s="40"/>
      <c r="Q116" s="40">
        <v>20</v>
      </c>
      <c r="R116" s="40"/>
      <c r="S116" s="40"/>
      <c r="T116" s="40"/>
      <c r="U116" s="40"/>
      <c r="V116" s="40"/>
      <c r="W116" s="40"/>
      <c r="X116" s="40"/>
      <c r="Y116" s="40"/>
      <c r="Z116" s="40"/>
      <c r="AA116" s="40"/>
      <c r="AB116" s="40"/>
      <c r="AC116" s="40"/>
      <c r="AD116" s="40"/>
      <c r="AE116" s="40"/>
      <c r="AF116" s="40"/>
      <c r="AG116" s="40"/>
      <c r="AH116" s="40"/>
      <c r="AI116" s="40"/>
      <c r="AJ116" s="40"/>
      <c r="AK116" s="40"/>
      <c r="AL116" s="40"/>
      <c r="AM116" s="40"/>
      <c r="AN116" s="40"/>
      <c r="AO116" s="40"/>
      <c r="AP116" s="40"/>
      <c r="AQ116" s="40"/>
      <c r="AR116" s="40"/>
      <c r="AS116" s="40"/>
      <c r="AT116" s="40"/>
      <c r="AU116" s="40"/>
      <c r="AV116" s="40"/>
      <c r="AW116" s="40"/>
      <c r="AX116" s="40"/>
      <c r="AY116" s="40"/>
      <c r="AZ116" s="40"/>
      <c r="BA116" s="40"/>
      <c r="BB116" s="40"/>
      <c r="BC116" s="40"/>
      <c r="BD116" s="40"/>
      <c r="BE116" s="40"/>
      <c r="BF116" s="40"/>
      <c r="BG116" s="40"/>
      <c r="BH116" s="40"/>
      <c r="BI116" s="40"/>
      <c r="BJ116" s="40"/>
      <c r="BK116" s="40"/>
      <c r="BL116" s="40"/>
      <c r="BM116" s="40"/>
      <c r="BN116" s="40"/>
      <c r="BO116" s="40"/>
      <c r="BP116" s="40"/>
      <c r="BQ116" s="40"/>
      <c r="BR116" s="40"/>
      <c r="BS116" s="40"/>
      <c r="BT116" s="40"/>
      <c r="BU116" s="40"/>
      <c r="BV116" s="40"/>
      <c r="BW116" s="40"/>
      <c r="BX116" s="40"/>
      <c r="BY116" s="40"/>
      <c r="BZ116" s="40"/>
      <c r="CA116" s="40"/>
      <c r="CB116" s="40"/>
      <c r="CC116" s="40"/>
      <c r="CD116" s="40"/>
      <c r="CE116" s="30">
        <f>$B116-SUMIF($G$3:$GS$3,"",$G116:$GS116)</f>
        <v>0</v>
      </c>
      <c r="CF116" s="5"/>
    </row>
    <row r="117" spans="1:84" s="38" customFormat="1" x14ac:dyDescent="0.25">
      <c r="A117" s="61" t="s">
        <v>48</v>
      </c>
      <c r="B117" s="75">
        <f t="shared" si="3"/>
        <v>10</v>
      </c>
      <c r="C117" s="67">
        <v>10</v>
      </c>
      <c r="D117" s="69">
        <v>44557</v>
      </c>
      <c r="E117" s="77">
        <v>37.479999999999997</v>
      </c>
      <c r="F117" s="77">
        <f t="shared" si="4"/>
        <v>374.79999999999995</v>
      </c>
      <c r="G117" s="75">
        <v>20</v>
      </c>
      <c r="H117" s="16"/>
      <c r="I117" s="16"/>
      <c r="J117" s="175"/>
      <c r="K117" s="16">
        <v>10</v>
      </c>
      <c r="L117" s="40"/>
      <c r="M117" s="40"/>
      <c r="N117" s="40"/>
      <c r="O117" s="40"/>
      <c r="P117" s="40"/>
      <c r="Q117" s="40"/>
      <c r="R117" s="40"/>
      <c r="S117" s="40"/>
      <c r="T117" s="40"/>
      <c r="U117" s="40"/>
      <c r="V117" s="40"/>
      <c r="W117" s="40"/>
      <c r="X117" s="40"/>
      <c r="Y117" s="40"/>
      <c r="Z117" s="40"/>
      <c r="AA117" s="40"/>
      <c r="AB117" s="40"/>
      <c r="AC117" s="40"/>
      <c r="AD117" s="40"/>
      <c r="AE117" s="40"/>
      <c r="AF117" s="40"/>
      <c r="AG117" s="40"/>
      <c r="AH117" s="40"/>
      <c r="AI117" s="40"/>
      <c r="AJ117" s="40"/>
      <c r="AK117" s="40"/>
      <c r="AL117" s="40"/>
      <c r="AM117" s="40"/>
      <c r="AN117" s="40"/>
      <c r="AO117" s="40"/>
      <c r="AP117" s="40"/>
      <c r="AQ117" s="40"/>
      <c r="AR117" s="40"/>
      <c r="AS117" s="40"/>
      <c r="AT117" s="40"/>
      <c r="AU117" s="40"/>
      <c r="AV117" s="40"/>
      <c r="AW117" s="40"/>
      <c r="AX117" s="40"/>
      <c r="AY117" s="40"/>
      <c r="AZ117" s="40"/>
      <c r="BA117" s="40"/>
      <c r="BB117" s="40"/>
      <c r="BC117" s="40"/>
      <c r="BD117" s="40"/>
      <c r="BE117" s="40"/>
      <c r="BF117" s="40"/>
      <c r="BG117" s="40"/>
      <c r="BH117" s="40"/>
      <c r="BI117" s="40"/>
      <c r="BJ117" s="40"/>
      <c r="BK117" s="40"/>
      <c r="BL117" s="40">
        <v>10</v>
      </c>
      <c r="BM117" s="40"/>
      <c r="BN117" s="40"/>
      <c r="BO117" s="40"/>
      <c r="BP117" s="40"/>
      <c r="BQ117" s="40"/>
      <c r="BR117" s="40"/>
      <c r="BS117" s="40"/>
      <c r="BT117" s="40"/>
      <c r="BU117" s="40"/>
      <c r="BV117" s="40"/>
      <c r="BW117" s="40"/>
      <c r="BX117" s="40"/>
      <c r="BY117" s="40"/>
      <c r="BZ117" s="40"/>
      <c r="CA117" s="40"/>
      <c r="CB117" s="40"/>
      <c r="CC117" s="40"/>
      <c r="CD117" s="40"/>
      <c r="CE117" s="30">
        <f>$B117-SUMIF($G$3:$GS$3,"",$G117:$GS117)</f>
        <v>0</v>
      </c>
      <c r="CF117" s="5"/>
    </row>
    <row r="118" spans="1:84" s="38" customFormat="1" x14ac:dyDescent="0.25">
      <c r="A118" s="61" t="s">
        <v>249</v>
      </c>
      <c r="B118" s="75">
        <f t="shared" si="3"/>
        <v>0</v>
      </c>
      <c r="C118" s="67">
        <v>11</v>
      </c>
      <c r="D118" s="69">
        <v>44557</v>
      </c>
      <c r="E118" s="77">
        <v>28.27</v>
      </c>
      <c r="F118" s="77">
        <f t="shared" si="4"/>
        <v>0</v>
      </c>
      <c r="G118" s="75"/>
      <c r="H118" s="16"/>
      <c r="I118" s="16"/>
      <c r="J118" s="175"/>
      <c r="K118" s="16"/>
      <c r="L118" s="40"/>
      <c r="M118" s="40"/>
      <c r="N118" s="40"/>
      <c r="O118" s="40"/>
      <c r="P118" s="40"/>
      <c r="Q118" s="40"/>
      <c r="R118" s="40"/>
      <c r="S118" s="40"/>
      <c r="T118" s="40"/>
      <c r="U118" s="40"/>
      <c r="V118" s="40"/>
      <c r="W118" s="40"/>
      <c r="X118" s="40"/>
      <c r="Y118" s="40"/>
      <c r="Z118" s="40"/>
      <c r="AA118" s="40"/>
      <c r="AB118" s="40"/>
      <c r="AC118" s="40"/>
      <c r="AD118" s="40"/>
      <c r="AE118" s="40"/>
      <c r="AF118" s="40"/>
      <c r="AG118" s="40"/>
      <c r="AH118" s="40"/>
      <c r="AI118" s="40"/>
      <c r="AJ118" s="40"/>
      <c r="AK118" s="40"/>
      <c r="AL118" s="40"/>
      <c r="AM118" s="40"/>
      <c r="AN118" s="40"/>
      <c r="AO118" s="40"/>
      <c r="AP118" s="40"/>
      <c r="AQ118" s="40"/>
      <c r="AR118" s="40"/>
      <c r="AS118" s="40"/>
      <c r="AT118" s="40"/>
      <c r="AU118" s="40"/>
      <c r="AV118" s="40"/>
      <c r="AW118" s="40"/>
      <c r="AX118" s="40"/>
      <c r="AY118" s="40"/>
      <c r="AZ118" s="40"/>
      <c r="BA118" s="40"/>
      <c r="BB118" s="40"/>
      <c r="BC118" s="40"/>
      <c r="BD118" s="40"/>
      <c r="BE118" s="40"/>
      <c r="BF118" s="40"/>
      <c r="BG118" s="40"/>
      <c r="BH118" s="40"/>
      <c r="BI118" s="40"/>
      <c r="BJ118" s="40"/>
      <c r="BK118" s="40"/>
      <c r="BL118" s="40"/>
      <c r="BM118" s="40"/>
      <c r="BN118" s="40"/>
      <c r="BO118" s="40"/>
      <c r="BP118" s="40"/>
      <c r="BQ118" s="40"/>
      <c r="BR118" s="40"/>
      <c r="BS118" s="40"/>
      <c r="BT118" s="40"/>
      <c r="BU118" s="40"/>
      <c r="BV118" s="40"/>
      <c r="BW118" s="40"/>
      <c r="BX118" s="40"/>
      <c r="BY118" s="40"/>
      <c r="BZ118" s="40"/>
      <c r="CA118" s="40"/>
      <c r="CB118" s="40"/>
      <c r="CC118" s="40"/>
      <c r="CD118" s="40"/>
      <c r="CE118" s="30">
        <f>$B118-SUMIF($G$3:$GS$3,"",$G118:$GS118)</f>
        <v>0</v>
      </c>
      <c r="CF118" s="5"/>
    </row>
    <row r="119" spans="1:84" s="38" customFormat="1" x14ac:dyDescent="0.25">
      <c r="A119" s="45" t="s">
        <v>192</v>
      </c>
      <c r="B119" s="75">
        <f t="shared" si="3"/>
        <v>0</v>
      </c>
      <c r="C119" s="67">
        <v>1</v>
      </c>
      <c r="D119" s="69">
        <v>44445</v>
      </c>
      <c r="E119" s="77">
        <v>22.18</v>
      </c>
      <c r="F119" s="77">
        <f t="shared" si="4"/>
        <v>0</v>
      </c>
      <c r="G119" s="75"/>
      <c r="H119" s="16"/>
      <c r="I119" s="16"/>
      <c r="J119" s="175"/>
      <c r="K119" s="16"/>
      <c r="L119" s="40"/>
      <c r="M119" s="40"/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40"/>
      <c r="Y119" s="40"/>
      <c r="Z119" s="40"/>
      <c r="AA119" s="40"/>
      <c r="AB119" s="40"/>
      <c r="AC119" s="40"/>
      <c r="AD119" s="40"/>
      <c r="AE119" s="40"/>
      <c r="AF119" s="40"/>
      <c r="AG119" s="40"/>
      <c r="AH119" s="40"/>
      <c r="AI119" s="40"/>
      <c r="AJ119" s="40"/>
      <c r="AK119" s="40"/>
      <c r="AL119" s="40"/>
      <c r="AM119" s="40"/>
      <c r="AN119" s="40"/>
      <c r="AO119" s="40"/>
      <c r="AP119" s="40"/>
      <c r="AQ119" s="40"/>
      <c r="AR119" s="40"/>
      <c r="AS119" s="40"/>
      <c r="AT119" s="40"/>
      <c r="AU119" s="40"/>
      <c r="AV119" s="40"/>
      <c r="AW119" s="40"/>
      <c r="AX119" s="40"/>
      <c r="AY119" s="40"/>
      <c r="AZ119" s="40"/>
      <c r="BA119" s="40"/>
      <c r="BB119" s="40"/>
      <c r="BC119" s="40"/>
      <c r="BD119" s="40"/>
      <c r="BE119" s="40"/>
      <c r="BF119" s="40"/>
      <c r="BG119" s="40"/>
      <c r="BH119" s="40"/>
      <c r="BI119" s="40"/>
      <c r="BJ119" s="40"/>
      <c r="BK119" s="40"/>
      <c r="BL119" s="40"/>
      <c r="BM119" s="40"/>
      <c r="BN119" s="40"/>
      <c r="BO119" s="40"/>
      <c r="BP119" s="40"/>
      <c r="BQ119" s="40"/>
      <c r="BR119" s="40"/>
      <c r="BS119" s="40"/>
      <c r="BT119" s="40"/>
      <c r="BU119" s="40"/>
      <c r="BV119" s="40"/>
      <c r="BW119" s="40"/>
      <c r="BX119" s="40"/>
      <c r="BY119" s="40"/>
      <c r="BZ119" s="40"/>
      <c r="CA119" s="40"/>
      <c r="CB119" s="40"/>
      <c r="CC119" s="40"/>
      <c r="CD119" s="40"/>
      <c r="CE119" s="30">
        <f>$B119-SUMIF($G$3:$GS$3,"",$G119:$GS119)</f>
        <v>0</v>
      </c>
      <c r="CF119" s="5"/>
    </row>
    <row r="120" spans="1:84" s="38" customFormat="1" x14ac:dyDescent="0.25">
      <c r="A120" s="45" t="s">
        <v>350</v>
      </c>
      <c r="B120" s="75">
        <f t="shared" si="3"/>
        <v>0</v>
      </c>
      <c r="C120" s="67">
        <v>0.9</v>
      </c>
      <c r="D120" s="69">
        <v>44480</v>
      </c>
      <c r="E120" s="77">
        <v>34.47</v>
      </c>
      <c r="F120" s="77">
        <f t="shared" si="4"/>
        <v>0</v>
      </c>
      <c r="G120" s="75"/>
      <c r="H120" s="16"/>
      <c r="I120" s="16"/>
      <c r="J120" s="175"/>
      <c r="K120" s="16"/>
      <c r="L120" s="40"/>
      <c r="M120" s="40"/>
      <c r="N120" s="40"/>
      <c r="O120" s="40"/>
      <c r="P120" s="40"/>
      <c r="Q120" s="40"/>
      <c r="R120" s="40"/>
      <c r="S120" s="40"/>
      <c r="T120" s="40"/>
      <c r="U120" s="40"/>
      <c r="V120" s="40"/>
      <c r="W120" s="40"/>
      <c r="X120" s="40"/>
      <c r="Y120" s="40"/>
      <c r="Z120" s="40"/>
      <c r="AA120" s="40"/>
      <c r="AB120" s="40"/>
      <c r="AC120" s="40"/>
      <c r="AD120" s="40"/>
      <c r="AE120" s="40"/>
      <c r="AF120" s="40"/>
      <c r="AG120" s="40"/>
      <c r="AH120" s="40"/>
      <c r="AI120" s="40"/>
      <c r="AJ120" s="40"/>
      <c r="AK120" s="40"/>
      <c r="AL120" s="40"/>
      <c r="AM120" s="40"/>
      <c r="AN120" s="40"/>
      <c r="AO120" s="40"/>
      <c r="AP120" s="40"/>
      <c r="AQ120" s="40"/>
      <c r="AR120" s="40"/>
      <c r="AS120" s="40"/>
      <c r="AT120" s="40"/>
      <c r="AU120" s="40"/>
      <c r="AV120" s="40"/>
      <c r="AW120" s="40"/>
      <c r="AX120" s="40"/>
      <c r="AY120" s="40"/>
      <c r="AZ120" s="40"/>
      <c r="BA120" s="40"/>
      <c r="BB120" s="40"/>
      <c r="BC120" s="40"/>
      <c r="BD120" s="40"/>
      <c r="BE120" s="40"/>
      <c r="BF120" s="40"/>
      <c r="BG120" s="40"/>
      <c r="BH120" s="40"/>
      <c r="BI120" s="40"/>
      <c r="BJ120" s="40"/>
      <c r="BK120" s="40"/>
      <c r="BL120" s="40"/>
      <c r="BM120" s="40"/>
      <c r="BN120" s="40"/>
      <c r="BO120" s="40"/>
      <c r="BP120" s="40"/>
      <c r="BQ120" s="40"/>
      <c r="BR120" s="40"/>
      <c r="BS120" s="40"/>
      <c r="BT120" s="40"/>
      <c r="BU120" s="40"/>
      <c r="BV120" s="40"/>
      <c r="BW120" s="40"/>
      <c r="BX120" s="40"/>
      <c r="BY120" s="40"/>
      <c r="BZ120" s="40"/>
      <c r="CA120" s="40"/>
      <c r="CB120" s="40"/>
      <c r="CC120" s="40"/>
      <c r="CD120" s="40"/>
      <c r="CE120" s="30">
        <f>$B120-SUMIF($G$3:$GS$3,"",$G120:$GS120)</f>
        <v>0</v>
      </c>
      <c r="CF120" s="5"/>
    </row>
    <row r="121" spans="1:84" s="38" customFormat="1" x14ac:dyDescent="0.25">
      <c r="A121" s="188" t="s">
        <v>121</v>
      </c>
      <c r="B121" s="75">
        <f t="shared" si="3"/>
        <v>10</v>
      </c>
      <c r="C121" s="67">
        <v>10</v>
      </c>
      <c r="D121" s="69">
        <v>44593</v>
      </c>
      <c r="E121" s="77">
        <v>19.54</v>
      </c>
      <c r="F121" s="77">
        <f t="shared" si="4"/>
        <v>195.39999999999998</v>
      </c>
      <c r="G121" s="75"/>
      <c r="H121" s="16"/>
      <c r="I121" s="16"/>
      <c r="J121" s="175"/>
      <c r="K121" s="16"/>
      <c r="L121" s="40"/>
      <c r="M121" s="40"/>
      <c r="N121" s="40"/>
      <c r="O121" s="40"/>
      <c r="P121" s="40"/>
      <c r="Q121" s="40"/>
      <c r="R121" s="40"/>
      <c r="S121" s="40"/>
      <c r="T121" s="40"/>
      <c r="U121" s="40"/>
      <c r="V121" s="40"/>
      <c r="W121" s="40"/>
      <c r="X121" s="40"/>
      <c r="Y121" s="40"/>
      <c r="Z121" s="40"/>
      <c r="AA121" s="40"/>
      <c r="AB121" s="40"/>
      <c r="AC121" s="40"/>
      <c r="AD121" s="40"/>
      <c r="AE121" s="40"/>
      <c r="AF121" s="40"/>
      <c r="AG121" s="40"/>
      <c r="AH121" s="40"/>
      <c r="AI121" s="40"/>
      <c r="AJ121" s="40"/>
      <c r="AK121" s="40"/>
      <c r="AL121" s="40"/>
      <c r="AM121" s="40"/>
      <c r="AN121" s="40"/>
      <c r="AO121" s="40"/>
      <c r="AP121" s="40"/>
      <c r="AQ121" s="40"/>
      <c r="AR121" s="40"/>
      <c r="AS121" s="40"/>
      <c r="AT121" s="40"/>
      <c r="AU121" s="40"/>
      <c r="AV121" s="40"/>
      <c r="AW121" s="40"/>
      <c r="AX121" s="40"/>
      <c r="AY121" s="40"/>
      <c r="AZ121" s="40"/>
      <c r="BA121" s="40"/>
      <c r="BB121" s="40"/>
      <c r="BC121" s="40"/>
      <c r="BD121" s="40"/>
      <c r="BE121" s="40">
        <v>10</v>
      </c>
      <c r="BF121" s="40"/>
      <c r="BG121" s="40"/>
      <c r="BH121" s="40"/>
      <c r="BI121" s="40"/>
      <c r="BJ121" s="40"/>
      <c r="BK121" s="40"/>
      <c r="BL121" s="40"/>
      <c r="BM121" s="40"/>
      <c r="BN121" s="40"/>
      <c r="BO121" s="40"/>
      <c r="BP121" s="40"/>
      <c r="BQ121" s="40"/>
      <c r="BR121" s="40"/>
      <c r="BS121" s="40"/>
      <c r="BT121" s="40"/>
      <c r="BU121" s="40"/>
      <c r="BV121" s="40"/>
      <c r="BW121" s="40"/>
      <c r="BX121" s="40"/>
      <c r="BY121" s="40"/>
      <c r="BZ121" s="40"/>
      <c r="CA121" s="40"/>
      <c r="CB121" s="40"/>
      <c r="CC121" s="40"/>
      <c r="CD121" s="40"/>
      <c r="CE121" s="30">
        <f>$B121-SUMIF($G$3:$GS$3,"",$G121:$GS121)</f>
        <v>10</v>
      </c>
      <c r="CF121" s="5"/>
    </row>
    <row r="122" spans="1:84" s="38" customFormat="1" x14ac:dyDescent="0.25">
      <c r="A122" s="45" t="s">
        <v>203</v>
      </c>
      <c r="B122" s="75">
        <f t="shared" si="3"/>
        <v>0</v>
      </c>
      <c r="C122" s="67">
        <v>10</v>
      </c>
      <c r="D122" s="69">
        <v>44585</v>
      </c>
      <c r="E122" s="77">
        <v>34.97</v>
      </c>
      <c r="F122" s="77">
        <f t="shared" si="4"/>
        <v>0</v>
      </c>
      <c r="G122" s="75"/>
      <c r="H122" s="16"/>
      <c r="I122" s="16"/>
      <c r="J122" s="175"/>
      <c r="K122" s="16"/>
      <c r="L122" s="40"/>
      <c r="M122" s="40"/>
      <c r="N122" s="40"/>
      <c r="O122" s="40"/>
      <c r="P122" s="40"/>
      <c r="Q122" s="40"/>
      <c r="R122" s="40"/>
      <c r="S122" s="40"/>
      <c r="T122" s="40"/>
      <c r="U122" s="40"/>
      <c r="V122" s="40"/>
      <c r="W122" s="40"/>
      <c r="X122" s="40"/>
      <c r="Y122" s="40"/>
      <c r="Z122" s="40"/>
      <c r="AA122" s="40"/>
      <c r="AB122" s="40"/>
      <c r="AC122" s="40"/>
      <c r="AD122" s="40"/>
      <c r="AE122" s="40"/>
      <c r="AF122" s="40"/>
      <c r="AG122" s="40"/>
      <c r="AH122" s="40"/>
      <c r="AI122" s="40"/>
      <c r="AJ122" s="40"/>
      <c r="AK122" s="40"/>
      <c r="AL122" s="40"/>
      <c r="AM122" s="40"/>
      <c r="AN122" s="40"/>
      <c r="AO122" s="40"/>
      <c r="AP122" s="40"/>
      <c r="AQ122" s="40"/>
      <c r="AR122" s="40"/>
      <c r="AS122" s="40"/>
      <c r="AT122" s="40">
        <v>10</v>
      </c>
      <c r="AU122" s="40"/>
      <c r="AV122" s="40"/>
      <c r="AW122" s="40"/>
      <c r="AX122" s="40"/>
      <c r="AY122" s="40"/>
      <c r="AZ122" s="40"/>
      <c r="BA122" s="40"/>
      <c r="BB122" s="40"/>
      <c r="BC122" s="40"/>
      <c r="BD122" s="40">
        <v>10</v>
      </c>
      <c r="BE122" s="40"/>
      <c r="BF122" s="40"/>
      <c r="BG122" s="40"/>
      <c r="BH122" s="40"/>
      <c r="BI122" s="40"/>
      <c r="BJ122" s="40"/>
      <c r="BK122" s="40"/>
      <c r="BL122" s="40"/>
      <c r="BM122" s="40"/>
      <c r="BN122" s="40"/>
      <c r="BO122" s="40"/>
      <c r="BP122" s="40"/>
      <c r="BQ122" s="40"/>
      <c r="BR122" s="40"/>
      <c r="BS122" s="40"/>
      <c r="BT122" s="40"/>
      <c r="BU122" s="40"/>
      <c r="BV122" s="40"/>
      <c r="BW122" s="40"/>
      <c r="BX122" s="40"/>
      <c r="BY122" s="40"/>
      <c r="BZ122" s="40"/>
      <c r="CA122" s="40"/>
      <c r="CB122" s="40"/>
      <c r="CC122" s="40"/>
      <c r="CD122" s="40"/>
      <c r="CE122" s="30">
        <f>$B122-SUMIF($G$3:$GS$3,"",$G122:$GS122)</f>
        <v>0</v>
      </c>
      <c r="CF122" s="5"/>
    </row>
    <row r="123" spans="1:84" s="38" customFormat="1" x14ac:dyDescent="0.25">
      <c r="A123" s="45" t="s">
        <v>157</v>
      </c>
      <c r="B123" s="75">
        <f t="shared" si="3"/>
        <v>0</v>
      </c>
      <c r="C123" s="67">
        <v>1.2</v>
      </c>
      <c r="D123" s="69">
        <v>44410</v>
      </c>
      <c r="E123" s="77">
        <v>20.29</v>
      </c>
      <c r="F123" s="77">
        <f t="shared" si="4"/>
        <v>0</v>
      </c>
      <c r="G123" s="75"/>
      <c r="H123" s="16"/>
      <c r="I123" s="16"/>
      <c r="J123" s="175"/>
      <c r="K123" s="16"/>
      <c r="L123" s="40"/>
      <c r="M123" s="40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40"/>
      <c r="Y123" s="40"/>
      <c r="Z123" s="40"/>
      <c r="AA123" s="40"/>
      <c r="AB123" s="40"/>
      <c r="AC123" s="40"/>
      <c r="AD123" s="40"/>
      <c r="AE123" s="40"/>
      <c r="AF123" s="40"/>
      <c r="AG123" s="40"/>
      <c r="AH123" s="40"/>
      <c r="AI123" s="40"/>
      <c r="AJ123" s="40"/>
      <c r="AK123" s="40"/>
      <c r="AL123" s="40"/>
      <c r="AM123" s="40"/>
      <c r="AN123" s="40"/>
      <c r="AO123" s="40"/>
      <c r="AP123" s="40"/>
      <c r="AQ123" s="40"/>
      <c r="AR123" s="40"/>
      <c r="AS123" s="40"/>
      <c r="AT123" s="40"/>
      <c r="AU123" s="40"/>
      <c r="AV123" s="40"/>
      <c r="AW123" s="40"/>
      <c r="AX123" s="40"/>
      <c r="AY123" s="40"/>
      <c r="AZ123" s="40"/>
      <c r="BA123" s="40"/>
      <c r="BB123" s="40"/>
      <c r="BC123" s="40"/>
      <c r="BD123" s="40"/>
      <c r="BE123" s="40"/>
      <c r="BF123" s="40"/>
      <c r="BG123" s="40"/>
      <c r="BH123" s="40"/>
      <c r="BI123" s="40"/>
      <c r="BJ123" s="40"/>
      <c r="BK123" s="40"/>
      <c r="BL123" s="40"/>
      <c r="BM123" s="40"/>
      <c r="BN123" s="40"/>
      <c r="BO123" s="40"/>
      <c r="BP123" s="40"/>
      <c r="BQ123" s="40"/>
      <c r="BR123" s="40"/>
      <c r="BS123" s="40"/>
      <c r="BT123" s="40"/>
      <c r="BU123" s="40"/>
      <c r="BV123" s="40"/>
      <c r="BW123" s="40"/>
      <c r="BX123" s="40"/>
      <c r="BY123" s="40"/>
      <c r="BZ123" s="40"/>
      <c r="CA123" s="40"/>
      <c r="CB123" s="40"/>
      <c r="CC123" s="40"/>
      <c r="CD123" s="40"/>
      <c r="CE123" s="30">
        <f>$B123-SUMIF($G$3:$GS$3,"",$G123:$GS123)</f>
        <v>0</v>
      </c>
      <c r="CF123" s="5"/>
    </row>
    <row r="124" spans="1:84" s="38" customFormat="1" x14ac:dyDescent="0.25">
      <c r="A124" s="45" t="s">
        <v>157</v>
      </c>
      <c r="B124" s="75">
        <f t="shared" si="3"/>
        <v>0</v>
      </c>
      <c r="C124" s="67">
        <v>12</v>
      </c>
      <c r="D124" s="69">
        <v>44431</v>
      </c>
      <c r="E124" s="77">
        <v>17.649999999999999</v>
      </c>
      <c r="F124" s="77">
        <f t="shared" si="4"/>
        <v>0</v>
      </c>
      <c r="G124" s="75"/>
      <c r="H124" s="16"/>
      <c r="I124" s="16"/>
      <c r="J124" s="175"/>
      <c r="K124" s="16"/>
      <c r="L124" s="40"/>
      <c r="M124" s="40"/>
      <c r="N124" s="40"/>
      <c r="O124" s="40"/>
      <c r="P124" s="40"/>
      <c r="Q124" s="40"/>
      <c r="R124" s="40"/>
      <c r="S124" s="40"/>
      <c r="T124" s="40"/>
      <c r="U124" s="40"/>
      <c r="V124" s="40"/>
      <c r="W124" s="40"/>
      <c r="X124" s="40"/>
      <c r="Y124" s="40"/>
      <c r="Z124" s="40"/>
      <c r="AA124" s="40"/>
      <c r="AB124" s="40"/>
      <c r="AC124" s="40"/>
      <c r="AD124" s="40"/>
      <c r="AE124" s="40"/>
      <c r="AF124" s="40"/>
      <c r="AG124" s="40"/>
      <c r="AH124" s="40"/>
      <c r="AI124" s="40"/>
      <c r="AJ124" s="40"/>
      <c r="AK124" s="40"/>
      <c r="AL124" s="40"/>
      <c r="AM124" s="40"/>
      <c r="AN124" s="40"/>
      <c r="AO124" s="40"/>
      <c r="AP124" s="40"/>
      <c r="AQ124" s="40"/>
      <c r="AR124" s="40"/>
      <c r="AS124" s="40"/>
      <c r="AT124" s="40"/>
      <c r="AU124" s="40"/>
      <c r="AV124" s="40"/>
      <c r="AW124" s="40"/>
      <c r="AX124" s="40"/>
      <c r="AY124" s="40"/>
      <c r="AZ124" s="40"/>
      <c r="BA124" s="40"/>
      <c r="BB124" s="40"/>
      <c r="BC124" s="40"/>
      <c r="BD124" s="40"/>
      <c r="BE124" s="40"/>
      <c r="BF124" s="40"/>
      <c r="BG124" s="40"/>
      <c r="BH124" s="40"/>
      <c r="BI124" s="40"/>
      <c r="BJ124" s="40"/>
      <c r="BK124" s="40"/>
      <c r="BL124" s="40"/>
      <c r="BM124" s="40"/>
      <c r="BN124" s="40"/>
      <c r="BO124" s="40"/>
      <c r="BP124" s="40"/>
      <c r="BQ124" s="40"/>
      <c r="BR124" s="40"/>
      <c r="BS124" s="40"/>
      <c r="BT124" s="40"/>
      <c r="BU124" s="40"/>
      <c r="BV124" s="40"/>
      <c r="BW124" s="40"/>
      <c r="BX124" s="40"/>
      <c r="BY124" s="40"/>
      <c r="BZ124" s="40"/>
      <c r="CA124" s="40"/>
      <c r="CB124" s="40"/>
      <c r="CC124" s="40"/>
      <c r="CD124" s="40"/>
      <c r="CE124" s="30">
        <f>$B124-SUMIF($G$3:$GS$3,"",$G124:$GS124)</f>
        <v>0</v>
      </c>
      <c r="CF124" s="5"/>
    </row>
    <row r="125" spans="1:84" s="38" customFormat="1" x14ac:dyDescent="0.25">
      <c r="A125" s="45" t="s">
        <v>474</v>
      </c>
      <c r="B125" s="75">
        <f t="shared" si="3"/>
        <v>0</v>
      </c>
      <c r="C125" s="67">
        <v>9</v>
      </c>
      <c r="D125" s="69">
        <v>44396</v>
      </c>
      <c r="E125" s="77">
        <v>29.34</v>
      </c>
      <c r="F125" s="77">
        <f t="shared" si="4"/>
        <v>0</v>
      </c>
      <c r="G125" s="75"/>
      <c r="H125" s="16"/>
      <c r="I125" s="16"/>
      <c r="J125" s="175"/>
      <c r="K125" s="16"/>
      <c r="L125" s="40"/>
      <c r="M125" s="40"/>
      <c r="N125" s="40"/>
      <c r="O125" s="40"/>
      <c r="P125" s="40"/>
      <c r="Q125" s="40"/>
      <c r="R125" s="40"/>
      <c r="S125" s="40"/>
      <c r="T125" s="40"/>
      <c r="U125" s="40"/>
      <c r="V125" s="40"/>
      <c r="W125" s="40"/>
      <c r="X125" s="40"/>
      <c r="Y125" s="40"/>
      <c r="Z125" s="40"/>
      <c r="AA125" s="40"/>
      <c r="AB125" s="40"/>
      <c r="AC125" s="40"/>
      <c r="AD125" s="40"/>
      <c r="AE125" s="40"/>
      <c r="AF125" s="40"/>
      <c r="AG125" s="40"/>
      <c r="AH125" s="40"/>
      <c r="AI125" s="40"/>
      <c r="AJ125" s="40"/>
      <c r="AK125" s="40"/>
      <c r="AL125" s="40"/>
      <c r="AM125" s="40"/>
      <c r="AN125" s="40"/>
      <c r="AO125" s="40"/>
      <c r="AP125" s="40"/>
      <c r="AQ125" s="40"/>
      <c r="AR125" s="40"/>
      <c r="AS125" s="40"/>
      <c r="AT125" s="40"/>
      <c r="AU125" s="40"/>
      <c r="AV125" s="40"/>
      <c r="AW125" s="40"/>
      <c r="AX125" s="40"/>
      <c r="AY125" s="40"/>
      <c r="AZ125" s="40"/>
      <c r="BA125" s="40"/>
      <c r="BB125" s="40"/>
      <c r="BC125" s="40"/>
      <c r="BD125" s="40"/>
      <c r="BE125" s="40"/>
      <c r="BF125" s="40"/>
      <c r="BG125" s="40"/>
      <c r="BH125" s="40"/>
      <c r="BI125" s="40"/>
      <c r="BJ125" s="40"/>
      <c r="BK125" s="40"/>
      <c r="BL125" s="40"/>
      <c r="BM125" s="40"/>
      <c r="BN125" s="40"/>
      <c r="BO125" s="40"/>
      <c r="BP125" s="40"/>
      <c r="BQ125" s="40"/>
      <c r="BR125" s="40"/>
      <c r="BS125" s="40"/>
      <c r="BT125" s="40"/>
      <c r="BU125" s="40"/>
      <c r="BV125" s="40"/>
      <c r="BW125" s="40"/>
      <c r="BX125" s="40"/>
      <c r="BY125" s="40"/>
      <c r="BZ125" s="40"/>
      <c r="CA125" s="40"/>
      <c r="CB125" s="40"/>
      <c r="CC125" s="40"/>
      <c r="CD125" s="40"/>
      <c r="CE125" s="30">
        <f>$B125-SUMIF($G$3:$GS$3,"",$G125:$GS125)</f>
        <v>0</v>
      </c>
      <c r="CF125" s="5"/>
    </row>
    <row r="126" spans="1:84" s="38" customFormat="1" x14ac:dyDescent="0.25">
      <c r="A126" s="45" t="s">
        <v>164</v>
      </c>
      <c r="B126" s="75">
        <f t="shared" si="3"/>
        <v>0</v>
      </c>
      <c r="C126" s="67">
        <v>0.8</v>
      </c>
      <c r="D126" s="69">
        <v>44410</v>
      </c>
      <c r="E126" s="77">
        <v>76.44</v>
      </c>
      <c r="F126" s="77">
        <f t="shared" si="4"/>
        <v>0</v>
      </c>
      <c r="G126" s="75"/>
      <c r="H126" s="16"/>
      <c r="I126" s="16"/>
      <c r="J126" s="175"/>
      <c r="K126" s="16"/>
      <c r="L126" s="40"/>
      <c r="M126" s="40"/>
      <c r="N126" s="40"/>
      <c r="O126" s="40"/>
      <c r="P126" s="40"/>
      <c r="Q126" s="40"/>
      <c r="R126" s="40"/>
      <c r="S126" s="40"/>
      <c r="T126" s="40"/>
      <c r="U126" s="40"/>
      <c r="V126" s="40"/>
      <c r="W126" s="40"/>
      <c r="X126" s="40"/>
      <c r="Y126" s="40"/>
      <c r="Z126" s="40"/>
      <c r="AA126" s="40"/>
      <c r="AB126" s="40"/>
      <c r="AC126" s="40"/>
      <c r="AD126" s="40"/>
      <c r="AE126" s="40"/>
      <c r="AF126" s="40"/>
      <c r="AG126" s="40"/>
      <c r="AH126" s="40"/>
      <c r="AI126" s="40"/>
      <c r="AJ126" s="40"/>
      <c r="AK126" s="40"/>
      <c r="AL126" s="40"/>
      <c r="AM126" s="40"/>
      <c r="AN126" s="40"/>
      <c r="AO126" s="40"/>
      <c r="AP126" s="40"/>
      <c r="AQ126" s="40"/>
      <c r="AR126" s="40"/>
      <c r="AS126" s="40"/>
      <c r="AT126" s="40"/>
      <c r="AU126" s="40"/>
      <c r="AV126" s="40"/>
      <c r="AW126" s="40"/>
      <c r="AX126" s="40"/>
      <c r="AY126" s="40"/>
      <c r="AZ126" s="40"/>
      <c r="BA126" s="40"/>
      <c r="BB126" s="40"/>
      <c r="BC126" s="40"/>
      <c r="BD126" s="40"/>
      <c r="BE126" s="40"/>
      <c r="BF126" s="40"/>
      <c r="BG126" s="40"/>
      <c r="BH126" s="40"/>
      <c r="BI126" s="40"/>
      <c r="BJ126" s="40"/>
      <c r="BK126" s="40"/>
      <c r="BL126" s="40"/>
      <c r="BM126" s="40"/>
      <c r="BN126" s="40"/>
      <c r="BO126" s="40"/>
      <c r="BP126" s="40"/>
      <c r="BQ126" s="40"/>
      <c r="BR126" s="40"/>
      <c r="BS126" s="40"/>
      <c r="BT126" s="40"/>
      <c r="BU126" s="40"/>
      <c r="BV126" s="40"/>
      <c r="BW126" s="40"/>
      <c r="BX126" s="40"/>
      <c r="BY126" s="40"/>
      <c r="BZ126" s="40"/>
      <c r="CA126" s="40"/>
      <c r="CB126" s="40"/>
      <c r="CC126" s="40"/>
      <c r="CD126" s="40"/>
      <c r="CE126" s="30">
        <f>$B126-SUMIF($G$3:$GS$3,"",$G126:$GS126)</f>
        <v>0</v>
      </c>
      <c r="CF126" s="5"/>
    </row>
    <row r="127" spans="1:84" s="38" customFormat="1" x14ac:dyDescent="0.25">
      <c r="A127" s="45" t="s">
        <v>393</v>
      </c>
      <c r="B127" s="75">
        <f t="shared" si="3"/>
        <v>0</v>
      </c>
      <c r="C127" s="67">
        <v>0.9</v>
      </c>
      <c r="D127" s="69">
        <v>44585</v>
      </c>
      <c r="E127" s="77">
        <v>27.16</v>
      </c>
      <c r="F127" s="77">
        <f t="shared" si="4"/>
        <v>0</v>
      </c>
      <c r="G127" s="75"/>
      <c r="H127" s="16"/>
      <c r="I127" s="16"/>
      <c r="J127" s="175"/>
      <c r="K127" s="16"/>
      <c r="L127" s="40"/>
      <c r="M127" s="40"/>
      <c r="N127" s="40"/>
      <c r="O127" s="40"/>
      <c r="P127" s="40"/>
      <c r="Q127" s="40"/>
      <c r="R127" s="40"/>
      <c r="S127" s="40"/>
      <c r="T127" s="40"/>
      <c r="U127" s="40"/>
      <c r="V127" s="40"/>
      <c r="W127" s="40"/>
      <c r="X127" s="40"/>
      <c r="Y127" s="40"/>
      <c r="Z127" s="40"/>
      <c r="AA127" s="40"/>
      <c r="AB127" s="40"/>
      <c r="AC127" s="40"/>
      <c r="AD127" s="40"/>
      <c r="AE127" s="40"/>
      <c r="AF127" s="40"/>
      <c r="AG127" s="40"/>
      <c r="AH127" s="40"/>
      <c r="AI127" s="40"/>
      <c r="AJ127" s="40"/>
      <c r="AK127" s="40"/>
      <c r="AL127" s="40"/>
      <c r="AM127" s="40"/>
      <c r="AN127" s="40"/>
      <c r="AO127" s="40"/>
      <c r="AP127" s="40"/>
      <c r="AQ127" s="40"/>
      <c r="AR127" s="40"/>
      <c r="AS127" s="40"/>
      <c r="AT127" s="40"/>
      <c r="AU127" s="40"/>
      <c r="AV127" s="40"/>
      <c r="AW127" s="40"/>
      <c r="AX127" s="40"/>
      <c r="AY127" s="40"/>
      <c r="AZ127" s="40"/>
      <c r="BA127" s="40"/>
      <c r="BB127" s="40"/>
      <c r="BC127" s="40"/>
      <c r="BD127" s="40">
        <v>0.9</v>
      </c>
      <c r="BE127" s="40"/>
      <c r="BF127" s="40"/>
      <c r="BG127" s="40"/>
      <c r="BH127" s="40"/>
      <c r="BI127" s="40"/>
      <c r="BJ127" s="40"/>
      <c r="BK127" s="40"/>
      <c r="BL127" s="40"/>
      <c r="BM127" s="40"/>
      <c r="BN127" s="40"/>
      <c r="BO127" s="40"/>
      <c r="BP127" s="40"/>
      <c r="BQ127" s="40"/>
      <c r="BR127" s="40"/>
      <c r="BS127" s="40"/>
      <c r="BT127" s="40"/>
      <c r="BU127" s="40"/>
      <c r="BV127" s="40"/>
      <c r="BW127" s="40"/>
      <c r="BX127" s="40"/>
      <c r="BY127" s="40">
        <v>0.9</v>
      </c>
      <c r="BZ127" s="40"/>
      <c r="CA127" s="40"/>
      <c r="CB127" s="40"/>
      <c r="CC127" s="40"/>
      <c r="CD127" s="40"/>
      <c r="CE127" s="30">
        <f>$B127-SUMIF($G$3:$GS$3,"",$G127:$GS127)</f>
        <v>0</v>
      </c>
      <c r="CF127" s="5"/>
    </row>
    <row r="128" spans="1:84" s="38" customFormat="1" x14ac:dyDescent="0.25">
      <c r="A128" s="45" t="s">
        <v>346</v>
      </c>
      <c r="B128" s="75">
        <f t="shared" si="3"/>
        <v>0</v>
      </c>
      <c r="C128" s="67">
        <v>10</v>
      </c>
      <c r="D128" s="69">
        <v>44466</v>
      </c>
      <c r="E128" s="77">
        <v>52.48</v>
      </c>
      <c r="F128" s="77">
        <f t="shared" si="4"/>
        <v>0</v>
      </c>
      <c r="G128" s="75"/>
      <c r="H128" s="16"/>
      <c r="I128" s="16"/>
      <c r="J128" s="175"/>
      <c r="K128" s="16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  <c r="BK128" s="40"/>
      <c r="BL128" s="40"/>
      <c r="BM128" s="40"/>
      <c r="BN128" s="40"/>
      <c r="BO128" s="40"/>
      <c r="BP128" s="40"/>
      <c r="BQ128" s="40"/>
      <c r="BR128" s="40"/>
      <c r="BS128" s="40"/>
      <c r="BT128" s="40"/>
      <c r="BU128" s="40"/>
      <c r="BV128" s="40"/>
      <c r="BW128" s="40"/>
      <c r="BX128" s="40"/>
      <c r="BY128" s="40"/>
      <c r="BZ128" s="40"/>
      <c r="CA128" s="40"/>
      <c r="CB128" s="40"/>
      <c r="CC128" s="40"/>
      <c r="CD128" s="40"/>
      <c r="CE128" s="30">
        <f>$B128-SUMIF($G$3:$GS$3,"",$G128:$GS128)</f>
        <v>0</v>
      </c>
      <c r="CF128" s="5"/>
    </row>
    <row r="129" spans="1:84" s="38" customFormat="1" x14ac:dyDescent="0.25">
      <c r="A129" s="45" t="s">
        <v>288</v>
      </c>
      <c r="B129" s="75">
        <f t="shared" si="3"/>
        <v>10</v>
      </c>
      <c r="C129" s="67">
        <v>10</v>
      </c>
      <c r="D129" s="69">
        <v>44593</v>
      </c>
      <c r="E129" s="77">
        <v>29.39</v>
      </c>
      <c r="F129" s="77">
        <f t="shared" si="4"/>
        <v>293.89999999999998</v>
      </c>
      <c r="G129" s="75"/>
      <c r="H129" s="16"/>
      <c r="I129" s="16"/>
      <c r="J129" s="175"/>
      <c r="K129" s="16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  <c r="BA129" s="40"/>
      <c r="BB129" s="40"/>
      <c r="BC129" s="40"/>
      <c r="BD129" s="40"/>
      <c r="BE129" s="40">
        <v>10</v>
      </c>
      <c r="BF129" s="40"/>
      <c r="BG129" s="40"/>
      <c r="BH129" s="40"/>
      <c r="BI129" s="40"/>
      <c r="BJ129" s="40"/>
      <c r="BK129" s="40"/>
      <c r="BL129" s="40"/>
      <c r="BM129" s="40"/>
      <c r="BN129" s="40"/>
      <c r="BO129" s="40"/>
      <c r="BP129" s="40"/>
      <c r="BQ129" s="40"/>
      <c r="BR129" s="40"/>
      <c r="BS129" s="40"/>
      <c r="BT129" s="40"/>
      <c r="BU129" s="40"/>
      <c r="BV129" s="40"/>
      <c r="BW129" s="40"/>
      <c r="BX129" s="40"/>
      <c r="BY129" s="40"/>
      <c r="BZ129" s="40"/>
      <c r="CA129" s="40"/>
      <c r="CB129" s="40"/>
      <c r="CC129" s="40"/>
      <c r="CD129" s="40"/>
      <c r="CE129" s="30">
        <f>$B129-SUMIF($G$3:$GS$3,"",$G129:$GS129)</f>
        <v>10</v>
      </c>
      <c r="CF129" s="5"/>
    </row>
    <row r="130" spans="1:84" s="38" customFormat="1" x14ac:dyDescent="0.25">
      <c r="A130" s="45" t="s">
        <v>35</v>
      </c>
      <c r="B130" s="75">
        <f t="shared" si="3"/>
        <v>0</v>
      </c>
      <c r="C130" s="67">
        <v>11</v>
      </c>
      <c r="D130" s="69">
        <v>44298</v>
      </c>
      <c r="E130" s="77">
        <v>13.38</v>
      </c>
      <c r="F130" s="77">
        <f t="shared" si="4"/>
        <v>0</v>
      </c>
      <c r="G130" s="75"/>
      <c r="H130" s="16"/>
      <c r="I130" s="16"/>
      <c r="J130" s="175"/>
      <c r="K130" s="16"/>
      <c r="L130" s="40"/>
      <c r="M130" s="40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40"/>
      <c r="Y130" s="40"/>
      <c r="Z130" s="40"/>
      <c r="AA130" s="40"/>
      <c r="AB130" s="40"/>
      <c r="AC130" s="40"/>
      <c r="AD130" s="40"/>
      <c r="AE130" s="40"/>
      <c r="AF130" s="40"/>
      <c r="AG130" s="40"/>
      <c r="AH130" s="40"/>
      <c r="AI130" s="40"/>
      <c r="AJ130" s="40"/>
      <c r="AK130" s="40"/>
      <c r="AL130" s="40"/>
      <c r="AM130" s="40"/>
      <c r="AN130" s="40"/>
      <c r="AO130" s="40"/>
      <c r="AP130" s="40"/>
      <c r="AQ130" s="40"/>
      <c r="AR130" s="40"/>
      <c r="AS130" s="40"/>
      <c r="AT130" s="40"/>
      <c r="AU130" s="40"/>
      <c r="AV130" s="40"/>
      <c r="AW130" s="40"/>
      <c r="AX130" s="40"/>
      <c r="AY130" s="40"/>
      <c r="AZ130" s="40"/>
      <c r="BA130" s="40"/>
      <c r="BB130" s="40"/>
      <c r="BC130" s="40"/>
      <c r="BD130" s="40"/>
      <c r="BE130" s="40"/>
      <c r="BF130" s="40"/>
      <c r="BG130" s="40"/>
      <c r="BH130" s="40"/>
      <c r="BI130" s="40"/>
      <c r="BJ130" s="40"/>
      <c r="BK130" s="40"/>
      <c r="BL130" s="40"/>
      <c r="BM130" s="40"/>
      <c r="BN130" s="40"/>
      <c r="BO130" s="40"/>
      <c r="BP130" s="40"/>
      <c r="BQ130" s="40"/>
      <c r="BR130" s="40"/>
      <c r="BS130" s="40"/>
      <c r="BT130" s="40"/>
      <c r="BU130" s="40"/>
      <c r="BV130" s="40"/>
      <c r="BW130" s="40"/>
      <c r="BX130" s="40"/>
      <c r="BY130" s="40"/>
      <c r="BZ130" s="40"/>
      <c r="CA130" s="40"/>
      <c r="CB130" s="40"/>
      <c r="CC130" s="40"/>
      <c r="CD130" s="40"/>
      <c r="CE130" s="30">
        <f>$B130-SUMIF($G$3:$GS$3,"",$G130:$GS130)</f>
        <v>0</v>
      </c>
      <c r="CF130" s="5"/>
    </row>
    <row r="131" spans="1:84" s="38" customFormat="1" x14ac:dyDescent="0.25">
      <c r="A131" s="45" t="s">
        <v>404</v>
      </c>
      <c r="B131" s="75">
        <f t="shared" si="3"/>
        <v>0</v>
      </c>
      <c r="C131" s="67">
        <v>1</v>
      </c>
      <c r="D131" s="69">
        <v>44480</v>
      </c>
      <c r="E131" s="77">
        <v>21.85</v>
      </c>
      <c r="F131" s="77">
        <f t="shared" si="4"/>
        <v>0</v>
      </c>
      <c r="G131" s="75"/>
      <c r="H131" s="16"/>
      <c r="I131" s="16"/>
      <c r="J131" s="175"/>
      <c r="K131" s="16"/>
      <c r="L131" s="40"/>
      <c r="M131" s="40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40"/>
      <c r="Y131" s="40"/>
      <c r="Z131" s="40"/>
      <c r="AA131" s="40"/>
      <c r="AB131" s="40"/>
      <c r="AC131" s="40"/>
      <c r="AD131" s="40"/>
      <c r="AE131" s="40"/>
      <c r="AF131" s="40"/>
      <c r="AG131" s="40"/>
      <c r="AH131" s="40"/>
      <c r="AI131" s="40"/>
      <c r="AJ131" s="40"/>
      <c r="AK131" s="40"/>
      <c r="AL131" s="40"/>
      <c r="AM131" s="40"/>
      <c r="AN131" s="40"/>
      <c r="AO131" s="40"/>
      <c r="AP131" s="40"/>
      <c r="AQ131" s="40"/>
      <c r="AR131" s="40"/>
      <c r="AS131" s="40"/>
      <c r="AT131" s="40"/>
      <c r="AU131" s="40"/>
      <c r="AV131" s="40"/>
      <c r="AW131" s="40"/>
      <c r="AX131" s="40"/>
      <c r="AY131" s="40"/>
      <c r="AZ131" s="40"/>
      <c r="BA131" s="40"/>
      <c r="BB131" s="40"/>
      <c r="BC131" s="40"/>
      <c r="BD131" s="40"/>
      <c r="BE131" s="40"/>
      <c r="BF131" s="40"/>
      <c r="BG131" s="40"/>
      <c r="BH131" s="40"/>
      <c r="BI131" s="40"/>
      <c r="BJ131" s="40"/>
      <c r="BK131" s="40"/>
      <c r="BL131" s="40"/>
      <c r="BM131" s="40"/>
      <c r="BN131" s="40"/>
      <c r="BO131" s="40"/>
      <c r="BP131" s="40"/>
      <c r="BQ131" s="40"/>
      <c r="BR131" s="40"/>
      <c r="BS131" s="40"/>
      <c r="BT131" s="40"/>
      <c r="BU131" s="40"/>
      <c r="BV131" s="40"/>
      <c r="BW131" s="40"/>
      <c r="BX131" s="40"/>
      <c r="BY131" s="40"/>
      <c r="BZ131" s="40"/>
      <c r="CA131" s="40"/>
      <c r="CB131" s="40"/>
      <c r="CC131" s="40"/>
      <c r="CD131" s="40"/>
      <c r="CE131" s="30">
        <f>$B131-SUMIF($G$3:$GS$3,"",$G131:$GS131)</f>
        <v>0</v>
      </c>
      <c r="CF131" s="5"/>
    </row>
    <row r="132" spans="1:84" s="38" customFormat="1" x14ac:dyDescent="0.25">
      <c r="A132" s="45" t="s">
        <v>404</v>
      </c>
      <c r="B132" s="75">
        <f t="shared" si="3"/>
        <v>0</v>
      </c>
      <c r="C132" s="67">
        <v>10</v>
      </c>
      <c r="D132" s="69">
        <v>44522</v>
      </c>
      <c r="E132" s="77">
        <v>18.190000000000001</v>
      </c>
      <c r="F132" s="77">
        <f t="shared" si="4"/>
        <v>0</v>
      </c>
      <c r="G132" s="75"/>
      <c r="H132" s="16"/>
      <c r="I132" s="16"/>
      <c r="J132" s="175"/>
      <c r="K132" s="16"/>
      <c r="L132" s="40"/>
      <c r="M132" s="40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40"/>
      <c r="Y132" s="40"/>
      <c r="Z132" s="40"/>
      <c r="AA132" s="40"/>
      <c r="AB132" s="40"/>
      <c r="AC132" s="40"/>
      <c r="AD132" s="40"/>
      <c r="AE132" s="40"/>
      <c r="AF132" s="40"/>
      <c r="AG132" s="40"/>
      <c r="AH132" s="40"/>
      <c r="AI132" s="40"/>
      <c r="AJ132" s="40"/>
      <c r="AK132" s="40"/>
      <c r="AL132" s="40"/>
      <c r="AM132" s="40"/>
      <c r="AN132" s="40"/>
      <c r="AO132" s="40"/>
      <c r="AP132" s="40"/>
      <c r="AQ132" s="40"/>
      <c r="AR132" s="40"/>
      <c r="AS132" s="40"/>
      <c r="AT132" s="40"/>
      <c r="AU132" s="40"/>
      <c r="AV132" s="40"/>
      <c r="AW132" s="40"/>
      <c r="AX132" s="40"/>
      <c r="AY132" s="40"/>
      <c r="AZ132" s="40"/>
      <c r="BA132" s="40"/>
      <c r="BB132" s="40"/>
      <c r="BC132" s="40"/>
      <c r="BD132" s="40"/>
      <c r="BE132" s="40"/>
      <c r="BF132" s="40"/>
      <c r="BG132" s="40"/>
      <c r="BH132" s="40"/>
      <c r="BI132" s="40"/>
      <c r="BJ132" s="40"/>
      <c r="BK132" s="40"/>
      <c r="BL132" s="40"/>
      <c r="BM132" s="40"/>
      <c r="BN132" s="40"/>
      <c r="BO132" s="40"/>
      <c r="BP132" s="40"/>
      <c r="BQ132" s="40"/>
      <c r="BR132" s="40"/>
      <c r="BS132" s="40"/>
      <c r="BT132" s="40"/>
      <c r="BU132" s="40"/>
      <c r="BV132" s="40"/>
      <c r="BW132" s="40"/>
      <c r="BX132" s="40"/>
      <c r="BY132" s="40"/>
      <c r="BZ132" s="40"/>
      <c r="CA132" s="40"/>
      <c r="CB132" s="40"/>
      <c r="CC132" s="40"/>
      <c r="CD132" s="40"/>
      <c r="CE132" s="30">
        <f>$B132-SUMIF($G$3:$GS$3,"",$G132:$GS132)</f>
        <v>0</v>
      </c>
      <c r="CF132" s="5"/>
    </row>
    <row r="133" spans="1:84" s="38" customFormat="1" x14ac:dyDescent="0.25">
      <c r="A133" s="61" t="s">
        <v>178</v>
      </c>
      <c r="B133" s="75">
        <f t="shared" si="3"/>
        <v>0</v>
      </c>
      <c r="C133" s="67">
        <v>1</v>
      </c>
      <c r="D133" s="69">
        <v>44494</v>
      </c>
      <c r="E133" s="77">
        <v>31.1</v>
      </c>
      <c r="F133" s="77">
        <f t="shared" si="4"/>
        <v>0</v>
      </c>
      <c r="G133" s="75"/>
      <c r="H133" s="16"/>
      <c r="I133" s="16"/>
      <c r="J133" s="175"/>
      <c r="K133" s="16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  <c r="BK133" s="40"/>
      <c r="BL133" s="40"/>
      <c r="BM133" s="40"/>
      <c r="BN133" s="40"/>
      <c r="BO133" s="40"/>
      <c r="BP133" s="40"/>
      <c r="BQ133" s="40"/>
      <c r="BR133" s="40"/>
      <c r="BS133" s="40"/>
      <c r="BT133" s="40"/>
      <c r="BU133" s="40"/>
      <c r="BV133" s="40"/>
      <c r="BW133" s="40"/>
      <c r="BX133" s="40"/>
      <c r="BY133" s="40"/>
      <c r="BZ133" s="40"/>
      <c r="CA133" s="40"/>
      <c r="CB133" s="40"/>
      <c r="CC133" s="40"/>
      <c r="CD133" s="40"/>
      <c r="CE133" s="30">
        <f>$B133-SUMIF($G$3:$GS$3,"",$G133:$GS133)</f>
        <v>0</v>
      </c>
      <c r="CF133" s="5"/>
    </row>
    <row r="134" spans="1:84" s="38" customFormat="1" x14ac:dyDescent="0.25">
      <c r="A134" s="61" t="s">
        <v>193</v>
      </c>
      <c r="B134" s="75">
        <f t="shared" si="3"/>
        <v>0</v>
      </c>
      <c r="C134" s="67">
        <v>1</v>
      </c>
      <c r="D134" s="69">
        <v>44368</v>
      </c>
      <c r="E134" s="77">
        <v>39.619999999999997</v>
      </c>
      <c r="F134" s="77">
        <f t="shared" si="4"/>
        <v>0</v>
      </c>
      <c r="G134" s="75"/>
      <c r="H134" s="16"/>
      <c r="I134" s="16"/>
      <c r="J134" s="175"/>
      <c r="K134" s="16"/>
      <c r="L134" s="40"/>
      <c r="M134" s="40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40"/>
      <c r="Y134" s="40"/>
      <c r="Z134" s="40"/>
      <c r="AA134" s="40"/>
      <c r="AB134" s="40"/>
      <c r="AC134" s="40"/>
      <c r="AD134" s="40"/>
      <c r="AE134" s="40"/>
      <c r="AF134" s="40"/>
      <c r="AG134" s="40"/>
      <c r="AH134" s="40"/>
      <c r="AI134" s="40"/>
      <c r="AJ134" s="40"/>
      <c r="AK134" s="40"/>
      <c r="AL134" s="40"/>
      <c r="AM134" s="40"/>
      <c r="AN134" s="40"/>
      <c r="AO134" s="40"/>
      <c r="AP134" s="40"/>
      <c r="AQ134" s="40"/>
      <c r="AR134" s="40"/>
      <c r="AS134" s="40"/>
      <c r="AT134" s="40"/>
      <c r="AU134" s="40"/>
      <c r="AV134" s="40"/>
      <c r="AW134" s="40"/>
      <c r="AX134" s="40"/>
      <c r="AY134" s="40"/>
      <c r="AZ134" s="40"/>
      <c r="BA134" s="40"/>
      <c r="BB134" s="40"/>
      <c r="BC134" s="40"/>
      <c r="BD134" s="40"/>
      <c r="BE134" s="40"/>
      <c r="BF134" s="40"/>
      <c r="BG134" s="40"/>
      <c r="BH134" s="40"/>
      <c r="BI134" s="40"/>
      <c r="BJ134" s="40"/>
      <c r="BK134" s="40"/>
      <c r="BL134" s="40"/>
      <c r="BM134" s="40"/>
      <c r="BN134" s="40"/>
      <c r="BO134" s="40"/>
      <c r="BP134" s="40"/>
      <c r="BQ134" s="40"/>
      <c r="BR134" s="40"/>
      <c r="BS134" s="40"/>
      <c r="BT134" s="40"/>
      <c r="BU134" s="40"/>
      <c r="BV134" s="40"/>
      <c r="BW134" s="40"/>
      <c r="BX134" s="40"/>
      <c r="BY134" s="40"/>
      <c r="BZ134" s="40"/>
      <c r="CA134" s="40"/>
      <c r="CB134" s="40"/>
      <c r="CC134" s="40"/>
      <c r="CD134" s="40"/>
      <c r="CE134" s="30">
        <f>$B134-SUMIF($G$3:$GS$3,"",$G134:$GS134)</f>
        <v>0</v>
      </c>
      <c r="CF134" s="5"/>
    </row>
    <row r="135" spans="1:84" s="38" customFormat="1" x14ac:dyDescent="0.25">
      <c r="A135" s="61" t="s">
        <v>32</v>
      </c>
      <c r="B135" s="75">
        <f t="shared" si="3"/>
        <v>140</v>
      </c>
      <c r="C135" s="67">
        <v>10</v>
      </c>
      <c r="D135" s="70">
        <v>44557</v>
      </c>
      <c r="E135" s="77">
        <v>23.92</v>
      </c>
      <c r="F135" s="77">
        <f t="shared" si="4"/>
        <v>3348.8</v>
      </c>
      <c r="G135" s="75">
        <v>160</v>
      </c>
      <c r="H135" s="16"/>
      <c r="I135" s="16"/>
      <c r="J135" s="175"/>
      <c r="K135" s="16"/>
      <c r="L135" s="40"/>
      <c r="M135" s="40"/>
      <c r="N135" s="40"/>
      <c r="O135" s="40"/>
      <c r="P135" s="40">
        <v>140</v>
      </c>
      <c r="Q135" s="40"/>
      <c r="R135" s="40"/>
      <c r="S135" s="40"/>
      <c r="T135" s="40">
        <v>10</v>
      </c>
      <c r="U135" s="40"/>
      <c r="V135" s="40"/>
      <c r="W135" s="40"/>
      <c r="X135" s="40"/>
      <c r="Y135" s="40"/>
      <c r="Z135" s="40"/>
      <c r="AA135" s="40"/>
      <c r="AB135" s="40"/>
      <c r="AC135" s="40"/>
      <c r="AD135" s="40"/>
      <c r="AE135" s="40"/>
      <c r="AF135" s="40"/>
      <c r="AG135" s="40"/>
      <c r="AH135" s="40"/>
      <c r="AI135" s="40"/>
      <c r="AJ135" s="40"/>
      <c r="AK135" s="40"/>
      <c r="AL135" s="40"/>
      <c r="AM135" s="40"/>
      <c r="AN135" s="40"/>
      <c r="AO135" s="40"/>
      <c r="AP135" s="40"/>
      <c r="AQ135" s="40"/>
      <c r="AR135" s="40"/>
      <c r="AS135" s="40">
        <v>10</v>
      </c>
      <c r="AT135" s="40"/>
      <c r="AU135" s="40"/>
      <c r="AV135" s="40"/>
      <c r="AW135" s="40"/>
      <c r="AX135" s="40"/>
      <c r="AY135" s="40"/>
      <c r="AZ135" s="40"/>
      <c r="BA135" s="40"/>
      <c r="BB135" s="40"/>
      <c r="BC135" s="40"/>
      <c r="BD135" s="40"/>
      <c r="BE135" s="40"/>
      <c r="BF135" s="40"/>
      <c r="BG135" s="40"/>
      <c r="BH135" s="40"/>
      <c r="BI135" s="40"/>
      <c r="BJ135" s="40"/>
      <c r="BK135" s="40"/>
      <c r="BL135" s="40"/>
      <c r="BM135" s="40"/>
      <c r="BN135" s="40"/>
      <c r="BO135" s="40"/>
      <c r="BP135" s="40"/>
      <c r="BQ135" s="40"/>
      <c r="BR135" s="40"/>
      <c r="BS135" s="40"/>
      <c r="BT135" s="40"/>
      <c r="BU135" s="40"/>
      <c r="BV135" s="40"/>
      <c r="BW135" s="40"/>
      <c r="BX135" s="40"/>
      <c r="BY135" s="40"/>
      <c r="BZ135" s="40"/>
      <c r="CA135" s="40"/>
      <c r="CB135" s="40"/>
      <c r="CC135" s="40"/>
      <c r="CD135" s="40"/>
      <c r="CE135" s="30">
        <f>$B135-SUMIF($G$3:$GS$3,"",$G135:$GS135)</f>
        <v>0</v>
      </c>
      <c r="CF135" s="5"/>
    </row>
    <row r="136" spans="1:84" s="38" customFormat="1" x14ac:dyDescent="0.25">
      <c r="A136" s="61" t="s">
        <v>32</v>
      </c>
      <c r="B136" s="75">
        <f t="shared" ref="B136:B199" si="5">SUMIF(G$3:CD$3,"прих",G136:CD136)-SUMIF(G$3:CD$3,"отгр",G136:CD136)</f>
        <v>660</v>
      </c>
      <c r="C136" s="67">
        <v>10</v>
      </c>
      <c r="D136" s="70" t="s">
        <v>588</v>
      </c>
      <c r="E136" s="77">
        <v>23.39</v>
      </c>
      <c r="F136" s="77">
        <f t="shared" si="4"/>
        <v>15437.4</v>
      </c>
      <c r="G136" s="75"/>
      <c r="H136" s="16"/>
      <c r="I136" s="16"/>
      <c r="J136" s="175"/>
      <c r="K136" s="16"/>
      <c r="L136" s="40"/>
      <c r="M136" s="40"/>
      <c r="N136" s="40"/>
      <c r="O136" s="40"/>
      <c r="P136" s="40">
        <v>660</v>
      </c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>
        <v>410</v>
      </c>
      <c r="BE136" s="40">
        <v>250</v>
      </c>
      <c r="BF136" s="40"/>
      <c r="BG136" s="40"/>
      <c r="BH136" s="40"/>
      <c r="BI136" s="40"/>
      <c r="BJ136" s="40"/>
      <c r="BK136" s="40"/>
      <c r="BL136" s="40"/>
      <c r="BM136" s="40"/>
      <c r="BN136" s="40"/>
      <c r="BO136" s="40"/>
      <c r="BP136" s="40"/>
      <c r="BQ136" s="40"/>
      <c r="BR136" s="40"/>
      <c r="BS136" s="40"/>
      <c r="BT136" s="40"/>
      <c r="BU136" s="40"/>
      <c r="BV136" s="40"/>
      <c r="BW136" s="40"/>
      <c r="BX136" s="40"/>
      <c r="BY136" s="40"/>
      <c r="BZ136" s="40"/>
      <c r="CA136" s="40"/>
      <c r="CB136" s="40"/>
      <c r="CC136" s="40"/>
      <c r="CD136" s="40"/>
      <c r="CE136" s="30">
        <f t="shared" ref="CE136:CE199" si="6">$B136-SUMIF($G$3:$GS$3,"",$G136:$GS136)</f>
        <v>0</v>
      </c>
      <c r="CF136" s="5"/>
    </row>
    <row r="137" spans="1:84" s="38" customFormat="1" x14ac:dyDescent="0.25">
      <c r="A137" s="61" t="s">
        <v>367</v>
      </c>
      <c r="B137" s="75">
        <f t="shared" si="5"/>
        <v>0</v>
      </c>
      <c r="C137" s="67">
        <v>10</v>
      </c>
      <c r="D137" s="70">
        <v>44585</v>
      </c>
      <c r="E137" s="77">
        <v>20.52</v>
      </c>
      <c r="F137" s="77">
        <f t="shared" si="4"/>
        <v>0</v>
      </c>
      <c r="G137" s="75"/>
      <c r="H137" s="16"/>
      <c r="I137" s="16"/>
      <c r="J137" s="175"/>
      <c r="K137" s="16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>
        <v>10</v>
      </c>
      <c r="BE137" s="40"/>
      <c r="BF137" s="40"/>
      <c r="BG137" s="40"/>
      <c r="BH137" s="40"/>
      <c r="BI137" s="40"/>
      <c r="BJ137" s="40"/>
      <c r="BK137" s="40"/>
      <c r="BL137" s="40"/>
      <c r="BM137" s="40"/>
      <c r="BN137" s="40"/>
      <c r="BO137" s="40"/>
      <c r="BP137" s="40"/>
      <c r="BQ137" s="40"/>
      <c r="BR137" s="40"/>
      <c r="BS137" s="40"/>
      <c r="BT137" s="40"/>
      <c r="BU137" s="40">
        <v>10</v>
      </c>
      <c r="BV137" s="40"/>
      <c r="BW137" s="40"/>
      <c r="BX137" s="40"/>
      <c r="BY137" s="40"/>
      <c r="BZ137" s="40"/>
      <c r="CA137" s="40"/>
      <c r="CB137" s="40"/>
      <c r="CC137" s="40"/>
      <c r="CD137" s="40"/>
      <c r="CE137" s="30">
        <f t="shared" si="6"/>
        <v>0</v>
      </c>
      <c r="CF137" s="5"/>
    </row>
    <row r="138" spans="1:84" s="38" customFormat="1" ht="14.25" customHeight="1" x14ac:dyDescent="0.25">
      <c r="A138" s="45" t="s">
        <v>170</v>
      </c>
      <c r="B138" s="75">
        <f t="shared" si="5"/>
        <v>0</v>
      </c>
      <c r="C138" s="67">
        <v>1</v>
      </c>
      <c r="D138" s="125">
        <v>44284</v>
      </c>
      <c r="E138" s="77">
        <v>23.69</v>
      </c>
      <c r="F138" s="77">
        <f t="shared" si="4"/>
        <v>0</v>
      </c>
      <c r="G138" s="75"/>
      <c r="H138" s="16"/>
      <c r="I138" s="16"/>
      <c r="J138" s="175"/>
      <c r="K138" s="16"/>
      <c r="L138" s="40"/>
      <c r="M138" s="40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40"/>
      <c r="Y138" s="40"/>
      <c r="Z138" s="40"/>
      <c r="AA138" s="40"/>
      <c r="AB138" s="40"/>
      <c r="AC138" s="40"/>
      <c r="AD138" s="40"/>
      <c r="AE138" s="40"/>
      <c r="AF138" s="40"/>
      <c r="AG138" s="40"/>
      <c r="AH138" s="40"/>
      <c r="AI138" s="40"/>
      <c r="AJ138" s="40"/>
      <c r="AK138" s="40"/>
      <c r="AL138" s="40"/>
      <c r="AM138" s="40"/>
      <c r="AN138" s="40"/>
      <c r="AO138" s="40"/>
      <c r="AP138" s="40"/>
      <c r="AQ138" s="40"/>
      <c r="AR138" s="40"/>
      <c r="AS138" s="40"/>
      <c r="AT138" s="40"/>
      <c r="AU138" s="40"/>
      <c r="AV138" s="40"/>
      <c r="AW138" s="40"/>
      <c r="AX138" s="40"/>
      <c r="AY138" s="40"/>
      <c r="AZ138" s="40"/>
      <c r="BA138" s="40"/>
      <c r="BB138" s="40"/>
      <c r="BC138" s="40"/>
      <c r="BD138" s="40"/>
      <c r="BE138" s="40"/>
      <c r="BF138" s="40"/>
      <c r="BG138" s="40"/>
      <c r="BH138" s="40"/>
      <c r="BI138" s="40"/>
      <c r="BJ138" s="40"/>
      <c r="BK138" s="40"/>
      <c r="BL138" s="40"/>
      <c r="BM138" s="40"/>
      <c r="BN138" s="40"/>
      <c r="BO138" s="40"/>
      <c r="BP138" s="40"/>
      <c r="BQ138" s="40"/>
      <c r="BR138" s="40"/>
      <c r="BS138" s="40"/>
      <c r="BT138" s="40"/>
      <c r="BU138" s="40"/>
      <c r="BV138" s="40"/>
      <c r="BW138" s="40"/>
      <c r="BX138" s="40"/>
      <c r="BY138" s="40"/>
      <c r="BZ138" s="40"/>
      <c r="CA138" s="40"/>
      <c r="CB138" s="40"/>
      <c r="CC138" s="40"/>
      <c r="CD138" s="40"/>
      <c r="CE138" s="30">
        <f t="shared" si="6"/>
        <v>0</v>
      </c>
      <c r="CF138" s="5"/>
    </row>
    <row r="139" spans="1:84" s="38" customFormat="1" ht="13.5" customHeight="1" x14ac:dyDescent="0.25">
      <c r="A139" s="61" t="s">
        <v>52</v>
      </c>
      <c r="B139" s="75">
        <f t="shared" si="5"/>
        <v>0</v>
      </c>
      <c r="C139" s="67">
        <v>1</v>
      </c>
      <c r="D139" s="69">
        <v>44503</v>
      </c>
      <c r="E139" s="77">
        <v>23.33</v>
      </c>
      <c r="F139" s="77">
        <f t="shared" si="4"/>
        <v>0</v>
      </c>
      <c r="G139" s="75"/>
      <c r="H139" s="16"/>
      <c r="I139" s="16"/>
      <c r="J139" s="175"/>
      <c r="K139" s="16"/>
      <c r="L139" s="40"/>
      <c r="M139" s="40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40"/>
      <c r="Y139" s="40"/>
      <c r="Z139" s="40"/>
      <c r="AA139" s="40"/>
      <c r="AB139" s="40"/>
      <c r="AC139" s="40"/>
      <c r="AD139" s="40"/>
      <c r="AE139" s="40"/>
      <c r="AF139" s="40"/>
      <c r="AG139" s="40"/>
      <c r="AH139" s="40"/>
      <c r="AI139" s="40"/>
      <c r="AJ139" s="40"/>
      <c r="AK139" s="40"/>
      <c r="AL139" s="40"/>
      <c r="AM139" s="40"/>
      <c r="AN139" s="40"/>
      <c r="AO139" s="40"/>
      <c r="AP139" s="40"/>
      <c r="AQ139" s="40"/>
      <c r="AR139" s="40"/>
      <c r="AS139" s="40"/>
      <c r="AT139" s="40"/>
      <c r="AU139" s="40"/>
      <c r="AV139" s="40"/>
      <c r="AW139" s="40"/>
      <c r="AX139" s="40"/>
      <c r="AY139" s="40"/>
      <c r="AZ139" s="40"/>
      <c r="BA139" s="40"/>
      <c r="BB139" s="40"/>
      <c r="BC139" s="40"/>
      <c r="BD139" s="40"/>
      <c r="BE139" s="40"/>
      <c r="BF139" s="40"/>
      <c r="BG139" s="40"/>
      <c r="BH139" s="40"/>
      <c r="BI139" s="40"/>
      <c r="BJ139" s="40"/>
      <c r="BK139" s="40"/>
      <c r="BL139" s="40"/>
      <c r="BM139" s="40"/>
      <c r="BN139" s="40"/>
      <c r="BO139" s="40"/>
      <c r="BP139" s="40"/>
      <c r="BQ139" s="40"/>
      <c r="BR139" s="40"/>
      <c r="BS139" s="40"/>
      <c r="BT139" s="40"/>
      <c r="BU139" s="40"/>
      <c r="BV139" s="40"/>
      <c r="BW139" s="40"/>
      <c r="BX139" s="40"/>
      <c r="BY139" s="40"/>
      <c r="BZ139" s="40"/>
      <c r="CA139" s="40"/>
      <c r="CB139" s="40"/>
      <c r="CC139" s="40"/>
      <c r="CD139" s="40"/>
      <c r="CE139" s="30">
        <f t="shared" si="6"/>
        <v>0</v>
      </c>
      <c r="CF139" s="5"/>
    </row>
    <row r="140" spans="1:84" s="38" customFormat="1" ht="13.5" customHeight="1" x14ac:dyDescent="0.25">
      <c r="A140" s="61" t="s">
        <v>150</v>
      </c>
      <c r="B140" s="75">
        <f t="shared" si="5"/>
        <v>10</v>
      </c>
      <c r="C140" s="67">
        <v>10</v>
      </c>
      <c r="D140" s="70">
        <v>44585</v>
      </c>
      <c r="E140" s="77">
        <v>36.369999999999997</v>
      </c>
      <c r="F140" s="77">
        <f t="shared" ref="F140:F203" si="7">E140*B140</f>
        <v>363.7</v>
      </c>
      <c r="G140" s="75"/>
      <c r="H140" s="16"/>
      <c r="I140" s="16"/>
      <c r="J140" s="175"/>
      <c r="K140" s="16"/>
      <c r="L140" s="40"/>
      <c r="M140" s="40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40"/>
      <c r="Y140" s="40"/>
      <c r="Z140" s="40"/>
      <c r="AA140" s="40"/>
      <c r="AB140" s="40">
        <v>10</v>
      </c>
      <c r="AC140" s="40"/>
      <c r="AD140" s="40"/>
      <c r="AE140" s="40"/>
      <c r="AF140" s="40"/>
      <c r="AG140" s="40"/>
      <c r="AH140" s="40"/>
      <c r="AI140" s="40"/>
      <c r="AJ140" s="40"/>
      <c r="AK140" s="40"/>
      <c r="AL140" s="40"/>
      <c r="AM140" s="40"/>
      <c r="AN140" s="40"/>
      <c r="AO140" s="40"/>
      <c r="AP140" s="40"/>
      <c r="AQ140" s="40"/>
      <c r="AR140" s="40"/>
      <c r="AS140" s="40"/>
      <c r="AT140" s="40"/>
      <c r="AU140" s="40"/>
      <c r="AV140" s="40"/>
      <c r="AW140" s="40"/>
      <c r="AX140" s="40"/>
      <c r="AY140" s="40"/>
      <c r="AZ140" s="40"/>
      <c r="BA140" s="40"/>
      <c r="BB140" s="40"/>
      <c r="BC140" s="40"/>
      <c r="BD140" s="40">
        <v>10</v>
      </c>
      <c r="BE140" s="40"/>
      <c r="BF140" s="40"/>
      <c r="BG140" s="40"/>
      <c r="BH140" s="40"/>
      <c r="BI140" s="40"/>
      <c r="BJ140" s="40"/>
      <c r="BK140" s="40"/>
      <c r="BL140" s="40"/>
      <c r="BM140" s="40"/>
      <c r="BN140" s="40"/>
      <c r="BO140" s="40"/>
      <c r="BP140" s="40"/>
      <c r="BQ140" s="40"/>
      <c r="BR140" s="40"/>
      <c r="BS140" s="40"/>
      <c r="BT140" s="40"/>
      <c r="BU140" s="40"/>
      <c r="BV140" s="40"/>
      <c r="BW140" s="40"/>
      <c r="BX140" s="40"/>
      <c r="BY140" s="40"/>
      <c r="BZ140" s="40"/>
      <c r="CA140" s="40"/>
      <c r="CB140" s="40"/>
      <c r="CC140" s="40"/>
      <c r="CD140" s="40"/>
      <c r="CE140" s="30">
        <f t="shared" si="6"/>
        <v>0</v>
      </c>
      <c r="CF140" s="5"/>
    </row>
    <row r="141" spans="1:84" s="38" customFormat="1" ht="13.5" customHeight="1" x14ac:dyDescent="0.25">
      <c r="A141" s="61" t="s">
        <v>150</v>
      </c>
      <c r="B141" s="75">
        <f t="shared" si="5"/>
        <v>0</v>
      </c>
      <c r="C141" s="67">
        <v>1</v>
      </c>
      <c r="D141" s="70">
        <v>44585</v>
      </c>
      <c r="E141" s="77">
        <v>39.799999999999997</v>
      </c>
      <c r="F141" s="77">
        <f t="shared" si="7"/>
        <v>0</v>
      </c>
      <c r="G141" s="75"/>
      <c r="H141" s="16"/>
      <c r="I141" s="16"/>
      <c r="J141" s="175"/>
      <c r="K141" s="16"/>
      <c r="L141" s="40"/>
      <c r="M141" s="40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40"/>
      <c r="Y141" s="40"/>
      <c r="Z141" s="40"/>
      <c r="AA141" s="40"/>
      <c r="AB141" s="40"/>
      <c r="AC141" s="40"/>
      <c r="AD141" s="40"/>
      <c r="AE141" s="40"/>
      <c r="AF141" s="40"/>
      <c r="AG141" s="40"/>
      <c r="AH141" s="40"/>
      <c r="AI141" s="40"/>
      <c r="AJ141" s="40"/>
      <c r="AK141" s="40"/>
      <c r="AL141" s="40"/>
      <c r="AM141" s="40"/>
      <c r="AN141" s="40"/>
      <c r="AO141" s="40"/>
      <c r="AP141" s="40"/>
      <c r="AQ141" s="40"/>
      <c r="AR141" s="40"/>
      <c r="AS141" s="40"/>
      <c r="AT141" s="40"/>
      <c r="AU141" s="40"/>
      <c r="AV141" s="40"/>
      <c r="AW141" s="40"/>
      <c r="AX141" s="40"/>
      <c r="AY141" s="40"/>
      <c r="AZ141" s="40"/>
      <c r="BA141" s="40"/>
      <c r="BB141" s="40"/>
      <c r="BC141" s="40"/>
      <c r="BD141" s="40">
        <v>1</v>
      </c>
      <c r="BE141" s="40"/>
      <c r="BF141" s="40"/>
      <c r="BG141" s="40"/>
      <c r="BH141" s="40"/>
      <c r="BI141" s="40"/>
      <c r="BJ141" s="40"/>
      <c r="BK141" s="40">
        <v>1</v>
      </c>
      <c r="BL141" s="40"/>
      <c r="BM141" s="40"/>
      <c r="BN141" s="40"/>
      <c r="BO141" s="40"/>
      <c r="BP141" s="40"/>
      <c r="BQ141" s="40"/>
      <c r="BR141" s="40"/>
      <c r="BS141" s="40"/>
      <c r="BT141" s="40"/>
      <c r="BU141" s="40"/>
      <c r="BV141" s="40"/>
      <c r="BW141" s="40"/>
      <c r="BX141" s="40"/>
      <c r="BY141" s="40"/>
      <c r="BZ141" s="40"/>
      <c r="CA141" s="40"/>
      <c r="CB141" s="40"/>
      <c r="CC141" s="40"/>
      <c r="CD141" s="40"/>
      <c r="CE141" s="30">
        <f t="shared" si="6"/>
        <v>0</v>
      </c>
      <c r="CF141" s="5"/>
    </row>
    <row r="142" spans="1:84" s="38" customFormat="1" ht="13.5" customHeight="1" x14ac:dyDescent="0.25">
      <c r="A142" s="61" t="s">
        <v>150</v>
      </c>
      <c r="B142" s="75">
        <f t="shared" si="5"/>
        <v>0</v>
      </c>
      <c r="C142" s="67">
        <v>10</v>
      </c>
      <c r="D142" s="70">
        <v>44260</v>
      </c>
      <c r="E142" s="77">
        <v>33.36</v>
      </c>
      <c r="F142" s="77">
        <f t="shared" si="7"/>
        <v>0</v>
      </c>
      <c r="G142" s="75"/>
      <c r="H142" s="16"/>
      <c r="I142" s="16"/>
      <c r="J142" s="175"/>
      <c r="K142" s="16"/>
      <c r="L142" s="40"/>
      <c r="M142" s="40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40"/>
      <c r="Y142" s="40"/>
      <c r="Z142" s="40"/>
      <c r="AA142" s="40"/>
      <c r="AB142" s="40"/>
      <c r="AC142" s="40"/>
      <c r="AD142" s="40"/>
      <c r="AE142" s="40"/>
      <c r="AF142" s="40"/>
      <c r="AG142" s="40"/>
      <c r="AH142" s="40"/>
      <c r="AI142" s="40"/>
      <c r="AJ142" s="40"/>
      <c r="AK142" s="40"/>
      <c r="AL142" s="40"/>
      <c r="AM142" s="40"/>
      <c r="AN142" s="40"/>
      <c r="AO142" s="40"/>
      <c r="AP142" s="40"/>
      <c r="AQ142" s="40"/>
      <c r="AR142" s="40"/>
      <c r="AS142" s="40"/>
      <c r="AT142" s="40"/>
      <c r="AU142" s="40"/>
      <c r="AV142" s="40"/>
      <c r="AW142" s="40"/>
      <c r="AX142" s="40"/>
      <c r="AY142" s="40"/>
      <c r="AZ142" s="40"/>
      <c r="BA142" s="40"/>
      <c r="BB142" s="40"/>
      <c r="BC142" s="40"/>
      <c r="BD142" s="40"/>
      <c r="BE142" s="40"/>
      <c r="BF142" s="40"/>
      <c r="BG142" s="40"/>
      <c r="BH142" s="40"/>
      <c r="BI142" s="40"/>
      <c r="BJ142" s="40"/>
      <c r="BK142" s="40"/>
      <c r="BL142" s="40"/>
      <c r="BM142" s="40"/>
      <c r="BN142" s="40"/>
      <c r="BO142" s="40"/>
      <c r="BP142" s="40"/>
      <c r="BQ142" s="40"/>
      <c r="BR142" s="40"/>
      <c r="BS142" s="40"/>
      <c r="BT142" s="40"/>
      <c r="BU142" s="40"/>
      <c r="BV142" s="40"/>
      <c r="BW142" s="40"/>
      <c r="BX142" s="40"/>
      <c r="BY142" s="40"/>
      <c r="BZ142" s="40"/>
      <c r="CA142" s="40"/>
      <c r="CB142" s="40"/>
      <c r="CC142" s="40"/>
      <c r="CD142" s="40"/>
      <c r="CE142" s="30">
        <f t="shared" si="6"/>
        <v>0</v>
      </c>
      <c r="CF142" s="5"/>
    </row>
    <row r="143" spans="1:84" s="38" customFormat="1" x14ac:dyDescent="0.25">
      <c r="A143" s="24" t="s">
        <v>15</v>
      </c>
      <c r="B143" s="75">
        <f t="shared" si="5"/>
        <v>18</v>
      </c>
      <c r="C143" s="67">
        <v>9</v>
      </c>
      <c r="D143" s="69">
        <v>44585</v>
      </c>
      <c r="E143" s="77">
        <v>43.9</v>
      </c>
      <c r="F143" s="77">
        <f t="shared" si="7"/>
        <v>790.19999999999993</v>
      </c>
      <c r="G143" s="75"/>
      <c r="H143" s="16"/>
      <c r="I143" s="16"/>
      <c r="J143" s="175"/>
      <c r="K143" s="16"/>
      <c r="L143" s="40"/>
      <c r="M143" s="40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40"/>
      <c r="Y143" s="40"/>
      <c r="Z143" s="40"/>
      <c r="AA143" s="40"/>
      <c r="AB143" s="40">
        <v>18</v>
      </c>
      <c r="AC143" s="40"/>
      <c r="AD143" s="40"/>
      <c r="AE143" s="40"/>
      <c r="AF143" s="40"/>
      <c r="AG143" s="40"/>
      <c r="AH143" s="40"/>
      <c r="AI143" s="40"/>
      <c r="AJ143" s="40"/>
      <c r="AK143" s="40"/>
      <c r="AL143" s="40"/>
      <c r="AM143" s="40"/>
      <c r="AN143" s="40"/>
      <c r="AO143" s="40"/>
      <c r="AP143" s="40"/>
      <c r="AQ143" s="40"/>
      <c r="AR143" s="40"/>
      <c r="AS143" s="40"/>
      <c r="AT143" s="40"/>
      <c r="AU143" s="40"/>
      <c r="AV143" s="40"/>
      <c r="AW143" s="40"/>
      <c r="AX143" s="40"/>
      <c r="AY143" s="40"/>
      <c r="AZ143" s="40"/>
      <c r="BA143" s="40"/>
      <c r="BB143" s="40"/>
      <c r="BC143" s="40"/>
      <c r="BD143" s="40">
        <v>18</v>
      </c>
      <c r="BE143" s="40"/>
      <c r="BF143" s="40"/>
      <c r="BG143" s="40"/>
      <c r="BH143" s="40"/>
      <c r="BI143" s="40"/>
      <c r="BJ143" s="40"/>
      <c r="BK143" s="40"/>
      <c r="BL143" s="40"/>
      <c r="BM143" s="40"/>
      <c r="BN143" s="40"/>
      <c r="BO143" s="40"/>
      <c r="BP143" s="40"/>
      <c r="BQ143" s="40"/>
      <c r="BR143" s="40"/>
      <c r="BS143" s="40"/>
      <c r="BT143" s="40"/>
      <c r="BU143" s="40"/>
      <c r="BV143" s="40"/>
      <c r="BW143" s="40"/>
      <c r="BX143" s="40"/>
      <c r="BY143" s="40"/>
      <c r="BZ143" s="40"/>
      <c r="CA143" s="40"/>
      <c r="CB143" s="40"/>
      <c r="CC143" s="40"/>
      <c r="CD143" s="40"/>
      <c r="CE143" s="30">
        <f t="shared" si="6"/>
        <v>0</v>
      </c>
      <c r="CF143" s="5"/>
    </row>
    <row r="144" spans="1:84" s="38" customFormat="1" x14ac:dyDescent="0.25">
      <c r="A144" s="61" t="s">
        <v>15</v>
      </c>
      <c r="B144" s="75">
        <f t="shared" si="5"/>
        <v>9</v>
      </c>
      <c r="C144" s="67">
        <v>9</v>
      </c>
      <c r="D144" s="69">
        <v>44557</v>
      </c>
      <c r="E144" s="77">
        <v>44.9</v>
      </c>
      <c r="F144" s="77">
        <f t="shared" si="7"/>
        <v>404.09999999999997</v>
      </c>
      <c r="G144" s="75">
        <v>9</v>
      </c>
      <c r="H144" s="16"/>
      <c r="I144" s="16"/>
      <c r="J144" s="175"/>
      <c r="K144" s="16"/>
      <c r="L144" s="40"/>
      <c r="M144" s="40"/>
      <c r="N144" s="40"/>
      <c r="O144" s="40"/>
      <c r="P144" s="40"/>
      <c r="Q144" s="40"/>
      <c r="R144" s="40"/>
      <c r="S144" s="40"/>
      <c r="T144" s="40"/>
      <c r="U144" s="40"/>
      <c r="V144" s="40"/>
      <c r="W144" s="40"/>
      <c r="X144" s="40"/>
      <c r="Y144" s="40"/>
      <c r="Z144" s="40"/>
      <c r="AA144" s="40">
        <v>9</v>
      </c>
      <c r="AB144" s="40"/>
      <c r="AC144" s="40"/>
      <c r="AD144" s="40"/>
      <c r="AE144" s="40"/>
      <c r="AF144" s="40"/>
      <c r="AG144" s="40"/>
      <c r="AH144" s="40"/>
      <c r="AI144" s="40"/>
      <c r="AJ144" s="40"/>
      <c r="AK144" s="40"/>
      <c r="AL144" s="40"/>
      <c r="AM144" s="40"/>
      <c r="AN144" s="40"/>
      <c r="AO144" s="40"/>
      <c r="AP144" s="40"/>
      <c r="AQ144" s="40"/>
      <c r="AR144" s="40"/>
      <c r="AS144" s="40"/>
      <c r="AT144" s="40"/>
      <c r="AU144" s="40"/>
      <c r="AV144" s="40"/>
      <c r="AW144" s="40"/>
      <c r="AX144" s="40"/>
      <c r="AY144" s="40"/>
      <c r="AZ144" s="40"/>
      <c r="BA144" s="40"/>
      <c r="BB144" s="40"/>
      <c r="BC144" s="40"/>
      <c r="BD144" s="40"/>
      <c r="BE144" s="40"/>
      <c r="BF144" s="40"/>
      <c r="BG144" s="40"/>
      <c r="BH144" s="40"/>
      <c r="BI144" s="40"/>
      <c r="BJ144" s="40"/>
      <c r="BK144" s="40"/>
      <c r="BL144" s="40"/>
      <c r="BM144" s="40"/>
      <c r="BN144" s="40"/>
      <c r="BO144" s="40"/>
      <c r="BP144" s="40"/>
      <c r="BQ144" s="40"/>
      <c r="BR144" s="40"/>
      <c r="BS144" s="40"/>
      <c r="BT144" s="40"/>
      <c r="BU144" s="40"/>
      <c r="BV144" s="40"/>
      <c r="BW144" s="40"/>
      <c r="BX144" s="40"/>
      <c r="BY144" s="40"/>
      <c r="BZ144" s="40"/>
      <c r="CA144" s="40"/>
      <c r="CB144" s="40"/>
      <c r="CC144" s="40"/>
      <c r="CD144" s="40"/>
      <c r="CE144" s="30">
        <f t="shared" si="6"/>
        <v>0</v>
      </c>
      <c r="CF144" s="5"/>
    </row>
    <row r="145" spans="1:84" s="38" customFormat="1" x14ac:dyDescent="0.25">
      <c r="A145" s="61" t="s">
        <v>101</v>
      </c>
      <c r="B145" s="75">
        <f t="shared" si="5"/>
        <v>0</v>
      </c>
      <c r="C145" s="67">
        <v>0.8</v>
      </c>
      <c r="D145" s="69">
        <v>44319</v>
      </c>
      <c r="E145" s="77">
        <v>59.87</v>
      </c>
      <c r="F145" s="77">
        <f t="shared" si="7"/>
        <v>0</v>
      </c>
      <c r="G145" s="75"/>
      <c r="H145" s="16"/>
      <c r="I145" s="16"/>
      <c r="J145" s="175"/>
      <c r="K145" s="16"/>
      <c r="L145" s="40"/>
      <c r="M145" s="40"/>
      <c r="N145" s="40"/>
      <c r="O145" s="40"/>
      <c r="P145" s="40"/>
      <c r="Q145" s="40"/>
      <c r="R145" s="40"/>
      <c r="S145" s="40"/>
      <c r="T145" s="40"/>
      <c r="U145" s="40"/>
      <c r="V145" s="40"/>
      <c r="W145" s="40"/>
      <c r="X145" s="40"/>
      <c r="Y145" s="40"/>
      <c r="Z145" s="40"/>
      <c r="AA145" s="40"/>
      <c r="AB145" s="40"/>
      <c r="AC145" s="40"/>
      <c r="AD145" s="40"/>
      <c r="AE145" s="40"/>
      <c r="AF145" s="40"/>
      <c r="AG145" s="40"/>
      <c r="AH145" s="40"/>
      <c r="AI145" s="40"/>
      <c r="AJ145" s="40"/>
      <c r="AK145" s="40"/>
      <c r="AL145" s="40"/>
      <c r="AM145" s="40"/>
      <c r="AN145" s="40"/>
      <c r="AO145" s="40"/>
      <c r="AP145" s="40"/>
      <c r="AQ145" s="40"/>
      <c r="AR145" s="40"/>
      <c r="AS145" s="40"/>
      <c r="AT145" s="40"/>
      <c r="AU145" s="40"/>
      <c r="AV145" s="40"/>
      <c r="AW145" s="40"/>
      <c r="AX145" s="40"/>
      <c r="AY145" s="40"/>
      <c r="AZ145" s="40"/>
      <c r="BA145" s="40"/>
      <c r="BB145" s="40"/>
      <c r="BC145" s="40"/>
      <c r="BD145" s="40"/>
      <c r="BE145" s="40"/>
      <c r="BF145" s="40"/>
      <c r="BG145" s="40"/>
      <c r="BH145" s="40"/>
      <c r="BI145" s="40"/>
      <c r="BJ145" s="40"/>
      <c r="BK145" s="40"/>
      <c r="BL145" s="40"/>
      <c r="BM145" s="40"/>
      <c r="BN145" s="40"/>
      <c r="BO145" s="40"/>
      <c r="BP145" s="40"/>
      <c r="BQ145" s="40"/>
      <c r="BR145" s="40"/>
      <c r="BS145" s="40"/>
      <c r="BT145" s="40"/>
      <c r="BU145" s="40"/>
      <c r="BV145" s="40"/>
      <c r="BW145" s="40"/>
      <c r="BX145" s="40"/>
      <c r="BY145" s="40"/>
      <c r="BZ145" s="40"/>
      <c r="CA145" s="40"/>
      <c r="CB145" s="40"/>
      <c r="CC145" s="40"/>
      <c r="CD145" s="40"/>
      <c r="CE145" s="30">
        <f t="shared" si="6"/>
        <v>0</v>
      </c>
      <c r="CF145" s="5"/>
    </row>
    <row r="146" spans="1:84" s="38" customFormat="1" x14ac:dyDescent="0.25">
      <c r="A146" s="45" t="s">
        <v>101</v>
      </c>
      <c r="B146" s="75">
        <f t="shared" si="5"/>
        <v>0</v>
      </c>
      <c r="C146" s="67">
        <v>8</v>
      </c>
      <c r="D146" s="70">
        <v>44543</v>
      </c>
      <c r="E146" s="77">
        <v>58.06</v>
      </c>
      <c r="F146" s="77">
        <f t="shared" si="7"/>
        <v>0</v>
      </c>
      <c r="G146" s="75"/>
      <c r="H146" s="16"/>
      <c r="I146" s="16"/>
      <c r="J146" s="175"/>
      <c r="K146" s="16"/>
      <c r="L146" s="40"/>
      <c r="M146" s="40"/>
      <c r="N146" s="40"/>
      <c r="O146" s="40"/>
      <c r="P146" s="40"/>
      <c r="Q146" s="40"/>
      <c r="R146" s="40"/>
      <c r="S146" s="40"/>
      <c r="T146" s="40"/>
      <c r="U146" s="40"/>
      <c r="V146" s="40"/>
      <c r="W146" s="40"/>
      <c r="X146" s="40"/>
      <c r="Y146" s="40"/>
      <c r="Z146" s="40"/>
      <c r="AA146" s="40"/>
      <c r="AB146" s="40"/>
      <c r="AC146" s="40"/>
      <c r="AD146" s="40"/>
      <c r="AE146" s="40"/>
      <c r="AF146" s="40"/>
      <c r="AG146" s="40"/>
      <c r="AH146" s="40"/>
      <c r="AI146" s="40"/>
      <c r="AJ146" s="40"/>
      <c r="AK146" s="40"/>
      <c r="AL146" s="40"/>
      <c r="AM146" s="40"/>
      <c r="AN146" s="40"/>
      <c r="AO146" s="40"/>
      <c r="AP146" s="40"/>
      <c r="AQ146" s="40"/>
      <c r="AR146" s="40"/>
      <c r="AS146" s="40"/>
      <c r="AT146" s="40"/>
      <c r="AU146" s="40"/>
      <c r="AV146" s="40"/>
      <c r="AW146" s="40"/>
      <c r="AX146" s="40"/>
      <c r="AY146" s="40"/>
      <c r="AZ146" s="40"/>
      <c r="BA146" s="40"/>
      <c r="BB146" s="40"/>
      <c r="BC146" s="40"/>
      <c r="BD146" s="40"/>
      <c r="BE146" s="40"/>
      <c r="BF146" s="40"/>
      <c r="BG146" s="40"/>
      <c r="BH146" s="40"/>
      <c r="BI146" s="40"/>
      <c r="BJ146" s="40"/>
      <c r="BK146" s="40"/>
      <c r="BL146" s="40"/>
      <c r="BM146" s="40"/>
      <c r="BN146" s="40"/>
      <c r="BO146" s="40"/>
      <c r="BP146" s="40"/>
      <c r="BQ146" s="40"/>
      <c r="BR146" s="40"/>
      <c r="BS146" s="40"/>
      <c r="BT146" s="40"/>
      <c r="BU146" s="40"/>
      <c r="BV146" s="40"/>
      <c r="BW146" s="40"/>
      <c r="BX146" s="40"/>
      <c r="BY146" s="40"/>
      <c r="BZ146" s="40"/>
      <c r="CA146" s="40"/>
      <c r="CB146" s="40"/>
      <c r="CC146" s="40"/>
      <c r="CD146" s="40"/>
      <c r="CE146" s="30">
        <f t="shared" si="6"/>
        <v>0</v>
      </c>
      <c r="CF146" s="5"/>
    </row>
    <row r="147" spans="1:84" s="38" customFormat="1" x14ac:dyDescent="0.25">
      <c r="A147" s="45" t="s">
        <v>62</v>
      </c>
      <c r="B147" s="75">
        <f t="shared" si="5"/>
        <v>0</v>
      </c>
      <c r="C147" s="67">
        <v>0.8</v>
      </c>
      <c r="D147" s="70">
        <v>44585</v>
      </c>
      <c r="E147" s="77">
        <v>38.68</v>
      </c>
      <c r="F147" s="77">
        <f t="shared" si="7"/>
        <v>0</v>
      </c>
      <c r="G147" s="75"/>
      <c r="H147" s="16"/>
      <c r="I147" s="16"/>
      <c r="J147" s="175"/>
      <c r="K147" s="16"/>
      <c r="L147" s="40"/>
      <c r="M147" s="40"/>
      <c r="N147" s="40"/>
      <c r="O147" s="40"/>
      <c r="P147" s="40"/>
      <c r="Q147" s="40"/>
      <c r="R147" s="40"/>
      <c r="S147" s="40"/>
      <c r="T147" s="40"/>
      <c r="U147" s="40"/>
      <c r="V147" s="40"/>
      <c r="W147" s="40"/>
      <c r="X147" s="40"/>
      <c r="Y147" s="40"/>
      <c r="Z147" s="40"/>
      <c r="AA147" s="40"/>
      <c r="AB147" s="40"/>
      <c r="AC147" s="40"/>
      <c r="AD147" s="40"/>
      <c r="AE147" s="40"/>
      <c r="AF147" s="40"/>
      <c r="AG147" s="40"/>
      <c r="AH147" s="40"/>
      <c r="AI147" s="40"/>
      <c r="AJ147" s="40"/>
      <c r="AK147" s="40"/>
      <c r="AL147" s="40"/>
      <c r="AM147" s="40"/>
      <c r="AN147" s="40"/>
      <c r="AO147" s="40"/>
      <c r="AP147" s="40"/>
      <c r="AQ147" s="40"/>
      <c r="AR147" s="40"/>
      <c r="AS147" s="40"/>
      <c r="AT147" s="40"/>
      <c r="AU147" s="40"/>
      <c r="AV147" s="40"/>
      <c r="AW147" s="40"/>
      <c r="AX147" s="40"/>
      <c r="AY147" s="40"/>
      <c r="AZ147" s="40"/>
      <c r="BA147" s="40"/>
      <c r="BB147" s="40"/>
      <c r="BC147" s="40"/>
      <c r="BD147" s="40">
        <v>1.6</v>
      </c>
      <c r="BE147" s="40"/>
      <c r="BF147" s="40"/>
      <c r="BG147" s="40"/>
      <c r="BH147" s="40"/>
      <c r="BI147" s="40"/>
      <c r="BJ147" s="40"/>
      <c r="BK147" s="40"/>
      <c r="BL147" s="40"/>
      <c r="BM147" s="40"/>
      <c r="BN147" s="40"/>
      <c r="BO147" s="40"/>
      <c r="BP147" s="40"/>
      <c r="BQ147" s="40"/>
      <c r="BR147" s="40"/>
      <c r="BS147" s="40">
        <v>1.6</v>
      </c>
      <c r="BT147" s="40"/>
      <c r="BU147" s="40"/>
      <c r="BV147" s="40"/>
      <c r="BW147" s="40"/>
      <c r="BX147" s="40"/>
      <c r="BY147" s="40"/>
      <c r="BZ147" s="40"/>
      <c r="CA147" s="40"/>
      <c r="CB147" s="40"/>
      <c r="CC147" s="40"/>
      <c r="CD147" s="40"/>
      <c r="CE147" s="30">
        <f t="shared" si="6"/>
        <v>0</v>
      </c>
      <c r="CF147" s="5"/>
    </row>
    <row r="148" spans="1:84" s="38" customFormat="1" x14ac:dyDescent="0.25">
      <c r="A148" s="45" t="s">
        <v>62</v>
      </c>
      <c r="B148" s="75">
        <f t="shared" si="5"/>
        <v>0</v>
      </c>
      <c r="C148" s="67">
        <v>8</v>
      </c>
      <c r="D148" s="70">
        <v>44564</v>
      </c>
      <c r="E148" s="77">
        <v>37.340000000000003</v>
      </c>
      <c r="F148" s="77">
        <f t="shared" si="7"/>
        <v>0</v>
      </c>
      <c r="G148" s="75"/>
      <c r="H148" s="16"/>
      <c r="I148" s="16"/>
      <c r="J148" s="175"/>
      <c r="K148" s="16"/>
      <c r="L148" s="40"/>
      <c r="M148" s="40"/>
      <c r="N148" s="40"/>
      <c r="O148" s="40"/>
      <c r="P148" s="40"/>
      <c r="Q148" s="40">
        <v>32</v>
      </c>
      <c r="R148" s="40"/>
      <c r="S148" s="40"/>
      <c r="T148" s="40"/>
      <c r="U148" s="40"/>
      <c r="V148" s="40"/>
      <c r="W148" s="40"/>
      <c r="X148" s="40"/>
      <c r="Y148" s="40"/>
      <c r="Z148" s="40"/>
      <c r="AA148" s="40"/>
      <c r="AB148" s="40"/>
      <c r="AC148" s="40"/>
      <c r="AD148" s="40"/>
      <c r="AE148" s="40"/>
      <c r="AF148" s="40"/>
      <c r="AG148" s="40"/>
      <c r="AH148" s="40"/>
      <c r="AI148" s="40"/>
      <c r="AJ148" s="40"/>
      <c r="AK148" s="40"/>
      <c r="AL148" s="40"/>
      <c r="AM148" s="40"/>
      <c r="AN148" s="40"/>
      <c r="AO148" s="40"/>
      <c r="AP148" s="40"/>
      <c r="AQ148" s="40"/>
      <c r="AR148" s="40"/>
      <c r="AS148" s="40"/>
      <c r="AT148" s="40"/>
      <c r="AU148" s="40"/>
      <c r="AV148" s="40"/>
      <c r="AW148" s="40">
        <v>32</v>
      </c>
      <c r="AX148" s="40"/>
      <c r="AY148" s="40"/>
      <c r="AZ148" s="40"/>
      <c r="BA148" s="40"/>
      <c r="BB148" s="40"/>
      <c r="BC148" s="40"/>
      <c r="BD148" s="40"/>
      <c r="BE148" s="40"/>
      <c r="BF148" s="40"/>
      <c r="BG148" s="40"/>
      <c r="BH148" s="40"/>
      <c r="BI148" s="40"/>
      <c r="BJ148" s="40"/>
      <c r="BK148" s="40"/>
      <c r="BL148" s="40"/>
      <c r="BM148" s="40"/>
      <c r="BN148" s="40"/>
      <c r="BO148" s="40"/>
      <c r="BP148" s="40"/>
      <c r="BQ148" s="40"/>
      <c r="BR148" s="40"/>
      <c r="BS148" s="40"/>
      <c r="BT148" s="40"/>
      <c r="BU148" s="40"/>
      <c r="BV148" s="40"/>
      <c r="BW148" s="40"/>
      <c r="BX148" s="40"/>
      <c r="BY148" s="40"/>
      <c r="BZ148" s="40"/>
      <c r="CA148" s="40"/>
      <c r="CB148" s="40"/>
      <c r="CC148" s="40"/>
      <c r="CD148" s="40"/>
      <c r="CE148" s="30">
        <f t="shared" si="6"/>
        <v>0</v>
      </c>
      <c r="CF148" s="5"/>
    </row>
    <row r="149" spans="1:84" s="38" customFormat="1" x14ac:dyDescent="0.25">
      <c r="A149" s="45" t="s">
        <v>355</v>
      </c>
      <c r="B149" s="75">
        <f t="shared" si="5"/>
        <v>0</v>
      </c>
      <c r="C149" s="67">
        <v>1</v>
      </c>
      <c r="D149" s="70">
        <v>44354</v>
      </c>
      <c r="E149" s="77">
        <v>23.57</v>
      </c>
      <c r="F149" s="77">
        <f t="shared" si="7"/>
        <v>0</v>
      </c>
      <c r="G149" s="75"/>
      <c r="H149" s="16"/>
      <c r="I149" s="16"/>
      <c r="J149" s="175"/>
      <c r="K149" s="16"/>
      <c r="L149" s="40"/>
      <c r="M149" s="40"/>
      <c r="N149" s="40"/>
      <c r="O149" s="40"/>
      <c r="P149" s="40"/>
      <c r="Q149" s="40"/>
      <c r="R149" s="40"/>
      <c r="S149" s="40"/>
      <c r="T149" s="40"/>
      <c r="U149" s="40"/>
      <c r="V149" s="40"/>
      <c r="W149" s="40"/>
      <c r="X149" s="40"/>
      <c r="Y149" s="40"/>
      <c r="Z149" s="40"/>
      <c r="AA149" s="40"/>
      <c r="AB149" s="40"/>
      <c r="AC149" s="40"/>
      <c r="AD149" s="40"/>
      <c r="AE149" s="40"/>
      <c r="AF149" s="40"/>
      <c r="AG149" s="40"/>
      <c r="AH149" s="40"/>
      <c r="AI149" s="40"/>
      <c r="AJ149" s="40"/>
      <c r="AK149" s="40"/>
      <c r="AL149" s="40"/>
      <c r="AM149" s="40"/>
      <c r="AN149" s="40"/>
      <c r="AO149" s="40"/>
      <c r="AP149" s="40"/>
      <c r="AQ149" s="40"/>
      <c r="AR149" s="40"/>
      <c r="AS149" s="40"/>
      <c r="AT149" s="40"/>
      <c r="AU149" s="40"/>
      <c r="AV149" s="40"/>
      <c r="AW149" s="40"/>
      <c r="AX149" s="40"/>
      <c r="AY149" s="40"/>
      <c r="AZ149" s="40"/>
      <c r="BA149" s="40"/>
      <c r="BB149" s="40"/>
      <c r="BC149" s="40"/>
      <c r="BD149" s="40"/>
      <c r="BE149" s="40"/>
      <c r="BF149" s="40"/>
      <c r="BG149" s="40"/>
      <c r="BH149" s="40"/>
      <c r="BI149" s="40"/>
      <c r="BJ149" s="40"/>
      <c r="BK149" s="40"/>
      <c r="BL149" s="40"/>
      <c r="BM149" s="40"/>
      <c r="BN149" s="40"/>
      <c r="BO149" s="40"/>
      <c r="BP149" s="40"/>
      <c r="BQ149" s="40"/>
      <c r="BR149" s="40"/>
      <c r="BS149" s="40"/>
      <c r="BT149" s="40"/>
      <c r="BU149" s="40"/>
      <c r="BV149" s="40"/>
      <c r="BW149" s="40"/>
      <c r="BX149" s="40"/>
      <c r="BY149" s="40"/>
      <c r="BZ149" s="40"/>
      <c r="CA149" s="40"/>
      <c r="CB149" s="40"/>
      <c r="CC149" s="40"/>
      <c r="CD149" s="40"/>
      <c r="CE149" s="30">
        <f t="shared" si="6"/>
        <v>0</v>
      </c>
      <c r="CF149" s="5"/>
    </row>
    <row r="150" spans="1:84" s="38" customFormat="1" x14ac:dyDescent="0.25">
      <c r="A150" s="61" t="s">
        <v>222</v>
      </c>
      <c r="B150" s="75">
        <f t="shared" si="5"/>
        <v>2</v>
      </c>
      <c r="C150" s="67">
        <v>1</v>
      </c>
      <c r="D150" s="70">
        <v>44543</v>
      </c>
      <c r="E150" s="77">
        <v>23.89</v>
      </c>
      <c r="F150" s="77">
        <f t="shared" si="7"/>
        <v>47.78</v>
      </c>
      <c r="G150" s="75">
        <v>2</v>
      </c>
      <c r="H150" s="16"/>
      <c r="I150" s="16"/>
      <c r="J150" s="175"/>
      <c r="K150" s="16"/>
      <c r="L150" s="40"/>
      <c r="M150" s="40"/>
      <c r="N150" s="40"/>
      <c r="O150" s="40"/>
      <c r="P150" s="40"/>
      <c r="Q150" s="40"/>
      <c r="R150" s="40"/>
      <c r="S150" s="40"/>
      <c r="T150" s="40"/>
      <c r="U150" s="40"/>
      <c r="V150" s="40"/>
      <c r="W150" s="40"/>
      <c r="X150" s="40"/>
      <c r="Y150" s="40">
        <v>2</v>
      </c>
      <c r="Z150" s="40"/>
      <c r="AA150" s="40"/>
      <c r="AB150" s="40"/>
      <c r="AC150" s="40"/>
      <c r="AD150" s="40"/>
      <c r="AE150" s="40"/>
      <c r="AF150" s="40"/>
      <c r="AG150" s="40"/>
      <c r="AH150" s="40"/>
      <c r="AI150" s="40"/>
      <c r="AJ150" s="40"/>
      <c r="AK150" s="40"/>
      <c r="AL150" s="40"/>
      <c r="AM150" s="40"/>
      <c r="AN150" s="40"/>
      <c r="AO150" s="40"/>
      <c r="AP150" s="40"/>
      <c r="AQ150" s="40"/>
      <c r="AR150" s="40"/>
      <c r="AS150" s="40"/>
      <c r="AT150" s="40"/>
      <c r="AU150" s="40"/>
      <c r="AV150" s="40"/>
      <c r="AW150" s="40"/>
      <c r="AX150" s="40"/>
      <c r="AY150" s="40"/>
      <c r="AZ150" s="40"/>
      <c r="BA150" s="40"/>
      <c r="BB150" s="40"/>
      <c r="BC150" s="40"/>
      <c r="BD150" s="40"/>
      <c r="BE150" s="40"/>
      <c r="BF150" s="40"/>
      <c r="BG150" s="40"/>
      <c r="BH150" s="40"/>
      <c r="BI150" s="40"/>
      <c r="BJ150" s="40"/>
      <c r="BK150" s="40"/>
      <c r="BL150" s="40"/>
      <c r="BM150" s="40"/>
      <c r="BN150" s="40"/>
      <c r="BO150" s="40"/>
      <c r="BP150" s="40"/>
      <c r="BQ150" s="40"/>
      <c r="BR150" s="40"/>
      <c r="BS150" s="40"/>
      <c r="BT150" s="40"/>
      <c r="BU150" s="40"/>
      <c r="BV150" s="40"/>
      <c r="BW150" s="40"/>
      <c r="BX150" s="40"/>
      <c r="BY150" s="40"/>
      <c r="BZ150" s="40"/>
      <c r="CA150" s="40"/>
      <c r="CB150" s="40"/>
      <c r="CC150" s="40"/>
      <c r="CD150" s="40"/>
      <c r="CE150" s="30">
        <f t="shared" si="6"/>
        <v>0</v>
      </c>
      <c r="CF150" s="5"/>
    </row>
    <row r="151" spans="1:84" s="38" customFormat="1" x14ac:dyDescent="0.25">
      <c r="A151" s="61" t="s">
        <v>222</v>
      </c>
      <c r="B151" s="75">
        <f t="shared" si="5"/>
        <v>0</v>
      </c>
      <c r="C151" s="67">
        <v>10</v>
      </c>
      <c r="D151" s="70">
        <v>44557</v>
      </c>
      <c r="E151" s="77">
        <v>20.46</v>
      </c>
      <c r="F151" s="77">
        <f t="shared" si="7"/>
        <v>0</v>
      </c>
      <c r="G151" s="75">
        <v>10</v>
      </c>
      <c r="H151" s="16"/>
      <c r="I151" s="16"/>
      <c r="J151" s="175"/>
      <c r="K151" s="16"/>
      <c r="L151" s="40"/>
      <c r="M151" s="40"/>
      <c r="N151" s="40"/>
      <c r="O151" s="40"/>
      <c r="P151" s="40"/>
      <c r="Q151" s="40"/>
      <c r="R151" s="40"/>
      <c r="S151" s="40"/>
      <c r="T151" s="40"/>
      <c r="U151" s="40"/>
      <c r="V151" s="40"/>
      <c r="W151" s="40"/>
      <c r="X151" s="40"/>
      <c r="Y151" s="40"/>
      <c r="Z151" s="40"/>
      <c r="AA151" s="40"/>
      <c r="AB151" s="40"/>
      <c r="AC151" s="40"/>
      <c r="AD151" s="40"/>
      <c r="AE151" s="40"/>
      <c r="AF151" s="40"/>
      <c r="AG151" s="40"/>
      <c r="AH151" s="40"/>
      <c r="AI151" s="40"/>
      <c r="AJ151" s="40"/>
      <c r="AK151" s="40"/>
      <c r="AL151" s="40"/>
      <c r="AM151" s="40"/>
      <c r="AN151" s="40"/>
      <c r="AO151" s="40"/>
      <c r="AP151" s="40"/>
      <c r="AQ151" s="40"/>
      <c r="AR151" s="40"/>
      <c r="AS151" s="40"/>
      <c r="AT151" s="40"/>
      <c r="AU151" s="40"/>
      <c r="AV151" s="40">
        <v>10</v>
      </c>
      <c r="AW151" s="40"/>
      <c r="AX151" s="40"/>
      <c r="AY151" s="40"/>
      <c r="AZ151" s="40"/>
      <c r="BA151" s="40"/>
      <c r="BB151" s="40"/>
      <c r="BC151" s="40"/>
      <c r="BD151" s="40"/>
      <c r="BE151" s="40"/>
      <c r="BF151" s="40"/>
      <c r="BG151" s="40"/>
      <c r="BH151" s="40"/>
      <c r="BI151" s="40"/>
      <c r="BJ151" s="40"/>
      <c r="BK151" s="40"/>
      <c r="BL151" s="40"/>
      <c r="BM151" s="40"/>
      <c r="BN151" s="40"/>
      <c r="BO151" s="40"/>
      <c r="BP151" s="40"/>
      <c r="BQ151" s="40"/>
      <c r="BR151" s="40"/>
      <c r="BS151" s="40"/>
      <c r="BT151" s="40"/>
      <c r="BU151" s="40"/>
      <c r="BV151" s="40"/>
      <c r="BW151" s="40"/>
      <c r="BX151" s="40"/>
      <c r="BY151" s="40"/>
      <c r="BZ151" s="40"/>
      <c r="CA151" s="40"/>
      <c r="CB151" s="40"/>
      <c r="CC151" s="40"/>
      <c r="CD151" s="40"/>
      <c r="CE151" s="30">
        <f t="shared" si="6"/>
        <v>0</v>
      </c>
      <c r="CF151" s="5"/>
    </row>
    <row r="152" spans="1:84" s="38" customFormat="1" x14ac:dyDescent="0.25">
      <c r="A152" s="61" t="s">
        <v>459</v>
      </c>
      <c r="B152" s="75">
        <f t="shared" si="5"/>
        <v>0</v>
      </c>
      <c r="C152" s="67">
        <v>0.8</v>
      </c>
      <c r="D152" s="70">
        <v>44319</v>
      </c>
      <c r="E152" s="77">
        <v>43.04</v>
      </c>
      <c r="F152" s="77">
        <f t="shared" si="7"/>
        <v>0</v>
      </c>
      <c r="G152" s="75"/>
      <c r="H152" s="16"/>
      <c r="I152" s="16"/>
      <c r="J152" s="175"/>
      <c r="K152" s="16"/>
      <c r="L152" s="40"/>
      <c r="M152" s="40"/>
      <c r="N152" s="40"/>
      <c r="O152" s="40"/>
      <c r="P152" s="40"/>
      <c r="Q152" s="40"/>
      <c r="R152" s="40"/>
      <c r="S152" s="40"/>
      <c r="T152" s="40"/>
      <c r="U152" s="40"/>
      <c r="V152" s="40"/>
      <c r="W152" s="40"/>
      <c r="X152" s="40"/>
      <c r="Y152" s="40"/>
      <c r="Z152" s="40"/>
      <c r="AA152" s="40"/>
      <c r="AB152" s="40"/>
      <c r="AC152" s="40"/>
      <c r="AD152" s="40"/>
      <c r="AE152" s="40"/>
      <c r="AF152" s="40"/>
      <c r="AG152" s="40"/>
      <c r="AH152" s="40"/>
      <c r="AI152" s="40"/>
      <c r="AJ152" s="40"/>
      <c r="AK152" s="40"/>
      <c r="AL152" s="40"/>
      <c r="AM152" s="40"/>
      <c r="AN152" s="40"/>
      <c r="AO152" s="40"/>
      <c r="AP152" s="40"/>
      <c r="AQ152" s="40"/>
      <c r="AR152" s="40"/>
      <c r="AS152" s="40"/>
      <c r="AT152" s="40"/>
      <c r="AU152" s="40"/>
      <c r="AV152" s="40"/>
      <c r="AW152" s="40"/>
      <c r="AX152" s="40"/>
      <c r="AY152" s="40"/>
      <c r="AZ152" s="40"/>
      <c r="BA152" s="40"/>
      <c r="BB152" s="40"/>
      <c r="BC152" s="40"/>
      <c r="BD152" s="40"/>
      <c r="BE152" s="40"/>
      <c r="BF152" s="40"/>
      <c r="BG152" s="40"/>
      <c r="BH152" s="40"/>
      <c r="BI152" s="40"/>
      <c r="BJ152" s="40"/>
      <c r="BK152" s="40"/>
      <c r="BL152" s="40"/>
      <c r="BM152" s="40"/>
      <c r="BN152" s="40"/>
      <c r="BO152" s="40"/>
      <c r="BP152" s="40"/>
      <c r="BQ152" s="40"/>
      <c r="BR152" s="40"/>
      <c r="BS152" s="40"/>
      <c r="BT152" s="40"/>
      <c r="BU152" s="40"/>
      <c r="BV152" s="40"/>
      <c r="BW152" s="40"/>
      <c r="BX152" s="40"/>
      <c r="BY152" s="40"/>
      <c r="BZ152" s="40"/>
      <c r="CA152" s="40"/>
      <c r="CB152" s="40"/>
      <c r="CC152" s="40"/>
      <c r="CD152" s="40"/>
      <c r="CE152" s="30">
        <f t="shared" si="6"/>
        <v>0</v>
      </c>
      <c r="CF152" s="5"/>
    </row>
    <row r="153" spans="1:84" s="38" customFormat="1" x14ac:dyDescent="0.25">
      <c r="A153" s="61" t="s">
        <v>197</v>
      </c>
      <c r="B153" s="75">
        <f t="shared" si="5"/>
        <v>0</v>
      </c>
      <c r="C153" s="67">
        <v>0.8</v>
      </c>
      <c r="D153" s="70">
        <v>44522</v>
      </c>
      <c r="E153" s="77">
        <v>30.57</v>
      </c>
      <c r="F153" s="77">
        <f t="shared" si="7"/>
        <v>0</v>
      </c>
      <c r="G153" s="75"/>
      <c r="H153" s="16"/>
      <c r="I153" s="16"/>
      <c r="J153" s="175"/>
      <c r="K153" s="16"/>
      <c r="L153" s="40"/>
      <c r="M153" s="40"/>
      <c r="N153" s="40"/>
      <c r="O153" s="40"/>
      <c r="P153" s="40"/>
      <c r="Q153" s="40"/>
      <c r="R153" s="40"/>
      <c r="S153" s="40"/>
      <c r="T153" s="40"/>
      <c r="U153" s="40"/>
      <c r="V153" s="40"/>
      <c r="W153" s="40"/>
      <c r="X153" s="40"/>
      <c r="Y153" s="40"/>
      <c r="Z153" s="40"/>
      <c r="AA153" s="40"/>
      <c r="AB153" s="40"/>
      <c r="AC153" s="40"/>
      <c r="AD153" s="40"/>
      <c r="AE153" s="40"/>
      <c r="AF153" s="40"/>
      <c r="AG153" s="40"/>
      <c r="AH153" s="40"/>
      <c r="AI153" s="40"/>
      <c r="AJ153" s="40"/>
      <c r="AK153" s="40"/>
      <c r="AL153" s="40"/>
      <c r="AM153" s="40"/>
      <c r="AN153" s="40"/>
      <c r="AO153" s="40"/>
      <c r="AP153" s="40"/>
      <c r="AQ153" s="40"/>
      <c r="AR153" s="40"/>
      <c r="AS153" s="40"/>
      <c r="AT153" s="40"/>
      <c r="AU153" s="40"/>
      <c r="AV153" s="40"/>
      <c r="AW153" s="40"/>
      <c r="AX153" s="40"/>
      <c r="AY153" s="40"/>
      <c r="AZ153" s="40"/>
      <c r="BA153" s="40"/>
      <c r="BB153" s="40"/>
      <c r="BC153" s="40"/>
      <c r="BD153" s="40"/>
      <c r="BE153" s="40"/>
      <c r="BF153" s="40"/>
      <c r="BG153" s="40"/>
      <c r="BH153" s="40"/>
      <c r="BI153" s="40"/>
      <c r="BJ153" s="40"/>
      <c r="BK153" s="40"/>
      <c r="BL153" s="40"/>
      <c r="BM153" s="40"/>
      <c r="BN153" s="40"/>
      <c r="BO153" s="40"/>
      <c r="BP153" s="40"/>
      <c r="BQ153" s="40"/>
      <c r="BR153" s="40"/>
      <c r="BS153" s="40"/>
      <c r="BT153" s="40"/>
      <c r="BU153" s="40"/>
      <c r="BV153" s="40"/>
      <c r="BW153" s="40"/>
      <c r="BX153" s="40"/>
      <c r="BY153" s="40"/>
      <c r="BZ153" s="40"/>
      <c r="CA153" s="40"/>
      <c r="CB153" s="40"/>
      <c r="CC153" s="40"/>
      <c r="CD153" s="40"/>
      <c r="CE153" s="30">
        <f t="shared" si="6"/>
        <v>0</v>
      </c>
      <c r="CF153" s="5"/>
    </row>
    <row r="154" spans="1:84" s="38" customFormat="1" x14ac:dyDescent="0.25">
      <c r="A154" s="61" t="s">
        <v>281</v>
      </c>
      <c r="B154" s="75">
        <f t="shared" si="5"/>
        <v>0</v>
      </c>
      <c r="C154" s="67">
        <v>10</v>
      </c>
      <c r="D154" s="70">
        <v>44354</v>
      </c>
      <c r="E154" s="77">
        <v>32.33</v>
      </c>
      <c r="F154" s="77">
        <f t="shared" si="7"/>
        <v>0</v>
      </c>
      <c r="G154" s="75"/>
      <c r="H154" s="16"/>
      <c r="I154" s="16"/>
      <c r="J154" s="175"/>
      <c r="K154" s="16"/>
      <c r="L154" s="40"/>
      <c r="M154" s="40"/>
      <c r="N154" s="40"/>
      <c r="O154" s="40"/>
      <c r="P154" s="40"/>
      <c r="Q154" s="40"/>
      <c r="R154" s="40"/>
      <c r="S154" s="40"/>
      <c r="T154" s="40"/>
      <c r="U154" s="40"/>
      <c r="V154" s="40"/>
      <c r="W154" s="40"/>
      <c r="X154" s="40"/>
      <c r="Y154" s="40"/>
      <c r="Z154" s="40"/>
      <c r="AA154" s="40"/>
      <c r="AB154" s="40"/>
      <c r="AC154" s="40"/>
      <c r="AD154" s="40"/>
      <c r="AE154" s="40"/>
      <c r="AF154" s="40"/>
      <c r="AG154" s="40"/>
      <c r="AH154" s="40"/>
      <c r="AI154" s="40"/>
      <c r="AJ154" s="40"/>
      <c r="AK154" s="40"/>
      <c r="AL154" s="40"/>
      <c r="AM154" s="40"/>
      <c r="AN154" s="40"/>
      <c r="AO154" s="40"/>
      <c r="AP154" s="40"/>
      <c r="AQ154" s="40"/>
      <c r="AR154" s="40"/>
      <c r="AS154" s="40"/>
      <c r="AT154" s="40"/>
      <c r="AU154" s="40"/>
      <c r="AV154" s="40"/>
      <c r="AW154" s="40"/>
      <c r="AX154" s="40"/>
      <c r="AY154" s="40"/>
      <c r="AZ154" s="40"/>
      <c r="BA154" s="40"/>
      <c r="BB154" s="40"/>
      <c r="BC154" s="40"/>
      <c r="BD154" s="40"/>
      <c r="BE154" s="40"/>
      <c r="BF154" s="40"/>
      <c r="BG154" s="40"/>
      <c r="BH154" s="40"/>
      <c r="BI154" s="40"/>
      <c r="BJ154" s="40"/>
      <c r="BK154" s="40"/>
      <c r="BL154" s="40"/>
      <c r="BM154" s="40"/>
      <c r="BN154" s="40"/>
      <c r="BO154" s="40"/>
      <c r="BP154" s="40"/>
      <c r="BQ154" s="40"/>
      <c r="BR154" s="40"/>
      <c r="BS154" s="40"/>
      <c r="BT154" s="40"/>
      <c r="BU154" s="40"/>
      <c r="BV154" s="40"/>
      <c r="BW154" s="40"/>
      <c r="BX154" s="40"/>
      <c r="BY154" s="40"/>
      <c r="BZ154" s="40"/>
      <c r="CA154" s="40"/>
      <c r="CB154" s="40"/>
      <c r="CC154" s="40"/>
      <c r="CD154" s="40"/>
      <c r="CE154" s="30">
        <f t="shared" si="6"/>
        <v>0</v>
      </c>
      <c r="CF154" s="5"/>
    </row>
    <row r="155" spans="1:84" s="38" customFormat="1" x14ac:dyDescent="0.25">
      <c r="A155" s="61" t="s">
        <v>237</v>
      </c>
      <c r="B155" s="75">
        <f t="shared" si="5"/>
        <v>0</v>
      </c>
      <c r="C155" s="67">
        <v>0.9</v>
      </c>
      <c r="D155" s="70">
        <v>44410</v>
      </c>
      <c r="E155" s="77">
        <v>27.5</v>
      </c>
      <c r="F155" s="77">
        <f t="shared" si="7"/>
        <v>0</v>
      </c>
      <c r="G155" s="75"/>
      <c r="H155" s="16"/>
      <c r="I155" s="16"/>
      <c r="J155" s="175"/>
      <c r="K155" s="16"/>
      <c r="L155" s="40"/>
      <c r="M155" s="40"/>
      <c r="N155" s="40"/>
      <c r="O155" s="40"/>
      <c r="P155" s="40"/>
      <c r="Q155" s="40"/>
      <c r="R155" s="40"/>
      <c r="S155" s="40"/>
      <c r="T155" s="40"/>
      <c r="U155" s="40"/>
      <c r="V155" s="40"/>
      <c r="W155" s="40"/>
      <c r="X155" s="40"/>
      <c r="Y155" s="40"/>
      <c r="Z155" s="40"/>
      <c r="AA155" s="40"/>
      <c r="AB155" s="40"/>
      <c r="AC155" s="40"/>
      <c r="AD155" s="40"/>
      <c r="AE155" s="40"/>
      <c r="AF155" s="40"/>
      <c r="AG155" s="40"/>
      <c r="AH155" s="40"/>
      <c r="AI155" s="40"/>
      <c r="AJ155" s="40"/>
      <c r="AK155" s="40"/>
      <c r="AL155" s="40"/>
      <c r="AM155" s="40"/>
      <c r="AN155" s="40"/>
      <c r="AO155" s="40"/>
      <c r="AP155" s="40"/>
      <c r="AQ155" s="40"/>
      <c r="AR155" s="40"/>
      <c r="AS155" s="40"/>
      <c r="AT155" s="40"/>
      <c r="AU155" s="40"/>
      <c r="AV155" s="40"/>
      <c r="AW155" s="40"/>
      <c r="AX155" s="40"/>
      <c r="AY155" s="40"/>
      <c r="AZ155" s="40"/>
      <c r="BA155" s="40"/>
      <c r="BB155" s="40"/>
      <c r="BC155" s="40"/>
      <c r="BD155" s="40"/>
      <c r="BE155" s="40"/>
      <c r="BF155" s="40"/>
      <c r="BG155" s="40"/>
      <c r="BH155" s="40"/>
      <c r="BI155" s="40"/>
      <c r="BJ155" s="40"/>
      <c r="BK155" s="40"/>
      <c r="BL155" s="40"/>
      <c r="BM155" s="40"/>
      <c r="BN155" s="40"/>
      <c r="BO155" s="40"/>
      <c r="BP155" s="40"/>
      <c r="BQ155" s="40"/>
      <c r="BR155" s="40"/>
      <c r="BS155" s="40"/>
      <c r="BT155" s="40"/>
      <c r="BU155" s="40"/>
      <c r="BV155" s="40"/>
      <c r="BW155" s="40"/>
      <c r="BX155" s="40"/>
      <c r="BY155" s="40"/>
      <c r="BZ155" s="40"/>
      <c r="CA155" s="40"/>
      <c r="CB155" s="40"/>
      <c r="CC155" s="40"/>
      <c r="CD155" s="40"/>
      <c r="CE155" s="30">
        <f t="shared" si="6"/>
        <v>0</v>
      </c>
      <c r="CF155" s="5"/>
    </row>
    <row r="156" spans="1:84" s="38" customFormat="1" x14ac:dyDescent="0.25">
      <c r="A156" s="61" t="s">
        <v>472</v>
      </c>
      <c r="B156" s="75">
        <f t="shared" si="5"/>
        <v>0</v>
      </c>
      <c r="C156" s="67">
        <v>10</v>
      </c>
      <c r="D156" s="70">
        <v>44396</v>
      </c>
      <c r="E156" s="77">
        <v>15.56</v>
      </c>
      <c r="F156" s="77">
        <f t="shared" si="7"/>
        <v>0</v>
      </c>
      <c r="G156" s="75"/>
      <c r="H156" s="16"/>
      <c r="I156" s="16"/>
      <c r="J156" s="175"/>
      <c r="K156" s="16"/>
      <c r="L156" s="40"/>
      <c r="M156" s="40"/>
      <c r="N156" s="40"/>
      <c r="O156" s="40"/>
      <c r="P156" s="40"/>
      <c r="Q156" s="40"/>
      <c r="R156" s="40"/>
      <c r="S156" s="40"/>
      <c r="T156" s="40"/>
      <c r="U156" s="40"/>
      <c r="V156" s="40"/>
      <c r="W156" s="40"/>
      <c r="X156" s="40"/>
      <c r="Y156" s="40"/>
      <c r="Z156" s="40"/>
      <c r="AA156" s="40"/>
      <c r="AB156" s="40"/>
      <c r="AC156" s="40"/>
      <c r="AD156" s="40"/>
      <c r="AE156" s="40"/>
      <c r="AF156" s="40"/>
      <c r="AG156" s="40"/>
      <c r="AH156" s="40"/>
      <c r="AI156" s="40"/>
      <c r="AJ156" s="40"/>
      <c r="AK156" s="40"/>
      <c r="AL156" s="40"/>
      <c r="AM156" s="40"/>
      <c r="AN156" s="40"/>
      <c r="AO156" s="40"/>
      <c r="AP156" s="40"/>
      <c r="AQ156" s="40"/>
      <c r="AR156" s="40"/>
      <c r="AS156" s="40"/>
      <c r="AT156" s="40"/>
      <c r="AU156" s="40"/>
      <c r="AV156" s="40"/>
      <c r="AW156" s="40"/>
      <c r="AX156" s="40"/>
      <c r="AY156" s="40"/>
      <c r="AZ156" s="40"/>
      <c r="BA156" s="40"/>
      <c r="BB156" s="40"/>
      <c r="BC156" s="40"/>
      <c r="BD156" s="40"/>
      <c r="BE156" s="40"/>
      <c r="BF156" s="40"/>
      <c r="BG156" s="40"/>
      <c r="BH156" s="40"/>
      <c r="BI156" s="40"/>
      <c r="BJ156" s="40"/>
      <c r="BK156" s="40"/>
      <c r="BL156" s="40"/>
      <c r="BM156" s="40"/>
      <c r="BN156" s="40"/>
      <c r="BO156" s="40"/>
      <c r="BP156" s="40"/>
      <c r="BQ156" s="40"/>
      <c r="BR156" s="40"/>
      <c r="BS156" s="40"/>
      <c r="BT156" s="40"/>
      <c r="BU156" s="40"/>
      <c r="BV156" s="40"/>
      <c r="BW156" s="40"/>
      <c r="BX156" s="40"/>
      <c r="BY156" s="40"/>
      <c r="BZ156" s="40"/>
      <c r="CA156" s="40"/>
      <c r="CB156" s="40"/>
      <c r="CC156" s="40"/>
      <c r="CD156" s="40"/>
      <c r="CE156" s="30">
        <f t="shared" si="6"/>
        <v>0</v>
      </c>
      <c r="CF156" s="5"/>
    </row>
    <row r="157" spans="1:84" s="38" customFormat="1" x14ac:dyDescent="0.25">
      <c r="A157" s="61" t="s">
        <v>257</v>
      </c>
      <c r="B157" s="75">
        <f t="shared" si="5"/>
        <v>80</v>
      </c>
      <c r="C157" s="67">
        <v>10</v>
      </c>
      <c r="D157" s="69">
        <v>44431</v>
      </c>
      <c r="E157" s="77">
        <v>16.809999999999999</v>
      </c>
      <c r="F157" s="77">
        <f t="shared" si="7"/>
        <v>1344.8</v>
      </c>
      <c r="G157" s="75">
        <v>90</v>
      </c>
      <c r="H157" s="16"/>
      <c r="I157" s="16"/>
      <c r="J157" s="175"/>
      <c r="K157" s="16"/>
      <c r="L157" s="40"/>
      <c r="M157" s="40"/>
      <c r="N157" s="40"/>
      <c r="O157" s="40"/>
      <c r="P157" s="40"/>
      <c r="Q157" s="40"/>
      <c r="R157" s="40"/>
      <c r="S157" s="40">
        <v>80</v>
      </c>
      <c r="T157" s="40">
        <v>10</v>
      </c>
      <c r="U157" s="40"/>
      <c r="V157" s="40"/>
      <c r="W157" s="40"/>
      <c r="X157" s="40"/>
      <c r="Y157" s="40"/>
      <c r="Z157" s="40"/>
      <c r="AA157" s="40"/>
      <c r="AB157" s="40"/>
      <c r="AC157" s="40"/>
      <c r="AD157" s="40"/>
      <c r="AE157" s="40"/>
      <c r="AF157" s="40"/>
      <c r="AG157" s="40"/>
      <c r="AH157" s="40"/>
      <c r="AI157" s="40"/>
      <c r="AJ157" s="40"/>
      <c r="AK157" s="40"/>
      <c r="AL157" s="40"/>
      <c r="AM157" s="40"/>
      <c r="AN157" s="40"/>
      <c r="AO157" s="40"/>
      <c r="AP157" s="40"/>
      <c r="AQ157" s="40"/>
      <c r="AR157" s="40"/>
      <c r="AS157" s="40"/>
      <c r="AT157" s="40"/>
      <c r="AU157" s="40"/>
      <c r="AV157" s="40"/>
      <c r="AW157" s="40"/>
      <c r="AX157" s="40"/>
      <c r="AY157" s="40"/>
      <c r="AZ157" s="40"/>
      <c r="BA157" s="40"/>
      <c r="BB157" s="40"/>
      <c r="BC157" s="40"/>
      <c r="BD157" s="40"/>
      <c r="BE157" s="40"/>
      <c r="BF157" s="40"/>
      <c r="BG157" s="40"/>
      <c r="BH157" s="40"/>
      <c r="BI157" s="40"/>
      <c r="BJ157" s="40"/>
      <c r="BK157" s="40"/>
      <c r="BL157" s="40"/>
      <c r="BM157" s="40"/>
      <c r="BN157" s="40"/>
      <c r="BO157" s="40"/>
      <c r="BP157" s="40"/>
      <c r="BQ157" s="40"/>
      <c r="BR157" s="40"/>
      <c r="BS157" s="40"/>
      <c r="BT157" s="40"/>
      <c r="BU157" s="40"/>
      <c r="BV157" s="40"/>
      <c r="BW157" s="40"/>
      <c r="BX157" s="40"/>
      <c r="BY157" s="40"/>
      <c r="BZ157" s="40"/>
      <c r="CA157" s="40"/>
      <c r="CB157" s="40"/>
      <c r="CC157" s="40"/>
      <c r="CD157" s="40"/>
      <c r="CE157" s="30">
        <f t="shared" si="6"/>
        <v>0</v>
      </c>
      <c r="CF157" s="5"/>
    </row>
    <row r="158" spans="1:84" s="38" customFormat="1" x14ac:dyDescent="0.25">
      <c r="A158" s="61" t="s">
        <v>257</v>
      </c>
      <c r="B158" s="75">
        <f t="shared" si="5"/>
        <v>0</v>
      </c>
      <c r="C158" s="67">
        <v>10</v>
      </c>
      <c r="D158" s="69">
        <v>44445</v>
      </c>
      <c r="E158" s="77">
        <v>17.14</v>
      </c>
      <c r="F158" s="77">
        <f t="shared" si="7"/>
        <v>0</v>
      </c>
      <c r="G158" s="75"/>
      <c r="H158" s="16"/>
      <c r="I158" s="16"/>
      <c r="J158" s="175"/>
      <c r="K158" s="16"/>
      <c r="L158" s="40"/>
      <c r="M158" s="40"/>
      <c r="N158" s="40"/>
      <c r="O158" s="40"/>
      <c r="P158" s="40"/>
      <c r="Q158" s="40"/>
      <c r="R158" s="40"/>
      <c r="S158" s="40"/>
      <c r="T158" s="40"/>
      <c r="U158" s="40"/>
      <c r="V158" s="40"/>
      <c r="W158" s="40"/>
      <c r="X158" s="40"/>
      <c r="Y158" s="40"/>
      <c r="Z158" s="40"/>
      <c r="AA158" s="40"/>
      <c r="AB158" s="40"/>
      <c r="AC158" s="40"/>
      <c r="AD158" s="40"/>
      <c r="AE158" s="40"/>
      <c r="AF158" s="40"/>
      <c r="AG158" s="40"/>
      <c r="AH158" s="40"/>
      <c r="AI158" s="40"/>
      <c r="AJ158" s="40"/>
      <c r="AK158" s="40"/>
      <c r="AL158" s="40"/>
      <c r="AM158" s="40"/>
      <c r="AN158" s="40"/>
      <c r="AO158" s="40"/>
      <c r="AP158" s="40"/>
      <c r="AQ158" s="40"/>
      <c r="AR158" s="40"/>
      <c r="AS158" s="40"/>
      <c r="AT158" s="40"/>
      <c r="AU158" s="40"/>
      <c r="AV158" s="40"/>
      <c r="AW158" s="40"/>
      <c r="AX158" s="40"/>
      <c r="AY158" s="40"/>
      <c r="AZ158" s="40"/>
      <c r="BA158" s="40"/>
      <c r="BB158" s="40"/>
      <c r="BC158" s="40"/>
      <c r="BD158" s="40"/>
      <c r="BE158" s="40"/>
      <c r="BF158" s="40"/>
      <c r="BG158" s="40"/>
      <c r="BH158" s="40"/>
      <c r="BI158" s="40"/>
      <c r="BJ158" s="40"/>
      <c r="BK158" s="40"/>
      <c r="BL158" s="40"/>
      <c r="BM158" s="40"/>
      <c r="BN158" s="40"/>
      <c r="BO158" s="40"/>
      <c r="BP158" s="40"/>
      <c r="BQ158" s="40"/>
      <c r="BR158" s="40"/>
      <c r="BS158" s="40"/>
      <c r="BT158" s="40"/>
      <c r="BU158" s="40"/>
      <c r="BV158" s="40"/>
      <c r="BW158" s="40"/>
      <c r="BX158" s="40"/>
      <c r="BY158" s="40"/>
      <c r="BZ158" s="40"/>
      <c r="CA158" s="40"/>
      <c r="CB158" s="40"/>
      <c r="CC158" s="40"/>
      <c r="CD158" s="40"/>
      <c r="CE158" s="30">
        <f t="shared" si="6"/>
        <v>0</v>
      </c>
      <c r="CF158" s="5"/>
    </row>
    <row r="159" spans="1:84" s="38" customFormat="1" x14ac:dyDescent="0.25">
      <c r="A159" s="61" t="s">
        <v>340</v>
      </c>
      <c r="B159" s="75">
        <f t="shared" si="5"/>
        <v>0</v>
      </c>
      <c r="C159" s="67">
        <v>1</v>
      </c>
      <c r="D159" s="69">
        <v>44354</v>
      </c>
      <c r="E159" s="77">
        <v>19.34</v>
      </c>
      <c r="F159" s="77">
        <f t="shared" si="7"/>
        <v>0</v>
      </c>
      <c r="G159" s="75"/>
      <c r="H159" s="16"/>
      <c r="I159" s="16"/>
      <c r="J159" s="175"/>
      <c r="K159" s="16"/>
      <c r="L159" s="40"/>
      <c r="M159" s="40"/>
      <c r="N159" s="40"/>
      <c r="O159" s="40"/>
      <c r="P159" s="40"/>
      <c r="Q159" s="40"/>
      <c r="R159" s="40"/>
      <c r="S159" s="40"/>
      <c r="T159" s="40"/>
      <c r="U159" s="40"/>
      <c r="V159" s="40"/>
      <c r="W159" s="40"/>
      <c r="X159" s="40"/>
      <c r="Y159" s="40"/>
      <c r="Z159" s="40"/>
      <c r="AA159" s="40"/>
      <c r="AB159" s="40"/>
      <c r="AC159" s="40"/>
      <c r="AD159" s="40"/>
      <c r="AE159" s="40"/>
      <c r="AF159" s="40"/>
      <c r="AG159" s="40"/>
      <c r="AH159" s="40"/>
      <c r="AI159" s="40"/>
      <c r="AJ159" s="40"/>
      <c r="AK159" s="40"/>
      <c r="AL159" s="40"/>
      <c r="AM159" s="40"/>
      <c r="AN159" s="40"/>
      <c r="AO159" s="40"/>
      <c r="AP159" s="40"/>
      <c r="AQ159" s="40"/>
      <c r="AR159" s="40"/>
      <c r="AS159" s="40"/>
      <c r="AT159" s="40"/>
      <c r="AU159" s="40"/>
      <c r="AV159" s="40"/>
      <c r="AW159" s="40"/>
      <c r="AX159" s="40"/>
      <c r="AY159" s="40"/>
      <c r="AZ159" s="40"/>
      <c r="BA159" s="40"/>
      <c r="BB159" s="40"/>
      <c r="BC159" s="40"/>
      <c r="BD159" s="40"/>
      <c r="BE159" s="40"/>
      <c r="BF159" s="40"/>
      <c r="BG159" s="40"/>
      <c r="BH159" s="40"/>
      <c r="BI159" s="40"/>
      <c r="BJ159" s="40"/>
      <c r="BK159" s="40"/>
      <c r="BL159" s="40"/>
      <c r="BM159" s="40"/>
      <c r="BN159" s="40"/>
      <c r="BO159" s="40"/>
      <c r="BP159" s="40"/>
      <c r="BQ159" s="40"/>
      <c r="BR159" s="40"/>
      <c r="BS159" s="40"/>
      <c r="BT159" s="40"/>
      <c r="BU159" s="40"/>
      <c r="BV159" s="40"/>
      <c r="BW159" s="40"/>
      <c r="BX159" s="40"/>
      <c r="BY159" s="40"/>
      <c r="BZ159" s="40"/>
      <c r="CA159" s="40"/>
      <c r="CB159" s="40"/>
      <c r="CC159" s="40"/>
      <c r="CD159" s="40"/>
      <c r="CE159" s="30">
        <f t="shared" si="6"/>
        <v>0</v>
      </c>
      <c r="CF159" s="5"/>
    </row>
    <row r="160" spans="1:84" s="38" customFormat="1" x14ac:dyDescent="0.25">
      <c r="A160" s="61" t="s">
        <v>160</v>
      </c>
      <c r="B160" s="75">
        <f t="shared" si="5"/>
        <v>0</v>
      </c>
      <c r="C160" s="67">
        <v>1</v>
      </c>
      <c r="D160" s="69">
        <v>44557</v>
      </c>
      <c r="E160" s="77">
        <v>31.3</v>
      </c>
      <c r="F160" s="77">
        <f t="shared" si="7"/>
        <v>0</v>
      </c>
      <c r="G160" s="75"/>
      <c r="H160" s="16"/>
      <c r="I160" s="16"/>
      <c r="J160" s="175"/>
      <c r="K160" s="16"/>
      <c r="L160" s="40"/>
      <c r="M160" s="40"/>
      <c r="N160" s="40"/>
      <c r="O160" s="40"/>
      <c r="P160" s="40"/>
      <c r="Q160" s="40"/>
      <c r="R160" s="40"/>
      <c r="S160" s="40"/>
      <c r="T160" s="40"/>
      <c r="U160" s="40"/>
      <c r="V160" s="40"/>
      <c r="W160" s="40"/>
      <c r="X160" s="40"/>
      <c r="Y160" s="40"/>
      <c r="Z160" s="40"/>
      <c r="AA160" s="40"/>
      <c r="AB160" s="40"/>
      <c r="AC160" s="40"/>
      <c r="AD160" s="40"/>
      <c r="AE160" s="40"/>
      <c r="AF160" s="40"/>
      <c r="AG160" s="40"/>
      <c r="AH160" s="40"/>
      <c r="AI160" s="40"/>
      <c r="AJ160" s="40"/>
      <c r="AK160" s="40"/>
      <c r="AL160" s="40"/>
      <c r="AM160" s="40"/>
      <c r="AN160" s="40"/>
      <c r="AO160" s="40"/>
      <c r="AP160" s="40"/>
      <c r="AQ160" s="40"/>
      <c r="AR160" s="40"/>
      <c r="AS160" s="40"/>
      <c r="AT160" s="40"/>
      <c r="AU160" s="40"/>
      <c r="AV160" s="40"/>
      <c r="AW160" s="40"/>
      <c r="AX160" s="40"/>
      <c r="AY160" s="40"/>
      <c r="AZ160" s="40"/>
      <c r="BA160" s="40"/>
      <c r="BB160" s="40"/>
      <c r="BC160" s="40"/>
      <c r="BD160" s="40"/>
      <c r="BE160" s="40"/>
      <c r="BF160" s="40"/>
      <c r="BG160" s="40"/>
      <c r="BH160" s="40"/>
      <c r="BI160" s="40"/>
      <c r="BJ160" s="40"/>
      <c r="BK160" s="40"/>
      <c r="BL160" s="40"/>
      <c r="BM160" s="40"/>
      <c r="BN160" s="40"/>
      <c r="BO160" s="40"/>
      <c r="BP160" s="40"/>
      <c r="BQ160" s="40"/>
      <c r="BR160" s="40"/>
      <c r="BS160" s="40"/>
      <c r="BT160" s="40"/>
      <c r="BU160" s="40"/>
      <c r="BV160" s="40"/>
      <c r="BW160" s="40"/>
      <c r="BX160" s="40"/>
      <c r="BY160" s="40"/>
      <c r="BZ160" s="40"/>
      <c r="CA160" s="40"/>
      <c r="CB160" s="40"/>
      <c r="CC160" s="40"/>
      <c r="CD160" s="40"/>
      <c r="CE160" s="30">
        <f t="shared" si="6"/>
        <v>0</v>
      </c>
      <c r="CF160" s="5"/>
    </row>
    <row r="161" spans="1:84" s="38" customFormat="1" x14ac:dyDescent="0.25">
      <c r="A161" s="61" t="s">
        <v>1</v>
      </c>
      <c r="B161" s="75">
        <f t="shared" si="5"/>
        <v>260</v>
      </c>
      <c r="C161" s="67">
        <v>10</v>
      </c>
      <c r="D161" s="70" t="s">
        <v>589</v>
      </c>
      <c r="E161" s="77">
        <v>17.420000000000002</v>
      </c>
      <c r="F161" s="77">
        <f t="shared" si="7"/>
        <v>4529.2000000000007</v>
      </c>
      <c r="G161" s="75">
        <v>60</v>
      </c>
      <c r="H161" s="16"/>
      <c r="I161" s="16"/>
      <c r="J161" s="175"/>
      <c r="K161" s="16"/>
      <c r="L161" s="40"/>
      <c r="M161" s="40"/>
      <c r="N161" s="40"/>
      <c r="O161" s="40"/>
      <c r="P161" s="40"/>
      <c r="Q161" s="40">
        <v>60</v>
      </c>
      <c r="R161" s="40">
        <v>190</v>
      </c>
      <c r="S161" s="40"/>
      <c r="T161" s="40"/>
      <c r="U161" s="40"/>
      <c r="V161" s="40"/>
      <c r="W161" s="40"/>
      <c r="X161" s="40"/>
      <c r="Y161" s="40"/>
      <c r="Z161" s="40"/>
      <c r="AA161" s="40"/>
      <c r="AB161" s="40"/>
      <c r="AC161" s="40"/>
      <c r="AD161" s="40"/>
      <c r="AE161" s="40"/>
      <c r="AF161" s="40"/>
      <c r="AG161" s="40"/>
      <c r="AH161" s="40"/>
      <c r="AI161" s="40"/>
      <c r="AJ161" s="40"/>
      <c r="AK161" s="40"/>
      <c r="AL161" s="40"/>
      <c r="AM161" s="40"/>
      <c r="AN161" s="40"/>
      <c r="AO161" s="40"/>
      <c r="AP161" s="40"/>
      <c r="AQ161" s="40"/>
      <c r="AR161" s="40"/>
      <c r="AS161" s="40"/>
      <c r="AT161" s="40"/>
      <c r="AU161" s="40"/>
      <c r="AV161" s="40"/>
      <c r="AW161" s="40"/>
      <c r="AX161" s="40"/>
      <c r="AY161" s="40"/>
      <c r="AZ161" s="40"/>
      <c r="BA161" s="40"/>
      <c r="BB161" s="40"/>
      <c r="BC161" s="40"/>
      <c r="BD161" s="40">
        <v>190</v>
      </c>
      <c r="BE161" s="40">
        <v>70</v>
      </c>
      <c r="BF161" s="40"/>
      <c r="BG161" s="40"/>
      <c r="BH161" s="40"/>
      <c r="BI161" s="40"/>
      <c r="BJ161" s="40"/>
      <c r="BK161" s="40"/>
      <c r="BL161" s="40"/>
      <c r="BM161" s="40"/>
      <c r="BN161" s="40"/>
      <c r="BO161" s="40"/>
      <c r="BP161" s="40"/>
      <c r="BQ161" s="40"/>
      <c r="BR161" s="40"/>
      <c r="BS161" s="40"/>
      <c r="BT161" s="40"/>
      <c r="BU161" s="40"/>
      <c r="BV161" s="40"/>
      <c r="BW161" s="40"/>
      <c r="BX161" s="40"/>
      <c r="BY161" s="40"/>
      <c r="BZ161" s="40"/>
      <c r="CA161" s="40"/>
      <c r="CB161" s="40"/>
      <c r="CC161" s="40"/>
      <c r="CD161" s="40"/>
      <c r="CE161" s="30">
        <f t="shared" si="6"/>
        <v>70</v>
      </c>
      <c r="CF161" s="5"/>
    </row>
    <row r="162" spans="1:84" s="38" customFormat="1" x14ac:dyDescent="0.25">
      <c r="A162" s="61" t="s">
        <v>1</v>
      </c>
      <c r="B162" s="75">
        <f t="shared" si="5"/>
        <v>40</v>
      </c>
      <c r="C162" s="67">
        <v>10</v>
      </c>
      <c r="D162" s="70">
        <v>44564</v>
      </c>
      <c r="E162" s="77">
        <v>17.82</v>
      </c>
      <c r="F162" s="77">
        <f t="shared" si="7"/>
        <v>712.8</v>
      </c>
      <c r="G162" s="75">
        <v>50</v>
      </c>
      <c r="H162" s="16"/>
      <c r="I162" s="16"/>
      <c r="J162" s="175"/>
      <c r="K162" s="16"/>
      <c r="L162" s="40"/>
      <c r="M162" s="40"/>
      <c r="N162" s="40"/>
      <c r="O162" s="40"/>
      <c r="P162" s="40"/>
      <c r="Q162" s="40">
        <v>60</v>
      </c>
      <c r="R162" s="40">
        <v>40</v>
      </c>
      <c r="S162" s="40"/>
      <c r="T162" s="40"/>
      <c r="U162" s="40"/>
      <c r="V162" s="40"/>
      <c r="W162" s="40"/>
      <c r="X162" s="40"/>
      <c r="Y162" s="40"/>
      <c r="Z162" s="40"/>
      <c r="AA162" s="40"/>
      <c r="AB162" s="40"/>
      <c r="AC162" s="40"/>
      <c r="AD162" s="40"/>
      <c r="AE162" s="40"/>
      <c r="AF162" s="40"/>
      <c r="AG162" s="40"/>
      <c r="AH162" s="40"/>
      <c r="AI162" s="40"/>
      <c r="AJ162" s="40"/>
      <c r="AK162" s="40"/>
      <c r="AL162" s="40"/>
      <c r="AM162" s="40"/>
      <c r="AN162" s="40"/>
      <c r="AO162" s="40"/>
      <c r="AP162" s="40"/>
      <c r="AQ162" s="40"/>
      <c r="AR162" s="40"/>
      <c r="AS162" s="40"/>
      <c r="AT162" s="40"/>
      <c r="AU162" s="40"/>
      <c r="AV162" s="40"/>
      <c r="AW162" s="40">
        <v>50</v>
      </c>
      <c r="AX162" s="40"/>
      <c r="AY162" s="40"/>
      <c r="AZ162" s="40"/>
      <c r="BA162" s="40"/>
      <c r="BB162" s="40"/>
      <c r="BC162" s="40"/>
      <c r="BD162" s="40"/>
      <c r="BE162" s="40"/>
      <c r="BF162" s="40"/>
      <c r="BG162" s="40"/>
      <c r="BH162" s="40"/>
      <c r="BI162" s="40"/>
      <c r="BJ162" s="40"/>
      <c r="BK162" s="40"/>
      <c r="BL162" s="40"/>
      <c r="BM162" s="40"/>
      <c r="BN162" s="40"/>
      <c r="BO162" s="40"/>
      <c r="BP162" s="40"/>
      <c r="BQ162" s="40"/>
      <c r="BR162" s="40"/>
      <c r="BS162" s="40"/>
      <c r="BT162" s="40"/>
      <c r="BU162" s="40"/>
      <c r="BV162" s="40"/>
      <c r="BW162" s="40"/>
      <c r="BX162" s="40"/>
      <c r="BY162" s="40"/>
      <c r="BZ162" s="40"/>
      <c r="CA162" s="40"/>
      <c r="CB162" s="40"/>
      <c r="CC162" s="40"/>
      <c r="CD162" s="40"/>
      <c r="CE162" s="30">
        <f t="shared" si="6"/>
        <v>0</v>
      </c>
      <c r="CF162" s="5"/>
    </row>
    <row r="163" spans="1:84" s="38" customFormat="1" x14ac:dyDescent="0.25">
      <c r="A163" s="61" t="s">
        <v>319</v>
      </c>
      <c r="B163" s="75">
        <f t="shared" si="5"/>
        <v>0</v>
      </c>
      <c r="C163" s="67">
        <v>1.1000000000000001</v>
      </c>
      <c r="D163" s="69">
        <v>44543</v>
      </c>
      <c r="E163" s="77">
        <v>106.87</v>
      </c>
      <c r="F163" s="77">
        <f t="shared" si="7"/>
        <v>0</v>
      </c>
      <c r="G163" s="75"/>
      <c r="H163" s="16"/>
      <c r="I163" s="16"/>
      <c r="J163" s="175"/>
      <c r="K163" s="16"/>
      <c r="L163" s="40"/>
      <c r="M163" s="40"/>
      <c r="N163" s="40"/>
      <c r="O163" s="40"/>
      <c r="P163" s="40"/>
      <c r="Q163" s="40"/>
      <c r="R163" s="40"/>
      <c r="S163" s="40"/>
      <c r="T163" s="40"/>
      <c r="U163" s="40"/>
      <c r="V163" s="40"/>
      <c r="W163" s="40"/>
      <c r="X163" s="40"/>
      <c r="Y163" s="40"/>
      <c r="Z163" s="40"/>
      <c r="AA163" s="40"/>
      <c r="AB163" s="40"/>
      <c r="AC163" s="40"/>
      <c r="AD163" s="40"/>
      <c r="AE163" s="40"/>
      <c r="AF163" s="40"/>
      <c r="AG163" s="40"/>
      <c r="AH163" s="40"/>
      <c r="AI163" s="40"/>
      <c r="AJ163" s="40"/>
      <c r="AK163" s="40"/>
      <c r="AL163" s="40"/>
      <c r="AM163" s="40"/>
      <c r="AN163" s="40"/>
      <c r="AO163" s="40"/>
      <c r="AP163" s="40"/>
      <c r="AQ163" s="40"/>
      <c r="AR163" s="40"/>
      <c r="AS163" s="40"/>
      <c r="AT163" s="40"/>
      <c r="AU163" s="40"/>
      <c r="AV163" s="40"/>
      <c r="AW163" s="40"/>
      <c r="AX163" s="40"/>
      <c r="AY163" s="40"/>
      <c r="AZ163" s="40"/>
      <c r="BA163" s="40"/>
      <c r="BB163" s="40"/>
      <c r="BC163" s="40"/>
      <c r="BD163" s="40"/>
      <c r="BE163" s="40"/>
      <c r="BF163" s="40"/>
      <c r="BG163" s="40"/>
      <c r="BH163" s="40"/>
      <c r="BI163" s="40"/>
      <c r="BJ163" s="40"/>
      <c r="BK163" s="40"/>
      <c r="BL163" s="40"/>
      <c r="BM163" s="40"/>
      <c r="BN163" s="40"/>
      <c r="BO163" s="40"/>
      <c r="BP163" s="40"/>
      <c r="BQ163" s="40"/>
      <c r="BR163" s="40"/>
      <c r="BS163" s="40"/>
      <c r="BT163" s="40"/>
      <c r="BU163" s="40"/>
      <c r="BV163" s="40"/>
      <c r="BW163" s="40"/>
      <c r="BX163" s="40"/>
      <c r="BY163" s="40"/>
      <c r="BZ163" s="40"/>
      <c r="CA163" s="40"/>
      <c r="CB163" s="40"/>
      <c r="CC163" s="40"/>
      <c r="CD163" s="40"/>
      <c r="CE163" s="30">
        <f t="shared" si="6"/>
        <v>0</v>
      </c>
      <c r="CF163" s="5"/>
    </row>
    <row r="164" spans="1:84" s="38" customFormat="1" x14ac:dyDescent="0.25">
      <c r="A164" s="61" t="s">
        <v>76</v>
      </c>
      <c r="B164" s="75">
        <f t="shared" si="5"/>
        <v>0</v>
      </c>
      <c r="C164" s="67">
        <v>1</v>
      </c>
      <c r="D164" s="69">
        <v>44585</v>
      </c>
      <c r="E164" s="77">
        <v>26.78</v>
      </c>
      <c r="F164" s="77">
        <f t="shared" si="7"/>
        <v>0</v>
      </c>
      <c r="G164" s="75">
        <v>2</v>
      </c>
      <c r="H164" s="16"/>
      <c r="I164" s="16"/>
      <c r="J164" s="175"/>
      <c r="K164" s="16"/>
      <c r="L164" s="40"/>
      <c r="M164" s="40"/>
      <c r="N164" s="40"/>
      <c r="O164" s="40"/>
      <c r="P164" s="40"/>
      <c r="Q164" s="40"/>
      <c r="R164" s="40"/>
      <c r="S164" s="40"/>
      <c r="T164" s="40"/>
      <c r="U164" s="40"/>
      <c r="V164" s="40"/>
      <c r="W164" s="40"/>
      <c r="X164" s="40"/>
      <c r="Y164" s="40"/>
      <c r="Z164" s="40"/>
      <c r="AA164" s="40"/>
      <c r="AB164" s="40"/>
      <c r="AC164" s="40"/>
      <c r="AD164" s="40"/>
      <c r="AE164" s="40"/>
      <c r="AF164" s="40"/>
      <c r="AG164" s="40"/>
      <c r="AH164" s="40"/>
      <c r="AI164" s="40"/>
      <c r="AJ164" s="40"/>
      <c r="AK164" s="40"/>
      <c r="AL164" s="40"/>
      <c r="AM164" s="40">
        <v>2</v>
      </c>
      <c r="AN164" s="40"/>
      <c r="AO164" s="40"/>
      <c r="AP164" s="40"/>
      <c r="AQ164" s="40"/>
      <c r="AR164" s="40"/>
      <c r="AS164" s="40"/>
      <c r="AT164" s="40"/>
      <c r="AU164" s="40"/>
      <c r="AV164" s="40"/>
      <c r="AW164" s="40"/>
      <c r="AX164" s="40"/>
      <c r="AY164" s="40"/>
      <c r="AZ164" s="40"/>
      <c r="BA164" s="40"/>
      <c r="BB164" s="40"/>
      <c r="BC164" s="40"/>
      <c r="BD164" s="40">
        <v>3</v>
      </c>
      <c r="BE164" s="40"/>
      <c r="BF164" s="40"/>
      <c r="BG164" s="40"/>
      <c r="BH164" s="40"/>
      <c r="BI164" s="40"/>
      <c r="BJ164" s="40"/>
      <c r="BK164" s="40"/>
      <c r="BL164" s="40"/>
      <c r="BM164" s="40"/>
      <c r="BN164" s="40"/>
      <c r="BO164" s="40"/>
      <c r="BP164" s="40"/>
      <c r="BQ164" s="40"/>
      <c r="BR164" s="40"/>
      <c r="BS164" s="40"/>
      <c r="BT164" s="40"/>
      <c r="BU164" s="40"/>
      <c r="BV164" s="40"/>
      <c r="BW164" s="40"/>
      <c r="BX164" s="40"/>
      <c r="BY164" s="40"/>
      <c r="BZ164" s="40">
        <v>3</v>
      </c>
      <c r="CA164" s="40"/>
      <c r="CB164" s="40"/>
      <c r="CC164" s="40"/>
      <c r="CD164" s="40"/>
      <c r="CE164" s="30">
        <f t="shared" si="6"/>
        <v>0</v>
      </c>
      <c r="CF164" s="5"/>
    </row>
    <row r="165" spans="1:84" s="38" customFormat="1" x14ac:dyDescent="0.25">
      <c r="A165" s="61" t="s">
        <v>76</v>
      </c>
      <c r="B165" s="75">
        <f t="shared" si="5"/>
        <v>0</v>
      </c>
      <c r="C165" s="67">
        <v>1</v>
      </c>
      <c r="D165" s="69">
        <v>44543</v>
      </c>
      <c r="E165" s="77">
        <v>27.3</v>
      </c>
      <c r="F165" s="77">
        <f t="shared" si="7"/>
        <v>0</v>
      </c>
      <c r="G165" s="75"/>
      <c r="H165" s="16"/>
      <c r="I165" s="16"/>
      <c r="J165" s="175"/>
      <c r="K165" s="16"/>
      <c r="L165" s="40"/>
      <c r="M165" s="40"/>
      <c r="N165" s="40"/>
      <c r="O165" s="40"/>
      <c r="P165" s="40"/>
      <c r="Q165" s="40"/>
      <c r="R165" s="40"/>
      <c r="S165" s="40"/>
      <c r="T165" s="40"/>
      <c r="U165" s="40"/>
      <c r="V165" s="40"/>
      <c r="W165" s="40"/>
      <c r="X165" s="40"/>
      <c r="Y165" s="40"/>
      <c r="Z165" s="40"/>
      <c r="AA165" s="40"/>
      <c r="AB165" s="40"/>
      <c r="AC165" s="40"/>
      <c r="AD165" s="40"/>
      <c r="AE165" s="40"/>
      <c r="AF165" s="40"/>
      <c r="AG165" s="40"/>
      <c r="AH165" s="40"/>
      <c r="AI165" s="40"/>
      <c r="AJ165" s="40"/>
      <c r="AK165" s="40"/>
      <c r="AL165" s="40"/>
      <c r="AM165" s="40"/>
      <c r="AN165" s="40"/>
      <c r="AO165" s="40"/>
      <c r="AP165" s="40"/>
      <c r="AQ165" s="40"/>
      <c r="AR165" s="40"/>
      <c r="AS165" s="40"/>
      <c r="AT165" s="40"/>
      <c r="AU165" s="40"/>
      <c r="AV165" s="40"/>
      <c r="AW165" s="40"/>
      <c r="AX165" s="40"/>
      <c r="AY165" s="40"/>
      <c r="AZ165" s="40"/>
      <c r="BA165" s="40"/>
      <c r="BB165" s="40"/>
      <c r="BC165" s="40"/>
      <c r="BD165" s="40"/>
      <c r="BE165" s="40"/>
      <c r="BF165" s="40"/>
      <c r="BG165" s="40"/>
      <c r="BH165" s="40"/>
      <c r="BI165" s="40"/>
      <c r="BJ165" s="40"/>
      <c r="BK165" s="40"/>
      <c r="BL165" s="40"/>
      <c r="BM165" s="40"/>
      <c r="BN165" s="40"/>
      <c r="BO165" s="40"/>
      <c r="BP165" s="40"/>
      <c r="BQ165" s="40"/>
      <c r="BR165" s="40"/>
      <c r="BS165" s="40"/>
      <c r="BT165" s="40"/>
      <c r="BU165" s="40"/>
      <c r="BV165" s="40"/>
      <c r="BW165" s="40"/>
      <c r="BX165" s="40"/>
      <c r="BY165" s="40"/>
      <c r="BZ165" s="40"/>
      <c r="CA165" s="40"/>
      <c r="CB165" s="40"/>
      <c r="CC165" s="40"/>
      <c r="CD165" s="40"/>
      <c r="CE165" s="30">
        <f t="shared" si="6"/>
        <v>0</v>
      </c>
      <c r="CF165" s="5"/>
    </row>
    <row r="166" spans="1:84" s="38" customFormat="1" x14ac:dyDescent="0.25">
      <c r="A166" s="45" t="s">
        <v>165</v>
      </c>
      <c r="B166" s="75">
        <f t="shared" si="5"/>
        <v>0</v>
      </c>
      <c r="C166" s="67">
        <v>10</v>
      </c>
      <c r="D166" s="69">
        <v>44543</v>
      </c>
      <c r="E166" s="77">
        <v>22.49</v>
      </c>
      <c r="F166" s="77">
        <f t="shared" si="7"/>
        <v>0</v>
      </c>
      <c r="G166" s="75"/>
      <c r="H166" s="16"/>
      <c r="I166" s="16"/>
      <c r="J166" s="175"/>
      <c r="K166" s="16"/>
      <c r="L166" s="40"/>
      <c r="M166" s="40"/>
      <c r="N166" s="40"/>
      <c r="O166" s="40"/>
      <c r="P166" s="40"/>
      <c r="Q166" s="40"/>
      <c r="R166" s="40"/>
      <c r="S166" s="40"/>
      <c r="T166" s="40"/>
      <c r="U166" s="40"/>
      <c r="V166" s="40"/>
      <c r="W166" s="40"/>
      <c r="X166" s="40"/>
      <c r="Y166" s="40"/>
      <c r="Z166" s="40"/>
      <c r="AA166" s="40"/>
      <c r="AB166" s="40"/>
      <c r="AC166" s="40"/>
      <c r="AD166" s="40"/>
      <c r="AE166" s="40"/>
      <c r="AF166" s="40"/>
      <c r="AG166" s="40"/>
      <c r="AH166" s="40"/>
      <c r="AI166" s="40"/>
      <c r="AJ166" s="40"/>
      <c r="AK166" s="40"/>
      <c r="AL166" s="40"/>
      <c r="AM166" s="40"/>
      <c r="AN166" s="40"/>
      <c r="AO166" s="40"/>
      <c r="AP166" s="40"/>
      <c r="AQ166" s="40"/>
      <c r="AR166" s="40"/>
      <c r="AS166" s="40"/>
      <c r="AT166" s="40"/>
      <c r="AU166" s="40"/>
      <c r="AV166" s="40"/>
      <c r="AW166" s="40"/>
      <c r="AX166" s="40"/>
      <c r="AY166" s="40"/>
      <c r="AZ166" s="40"/>
      <c r="BA166" s="40"/>
      <c r="BB166" s="40"/>
      <c r="BC166" s="40"/>
      <c r="BD166" s="40"/>
      <c r="BE166" s="40"/>
      <c r="BF166" s="40"/>
      <c r="BG166" s="40"/>
      <c r="BH166" s="40"/>
      <c r="BI166" s="40"/>
      <c r="BJ166" s="40"/>
      <c r="BK166" s="40"/>
      <c r="BL166" s="40"/>
      <c r="BM166" s="40"/>
      <c r="BN166" s="40"/>
      <c r="BO166" s="40"/>
      <c r="BP166" s="40"/>
      <c r="BQ166" s="40"/>
      <c r="BR166" s="40"/>
      <c r="BS166" s="40"/>
      <c r="BT166" s="40"/>
      <c r="BU166" s="40"/>
      <c r="BV166" s="40"/>
      <c r="BW166" s="40"/>
      <c r="BX166" s="40"/>
      <c r="BY166" s="40"/>
      <c r="BZ166" s="40"/>
      <c r="CA166" s="40"/>
      <c r="CB166" s="40"/>
      <c r="CC166" s="40"/>
      <c r="CD166" s="40"/>
      <c r="CE166" s="30">
        <f t="shared" si="6"/>
        <v>0</v>
      </c>
      <c r="CF166" s="5"/>
    </row>
    <row r="167" spans="1:84" s="38" customFormat="1" x14ac:dyDescent="0.25">
      <c r="A167" s="45" t="s">
        <v>165</v>
      </c>
      <c r="B167" s="75">
        <f t="shared" si="5"/>
        <v>0</v>
      </c>
      <c r="C167" s="67">
        <v>10</v>
      </c>
      <c r="D167" s="69">
        <v>44452</v>
      </c>
      <c r="E167" s="77">
        <v>20.52</v>
      </c>
      <c r="F167" s="77">
        <f t="shared" si="7"/>
        <v>0</v>
      </c>
      <c r="G167" s="75"/>
      <c r="H167" s="16"/>
      <c r="I167" s="16"/>
      <c r="J167" s="175"/>
      <c r="K167" s="16"/>
      <c r="L167" s="40"/>
      <c r="M167" s="40"/>
      <c r="N167" s="40"/>
      <c r="O167" s="40"/>
      <c r="P167" s="40"/>
      <c r="Q167" s="40"/>
      <c r="R167" s="40"/>
      <c r="S167" s="40"/>
      <c r="T167" s="40"/>
      <c r="U167" s="40"/>
      <c r="V167" s="40"/>
      <c r="W167" s="40"/>
      <c r="X167" s="40"/>
      <c r="Y167" s="40"/>
      <c r="Z167" s="40"/>
      <c r="AA167" s="40"/>
      <c r="AB167" s="40"/>
      <c r="AC167" s="40"/>
      <c r="AD167" s="40"/>
      <c r="AE167" s="40"/>
      <c r="AF167" s="40"/>
      <c r="AG167" s="40"/>
      <c r="AH167" s="40"/>
      <c r="AI167" s="40"/>
      <c r="AJ167" s="40"/>
      <c r="AK167" s="40"/>
      <c r="AL167" s="40"/>
      <c r="AM167" s="40"/>
      <c r="AN167" s="40"/>
      <c r="AO167" s="40"/>
      <c r="AP167" s="40"/>
      <c r="AQ167" s="40"/>
      <c r="AR167" s="40"/>
      <c r="AS167" s="40"/>
      <c r="AT167" s="40"/>
      <c r="AU167" s="40"/>
      <c r="AV167" s="40"/>
      <c r="AW167" s="40"/>
      <c r="AX167" s="40"/>
      <c r="AY167" s="40"/>
      <c r="AZ167" s="40"/>
      <c r="BA167" s="40"/>
      <c r="BB167" s="40"/>
      <c r="BC167" s="40"/>
      <c r="BD167" s="40"/>
      <c r="BE167" s="40"/>
      <c r="BF167" s="40"/>
      <c r="BG167" s="40"/>
      <c r="BH167" s="40"/>
      <c r="BI167" s="40"/>
      <c r="BJ167" s="40"/>
      <c r="BK167" s="40"/>
      <c r="BL167" s="40"/>
      <c r="BM167" s="40"/>
      <c r="BN167" s="40"/>
      <c r="BO167" s="40"/>
      <c r="BP167" s="40"/>
      <c r="BQ167" s="40"/>
      <c r="BR167" s="40"/>
      <c r="BS167" s="40"/>
      <c r="BT167" s="40"/>
      <c r="BU167" s="40"/>
      <c r="BV167" s="40"/>
      <c r="BW167" s="40"/>
      <c r="BX167" s="40"/>
      <c r="BY167" s="40"/>
      <c r="BZ167" s="40"/>
      <c r="CA167" s="40"/>
      <c r="CB167" s="40"/>
      <c r="CC167" s="40"/>
      <c r="CD167" s="40"/>
      <c r="CE167" s="30">
        <f t="shared" si="6"/>
        <v>0</v>
      </c>
      <c r="CF167" s="5"/>
    </row>
    <row r="168" spans="1:84" s="38" customFormat="1" x14ac:dyDescent="0.25">
      <c r="A168" s="45" t="s">
        <v>326</v>
      </c>
      <c r="B168" s="75">
        <f t="shared" si="5"/>
        <v>0</v>
      </c>
      <c r="C168" s="67">
        <v>10</v>
      </c>
      <c r="D168" s="69">
        <v>44396</v>
      </c>
      <c r="E168" s="77">
        <v>41.18</v>
      </c>
      <c r="F168" s="77">
        <f t="shared" si="7"/>
        <v>0</v>
      </c>
      <c r="G168" s="75"/>
      <c r="H168" s="16"/>
      <c r="I168" s="16"/>
      <c r="J168" s="175"/>
      <c r="K168" s="16"/>
      <c r="L168" s="40"/>
      <c r="M168" s="40"/>
      <c r="N168" s="40"/>
      <c r="O168" s="40"/>
      <c r="P168" s="40"/>
      <c r="Q168" s="40"/>
      <c r="R168" s="40"/>
      <c r="S168" s="40"/>
      <c r="T168" s="40"/>
      <c r="U168" s="40"/>
      <c r="V168" s="40"/>
      <c r="W168" s="40"/>
      <c r="X168" s="40"/>
      <c r="Y168" s="40"/>
      <c r="Z168" s="40"/>
      <c r="AA168" s="40"/>
      <c r="AB168" s="40"/>
      <c r="AC168" s="40"/>
      <c r="AD168" s="40"/>
      <c r="AE168" s="40"/>
      <c r="AF168" s="40"/>
      <c r="AG168" s="40"/>
      <c r="AH168" s="40"/>
      <c r="AI168" s="40"/>
      <c r="AJ168" s="40"/>
      <c r="AK168" s="40"/>
      <c r="AL168" s="40"/>
      <c r="AM168" s="40"/>
      <c r="AN168" s="40"/>
      <c r="AO168" s="40"/>
      <c r="AP168" s="40"/>
      <c r="AQ168" s="40"/>
      <c r="AR168" s="40"/>
      <c r="AS168" s="40"/>
      <c r="AT168" s="40"/>
      <c r="AU168" s="40"/>
      <c r="AV168" s="40"/>
      <c r="AW168" s="40"/>
      <c r="AX168" s="40"/>
      <c r="AY168" s="40"/>
      <c r="AZ168" s="40"/>
      <c r="BA168" s="40"/>
      <c r="BB168" s="40"/>
      <c r="BC168" s="40"/>
      <c r="BD168" s="40"/>
      <c r="BE168" s="40"/>
      <c r="BF168" s="40"/>
      <c r="BG168" s="40"/>
      <c r="BH168" s="40"/>
      <c r="BI168" s="40"/>
      <c r="BJ168" s="40"/>
      <c r="BK168" s="40"/>
      <c r="BL168" s="40"/>
      <c r="BM168" s="40"/>
      <c r="BN168" s="40"/>
      <c r="BO168" s="40"/>
      <c r="BP168" s="40"/>
      <c r="BQ168" s="40"/>
      <c r="BR168" s="40"/>
      <c r="BS168" s="40"/>
      <c r="BT168" s="40"/>
      <c r="BU168" s="40"/>
      <c r="BV168" s="40"/>
      <c r="BW168" s="40"/>
      <c r="BX168" s="40"/>
      <c r="BY168" s="40"/>
      <c r="BZ168" s="40"/>
      <c r="CA168" s="40"/>
      <c r="CB168" s="40"/>
      <c r="CC168" s="40"/>
      <c r="CD168" s="40"/>
      <c r="CE168" s="30">
        <f t="shared" si="6"/>
        <v>0</v>
      </c>
      <c r="CF168" s="5"/>
    </row>
    <row r="169" spans="1:84" s="38" customFormat="1" x14ac:dyDescent="0.25">
      <c r="A169" s="45" t="s">
        <v>326</v>
      </c>
      <c r="B169" s="75">
        <f t="shared" si="5"/>
        <v>0</v>
      </c>
      <c r="C169" s="67">
        <v>1</v>
      </c>
      <c r="D169" s="69">
        <v>44466</v>
      </c>
      <c r="E169" s="77">
        <v>43.4</v>
      </c>
      <c r="F169" s="77">
        <f t="shared" si="7"/>
        <v>0</v>
      </c>
      <c r="G169" s="75"/>
      <c r="H169" s="16"/>
      <c r="I169" s="16"/>
      <c r="J169" s="175"/>
      <c r="K169" s="16"/>
      <c r="L169" s="40"/>
      <c r="M169" s="40"/>
      <c r="N169" s="40"/>
      <c r="O169" s="40"/>
      <c r="P169" s="40"/>
      <c r="Q169" s="40"/>
      <c r="R169" s="40"/>
      <c r="S169" s="40"/>
      <c r="T169" s="40"/>
      <c r="U169" s="40"/>
      <c r="V169" s="40"/>
      <c r="W169" s="40"/>
      <c r="X169" s="40"/>
      <c r="Y169" s="40"/>
      <c r="Z169" s="40"/>
      <c r="AA169" s="40"/>
      <c r="AB169" s="40"/>
      <c r="AC169" s="40"/>
      <c r="AD169" s="40"/>
      <c r="AE169" s="40"/>
      <c r="AF169" s="40"/>
      <c r="AG169" s="40"/>
      <c r="AH169" s="40"/>
      <c r="AI169" s="40"/>
      <c r="AJ169" s="40"/>
      <c r="AK169" s="40"/>
      <c r="AL169" s="40"/>
      <c r="AM169" s="40"/>
      <c r="AN169" s="40"/>
      <c r="AO169" s="40"/>
      <c r="AP169" s="40"/>
      <c r="AQ169" s="40"/>
      <c r="AR169" s="40"/>
      <c r="AS169" s="40"/>
      <c r="AT169" s="40"/>
      <c r="AU169" s="40"/>
      <c r="AV169" s="40"/>
      <c r="AW169" s="40"/>
      <c r="AX169" s="40"/>
      <c r="AY169" s="40"/>
      <c r="AZ169" s="40"/>
      <c r="BA169" s="40"/>
      <c r="BB169" s="40"/>
      <c r="BC169" s="40"/>
      <c r="BD169" s="40"/>
      <c r="BE169" s="40"/>
      <c r="BF169" s="40"/>
      <c r="BG169" s="40"/>
      <c r="BH169" s="40"/>
      <c r="BI169" s="40"/>
      <c r="BJ169" s="40"/>
      <c r="BK169" s="40"/>
      <c r="BL169" s="40"/>
      <c r="BM169" s="40"/>
      <c r="BN169" s="40"/>
      <c r="BO169" s="40"/>
      <c r="BP169" s="40"/>
      <c r="BQ169" s="40"/>
      <c r="BR169" s="40"/>
      <c r="BS169" s="40"/>
      <c r="BT169" s="40"/>
      <c r="BU169" s="40"/>
      <c r="BV169" s="40"/>
      <c r="BW169" s="40"/>
      <c r="BX169" s="40"/>
      <c r="BY169" s="40"/>
      <c r="BZ169" s="40"/>
      <c r="CA169" s="40"/>
      <c r="CB169" s="40"/>
      <c r="CC169" s="40"/>
      <c r="CD169" s="40"/>
      <c r="CE169" s="30">
        <f t="shared" si="6"/>
        <v>0</v>
      </c>
      <c r="CF169" s="5"/>
    </row>
    <row r="170" spans="1:84" s="38" customFormat="1" x14ac:dyDescent="0.25">
      <c r="A170" s="45" t="s">
        <v>220</v>
      </c>
      <c r="B170" s="75">
        <f t="shared" si="5"/>
        <v>10</v>
      </c>
      <c r="C170" s="67">
        <v>10</v>
      </c>
      <c r="D170" s="69">
        <v>44503</v>
      </c>
      <c r="E170" s="77">
        <v>24.81</v>
      </c>
      <c r="F170" s="77">
        <f t="shared" si="7"/>
        <v>248.1</v>
      </c>
      <c r="G170" s="75">
        <v>10</v>
      </c>
      <c r="H170" s="172"/>
      <c r="I170" s="172"/>
      <c r="J170" s="175"/>
      <c r="K170" s="172">
        <v>10</v>
      </c>
      <c r="L170" s="40"/>
      <c r="M170" s="40"/>
      <c r="N170" s="40"/>
      <c r="O170" s="40"/>
      <c r="P170" s="40"/>
      <c r="Q170" s="40"/>
      <c r="R170" s="40"/>
      <c r="S170" s="40"/>
      <c r="T170" s="40"/>
      <c r="U170" s="40"/>
      <c r="V170" s="40"/>
      <c r="W170" s="40"/>
      <c r="X170" s="40"/>
      <c r="Y170" s="40"/>
      <c r="Z170" s="40"/>
      <c r="AA170" s="40"/>
      <c r="AB170" s="40"/>
      <c r="AC170" s="40"/>
      <c r="AD170" s="40"/>
      <c r="AE170" s="40"/>
      <c r="AF170" s="40"/>
      <c r="AG170" s="40"/>
      <c r="AH170" s="40"/>
      <c r="AI170" s="40"/>
      <c r="AJ170" s="40"/>
      <c r="AK170" s="40"/>
      <c r="AL170" s="40"/>
      <c r="AM170" s="40"/>
      <c r="AN170" s="40"/>
      <c r="AO170" s="40"/>
      <c r="AP170" s="40"/>
      <c r="AQ170" s="40"/>
      <c r="AR170" s="40"/>
      <c r="AS170" s="40"/>
      <c r="AT170" s="40"/>
      <c r="AU170" s="40"/>
      <c r="AV170" s="40"/>
      <c r="AW170" s="40"/>
      <c r="AX170" s="40"/>
      <c r="AY170" s="40"/>
      <c r="AZ170" s="40"/>
      <c r="BA170" s="40"/>
      <c r="BB170" s="40"/>
      <c r="BC170" s="40"/>
      <c r="BD170" s="40"/>
      <c r="BE170" s="40"/>
      <c r="BF170" s="40"/>
      <c r="BG170" s="40"/>
      <c r="BH170" s="40"/>
      <c r="BI170" s="40"/>
      <c r="BJ170" s="40"/>
      <c r="BK170" s="40"/>
      <c r="BL170" s="40"/>
      <c r="BM170" s="40"/>
      <c r="BN170" s="40"/>
      <c r="BO170" s="40"/>
      <c r="BP170" s="40"/>
      <c r="BQ170" s="40"/>
      <c r="BR170" s="40"/>
      <c r="BS170" s="40"/>
      <c r="BT170" s="40"/>
      <c r="BU170" s="40"/>
      <c r="BV170" s="40"/>
      <c r="BW170" s="40"/>
      <c r="BX170" s="40"/>
      <c r="BY170" s="40"/>
      <c r="BZ170" s="40"/>
      <c r="CA170" s="40"/>
      <c r="CB170" s="40"/>
      <c r="CC170" s="40"/>
      <c r="CD170" s="40"/>
      <c r="CE170" s="30">
        <f t="shared" si="6"/>
        <v>0</v>
      </c>
      <c r="CF170" s="5"/>
    </row>
    <row r="171" spans="1:84" s="38" customFormat="1" x14ac:dyDescent="0.25">
      <c r="A171" s="45" t="s">
        <v>220</v>
      </c>
      <c r="B171" s="75">
        <f t="shared" si="5"/>
        <v>20</v>
      </c>
      <c r="C171" s="67">
        <v>10</v>
      </c>
      <c r="D171" s="69">
        <v>44452</v>
      </c>
      <c r="E171" s="77">
        <v>24.91</v>
      </c>
      <c r="F171" s="77">
        <f t="shared" si="7"/>
        <v>498.2</v>
      </c>
      <c r="G171" s="75">
        <v>20</v>
      </c>
      <c r="H171" s="172"/>
      <c r="I171" s="172"/>
      <c r="J171" s="175"/>
      <c r="K171" s="172">
        <v>20</v>
      </c>
      <c r="L171" s="40"/>
      <c r="M171" s="40"/>
      <c r="N171" s="40"/>
      <c r="O171" s="40"/>
      <c r="P171" s="40"/>
      <c r="Q171" s="40"/>
      <c r="R171" s="40"/>
      <c r="S171" s="40"/>
      <c r="T171" s="40"/>
      <c r="U171" s="40"/>
      <c r="V171" s="40"/>
      <c r="W171" s="40"/>
      <c r="X171" s="40"/>
      <c r="Y171" s="40"/>
      <c r="Z171" s="40"/>
      <c r="AA171" s="40"/>
      <c r="AB171" s="40"/>
      <c r="AC171" s="40"/>
      <c r="AD171" s="40"/>
      <c r="AE171" s="40"/>
      <c r="AF171" s="40"/>
      <c r="AG171" s="40"/>
      <c r="AH171" s="40"/>
      <c r="AI171" s="40"/>
      <c r="AJ171" s="40"/>
      <c r="AK171" s="40"/>
      <c r="AL171" s="40"/>
      <c r="AM171" s="40"/>
      <c r="AN171" s="40"/>
      <c r="AO171" s="40"/>
      <c r="AP171" s="40"/>
      <c r="AQ171" s="40"/>
      <c r="AR171" s="40"/>
      <c r="AS171" s="40"/>
      <c r="AT171" s="40"/>
      <c r="AU171" s="40"/>
      <c r="AV171" s="40"/>
      <c r="AW171" s="40"/>
      <c r="AX171" s="40"/>
      <c r="AY171" s="40"/>
      <c r="AZ171" s="40"/>
      <c r="BA171" s="40"/>
      <c r="BB171" s="40"/>
      <c r="BC171" s="40"/>
      <c r="BD171" s="40"/>
      <c r="BE171" s="40"/>
      <c r="BF171" s="40"/>
      <c r="BG171" s="40"/>
      <c r="BH171" s="40"/>
      <c r="BI171" s="40"/>
      <c r="BJ171" s="40"/>
      <c r="BK171" s="40"/>
      <c r="BL171" s="40"/>
      <c r="BM171" s="40"/>
      <c r="BN171" s="40"/>
      <c r="BO171" s="40"/>
      <c r="BP171" s="40"/>
      <c r="BQ171" s="40"/>
      <c r="BR171" s="40"/>
      <c r="BS171" s="40"/>
      <c r="BT171" s="40"/>
      <c r="BU171" s="40"/>
      <c r="BV171" s="40"/>
      <c r="BW171" s="40"/>
      <c r="BX171" s="40"/>
      <c r="BY171" s="40"/>
      <c r="BZ171" s="40"/>
      <c r="CA171" s="40"/>
      <c r="CB171" s="40"/>
      <c r="CC171" s="40"/>
      <c r="CD171" s="40"/>
      <c r="CE171" s="30">
        <f t="shared" si="6"/>
        <v>0</v>
      </c>
      <c r="CF171" s="5"/>
    </row>
    <row r="172" spans="1:84" s="38" customFormat="1" x14ac:dyDescent="0.25">
      <c r="A172" s="45" t="s">
        <v>133</v>
      </c>
      <c r="B172" s="75">
        <f t="shared" si="5"/>
        <v>30</v>
      </c>
      <c r="C172" s="67">
        <v>10</v>
      </c>
      <c r="D172" s="69">
        <v>44585</v>
      </c>
      <c r="E172" s="77">
        <v>22.68</v>
      </c>
      <c r="F172" s="77">
        <f t="shared" si="7"/>
        <v>680.4</v>
      </c>
      <c r="G172" s="75">
        <v>10</v>
      </c>
      <c r="H172" s="172">
        <v>20</v>
      </c>
      <c r="I172" s="172">
        <v>10</v>
      </c>
      <c r="J172" s="175"/>
      <c r="K172" s="172"/>
      <c r="L172" s="40"/>
      <c r="M172" s="40"/>
      <c r="N172" s="40"/>
      <c r="O172" s="40"/>
      <c r="P172" s="40"/>
      <c r="Q172" s="40"/>
      <c r="R172" s="40"/>
      <c r="S172" s="40"/>
      <c r="T172" s="40"/>
      <c r="U172" s="40"/>
      <c r="V172" s="40"/>
      <c r="W172" s="40"/>
      <c r="X172" s="40"/>
      <c r="Y172" s="40"/>
      <c r="Z172" s="40"/>
      <c r="AA172" s="40"/>
      <c r="AB172" s="40"/>
      <c r="AC172" s="40"/>
      <c r="AD172" s="40"/>
      <c r="AE172" s="40"/>
      <c r="AF172" s="40"/>
      <c r="AG172" s="40"/>
      <c r="AH172" s="40"/>
      <c r="AI172" s="40"/>
      <c r="AJ172" s="40"/>
      <c r="AK172" s="40"/>
      <c r="AL172" s="40"/>
      <c r="AM172" s="40"/>
      <c r="AN172" s="40"/>
      <c r="AO172" s="40"/>
      <c r="AP172" s="40"/>
      <c r="AQ172" s="40"/>
      <c r="AR172" s="40"/>
      <c r="AS172" s="40"/>
      <c r="AT172" s="40"/>
      <c r="AU172" s="40"/>
      <c r="AV172" s="40"/>
      <c r="AW172" s="40"/>
      <c r="AX172" s="40"/>
      <c r="AY172" s="40"/>
      <c r="AZ172" s="40"/>
      <c r="BA172" s="40"/>
      <c r="BB172" s="40"/>
      <c r="BC172" s="40"/>
      <c r="BD172" s="40">
        <v>50</v>
      </c>
      <c r="BE172" s="40"/>
      <c r="BF172" s="40"/>
      <c r="BG172" s="40"/>
      <c r="BH172" s="40"/>
      <c r="BI172" s="40"/>
      <c r="BJ172" s="40"/>
      <c r="BK172" s="40"/>
      <c r="BL172" s="40"/>
      <c r="BM172" s="40"/>
      <c r="BN172" s="40"/>
      <c r="BO172" s="40"/>
      <c r="BP172" s="40"/>
      <c r="BQ172" s="40">
        <v>20</v>
      </c>
      <c r="BR172" s="40"/>
      <c r="BS172" s="40"/>
      <c r="BT172" s="40"/>
      <c r="BU172" s="40"/>
      <c r="BV172" s="40"/>
      <c r="BW172" s="40"/>
      <c r="BX172" s="40"/>
      <c r="BY172" s="40"/>
      <c r="BZ172" s="40"/>
      <c r="CA172" s="40"/>
      <c r="CB172" s="40"/>
      <c r="CC172" s="40"/>
      <c r="CD172" s="40"/>
      <c r="CE172" s="30">
        <f t="shared" si="6"/>
        <v>10</v>
      </c>
      <c r="CF172" s="5"/>
    </row>
    <row r="173" spans="1:84" s="38" customFormat="1" x14ac:dyDescent="0.25">
      <c r="A173" s="45" t="s">
        <v>25</v>
      </c>
      <c r="B173" s="75">
        <f t="shared" si="5"/>
        <v>0</v>
      </c>
      <c r="C173" s="67">
        <v>1</v>
      </c>
      <c r="D173" s="70">
        <v>44557</v>
      </c>
      <c r="E173" s="77">
        <v>21.74</v>
      </c>
      <c r="F173" s="77">
        <f t="shared" si="7"/>
        <v>0</v>
      </c>
      <c r="G173" s="75">
        <v>5</v>
      </c>
      <c r="H173" s="16"/>
      <c r="I173" s="16"/>
      <c r="J173" s="175">
        <v>5</v>
      </c>
      <c r="K173" s="16"/>
      <c r="L173" s="40"/>
      <c r="M173" s="40"/>
      <c r="N173" s="40"/>
      <c r="O173" s="40"/>
      <c r="P173" s="40"/>
      <c r="Q173" s="40"/>
      <c r="R173" s="40"/>
      <c r="S173" s="40"/>
      <c r="T173" s="40"/>
      <c r="U173" s="40"/>
      <c r="V173" s="40"/>
      <c r="W173" s="40"/>
      <c r="X173" s="40"/>
      <c r="Y173" s="40"/>
      <c r="Z173" s="40"/>
      <c r="AA173" s="40"/>
      <c r="AB173" s="40"/>
      <c r="AC173" s="40"/>
      <c r="AD173" s="40"/>
      <c r="AE173" s="40"/>
      <c r="AF173" s="40"/>
      <c r="AG173" s="40"/>
      <c r="AH173" s="40"/>
      <c r="AI173" s="40"/>
      <c r="AJ173" s="40"/>
      <c r="AK173" s="40"/>
      <c r="AL173" s="40"/>
      <c r="AM173" s="40"/>
      <c r="AN173" s="40"/>
      <c r="AO173" s="40"/>
      <c r="AP173" s="40"/>
      <c r="AQ173" s="40"/>
      <c r="AR173" s="40"/>
      <c r="AS173" s="40"/>
      <c r="AT173" s="40"/>
      <c r="AU173" s="40"/>
      <c r="AV173" s="40"/>
      <c r="AW173" s="40"/>
      <c r="AX173" s="40"/>
      <c r="AY173" s="40"/>
      <c r="AZ173" s="40"/>
      <c r="BA173" s="40"/>
      <c r="BB173" s="40"/>
      <c r="BC173" s="40"/>
      <c r="BD173" s="40"/>
      <c r="BE173" s="40"/>
      <c r="BF173" s="40"/>
      <c r="BG173" s="40"/>
      <c r="BH173" s="40"/>
      <c r="BI173" s="40"/>
      <c r="BJ173" s="40"/>
      <c r="BK173" s="40"/>
      <c r="BL173" s="40"/>
      <c r="BM173" s="40"/>
      <c r="BN173" s="40"/>
      <c r="BO173" s="40"/>
      <c r="BP173" s="40"/>
      <c r="BQ173" s="40"/>
      <c r="BR173" s="40"/>
      <c r="BS173" s="40"/>
      <c r="BT173" s="40"/>
      <c r="BU173" s="40"/>
      <c r="BV173" s="40"/>
      <c r="BW173" s="40"/>
      <c r="BX173" s="40"/>
      <c r="BY173" s="40"/>
      <c r="BZ173" s="40"/>
      <c r="CA173" s="40"/>
      <c r="CB173" s="40"/>
      <c r="CC173" s="40"/>
      <c r="CD173" s="40"/>
      <c r="CE173" s="30">
        <f t="shared" si="6"/>
        <v>0</v>
      </c>
      <c r="CF173" s="5"/>
    </row>
    <row r="174" spans="1:84" s="38" customFormat="1" x14ac:dyDescent="0.25">
      <c r="A174" s="45" t="s">
        <v>25</v>
      </c>
      <c r="B174" s="75">
        <f t="shared" si="5"/>
        <v>0</v>
      </c>
      <c r="C174" s="67">
        <v>10</v>
      </c>
      <c r="D174" s="70">
        <v>44557</v>
      </c>
      <c r="E174" s="77">
        <v>18.23</v>
      </c>
      <c r="F174" s="77">
        <f t="shared" si="7"/>
        <v>0</v>
      </c>
      <c r="G174" s="75">
        <v>10</v>
      </c>
      <c r="H174" s="16"/>
      <c r="I174" s="16"/>
      <c r="J174" s="175"/>
      <c r="K174" s="16"/>
      <c r="L174" s="40"/>
      <c r="M174" s="40"/>
      <c r="N174" s="40"/>
      <c r="O174" s="40"/>
      <c r="P174" s="40"/>
      <c r="Q174" s="40"/>
      <c r="R174" s="40"/>
      <c r="S174" s="40"/>
      <c r="T174" s="40"/>
      <c r="U174" s="40"/>
      <c r="V174" s="40"/>
      <c r="W174" s="40"/>
      <c r="X174" s="40"/>
      <c r="Y174" s="40"/>
      <c r="Z174" s="40"/>
      <c r="AA174" s="40"/>
      <c r="AB174" s="40"/>
      <c r="AC174" s="40"/>
      <c r="AD174" s="40"/>
      <c r="AE174" s="40"/>
      <c r="AF174" s="40"/>
      <c r="AG174" s="40"/>
      <c r="AH174" s="40"/>
      <c r="AI174" s="40"/>
      <c r="AJ174" s="40"/>
      <c r="AK174" s="40"/>
      <c r="AL174" s="40"/>
      <c r="AM174" s="40"/>
      <c r="AN174" s="40"/>
      <c r="AO174" s="40"/>
      <c r="AP174" s="40"/>
      <c r="AQ174" s="40"/>
      <c r="AR174" s="40"/>
      <c r="AS174" s="40"/>
      <c r="AT174" s="40"/>
      <c r="AU174" s="40"/>
      <c r="AV174" s="40"/>
      <c r="AW174" s="40"/>
      <c r="AX174" s="40"/>
      <c r="AY174" s="40"/>
      <c r="AZ174" s="40"/>
      <c r="BA174" s="40"/>
      <c r="BB174" s="40"/>
      <c r="BC174" s="40">
        <v>10</v>
      </c>
      <c r="BD174" s="40"/>
      <c r="BE174" s="40"/>
      <c r="BF174" s="40"/>
      <c r="BG174" s="40"/>
      <c r="BH174" s="40"/>
      <c r="BI174" s="40"/>
      <c r="BJ174" s="40"/>
      <c r="BK174" s="40"/>
      <c r="BL174" s="40"/>
      <c r="BM174" s="40"/>
      <c r="BN174" s="40"/>
      <c r="BO174" s="40"/>
      <c r="BP174" s="40"/>
      <c r="BQ174" s="40"/>
      <c r="BR174" s="40"/>
      <c r="BS174" s="40"/>
      <c r="BT174" s="40"/>
      <c r="BU174" s="40"/>
      <c r="BV174" s="40"/>
      <c r="BW174" s="40"/>
      <c r="BX174" s="40"/>
      <c r="BY174" s="40"/>
      <c r="BZ174" s="40"/>
      <c r="CA174" s="40"/>
      <c r="CB174" s="40"/>
      <c r="CC174" s="40"/>
      <c r="CD174" s="40"/>
      <c r="CE174" s="30">
        <f t="shared" si="6"/>
        <v>0</v>
      </c>
      <c r="CF174" s="5"/>
    </row>
    <row r="175" spans="1:84" s="38" customFormat="1" x14ac:dyDescent="0.25">
      <c r="A175" s="45" t="s">
        <v>371</v>
      </c>
      <c r="B175" s="75">
        <f t="shared" si="5"/>
        <v>10</v>
      </c>
      <c r="C175" s="67">
        <v>10</v>
      </c>
      <c r="D175" s="69">
        <v>44585</v>
      </c>
      <c r="E175" s="77">
        <v>18.62</v>
      </c>
      <c r="F175" s="77">
        <f t="shared" si="7"/>
        <v>186.20000000000002</v>
      </c>
      <c r="G175" s="75"/>
      <c r="H175" s="16"/>
      <c r="I175" s="16"/>
      <c r="J175" s="175"/>
      <c r="K175" s="16"/>
      <c r="L175" s="40"/>
      <c r="M175" s="40"/>
      <c r="N175" s="40"/>
      <c r="O175" s="40"/>
      <c r="P175" s="40"/>
      <c r="Q175" s="40"/>
      <c r="R175" s="40"/>
      <c r="S175" s="40"/>
      <c r="T175" s="40"/>
      <c r="U175" s="40"/>
      <c r="V175" s="40"/>
      <c r="W175" s="40"/>
      <c r="X175" s="40"/>
      <c r="Y175" s="40"/>
      <c r="Z175" s="40"/>
      <c r="AA175" s="40"/>
      <c r="AB175" s="40">
        <v>10</v>
      </c>
      <c r="AC175" s="40"/>
      <c r="AD175" s="40"/>
      <c r="AE175" s="40"/>
      <c r="AF175" s="40"/>
      <c r="AG175" s="40"/>
      <c r="AH175" s="40"/>
      <c r="AI175" s="40"/>
      <c r="AJ175" s="40"/>
      <c r="AK175" s="40"/>
      <c r="AL175" s="40"/>
      <c r="AM175" s="40"/>
      <c r="AN175" s="40"/>
      <c r="AO175" s="40"/>
      <c r="AP175" s="40"/>
      <c r="AQ175" s="40"/>
      <c r="AR175" s="40"/>
      <c r="AS175" s="40"/>
      <c r="AT175" s="40"/>
      <c r="AU175" s="40"/>
      <c r="AV175" s="40"/>
      <c r="AW175" s="40"/>
      <c r="AX175" s="40"/>
      <c r="AY175" s="40"/>
      <c r="AZ175" s="40"/>
      <c r="BA175" s="40"/>
      <c r="BB175" s="40"/>
      <c r="BC175" s="40"/>
      <c r="BD175" s="40">
        <v>10</v>
      </c>
      <c r="BE175" s="40"/>
      <c r="BF175" s="40"/>
      <c r="BG175" s="40"/>
      <c r="BH175" s="40"/>
      <c r="BI175" s="40"/>
      <c r="BJ175" s="40"/>
      <c r="BK175" s="40"/>
      <c r="BL175" s="40"/>
      <c r="BM175" s="40"/>
      <c r="BN175" s="40"/>
      <c r="BO175" s="40"/>
      <c r="BP175" s="40"/>
      <c r="BQ175" s="40"/>
      <c r="BR175" s="40"/>
      <c r="BS175" s="40"/>
      <c r="BT175" s="40"/>
      <c r="BU175" s="40"/>
      <c r="BV175" s="40"/>
      <c r="BW175" s="40"/>
      <c r="BX175" s="40"/>
      <c r="BY175" s="40"/>
      <c r="BZ175" s="40"/>
      <c r="CA175" s="40"/>
      <c r="CB175" s="40"/>
      <c r="CC175" s="40"/>
      <c r="CD175" s="40"/>
      <c r="CE175" s="30">
        <f t="shared" si="6"/>
        <v>0</v>
      </c>
      <c r="CF175" s="5"/>
    </row>
    <row r="176" spans="1:84" s="38" customFormat="1" x14ac:dyDescent="0.25">
      <c r="A176" s="45" t="s">
        <v>469</v>
      </c>
      <c r="B176" s="75">
        <f t="shared" si="5"/>
        <v>0</v>
      </c>
      <c r="C176" s="67">
        <v>10</v>
      </c>
      <c r="D176" s="69">
        <v>44564</v>
      </c>
      <c r="E176" s="77">
        <v>15.99</v>
      </c>
      <c r="F176" s="77">
        <f t="shared" si="7"/>
        <v>0</v>
      </c>
      <c r="G176" s="75"/>
      <c r="H176" s="16"/>
      <c r="I176" s="16"/>
      <c r="J176" s="175"/>
      <c r="K176" s="16"/>
      <c r="L176" s="40"/>
      <c r="M176" s="40"/>
      <c r="N176" s="40"/>
      <c r="O176" s="40"/>
      <c r="P176" s="40"/>
      <c r="Q176" s="40"/>
      <c r="R176" s="40"/>
      <c r="S176" s="40"/>
      <c r="T176" s="40"/>
      <c r="U176" s="40"/>
      <c r="V176" s="40"/>
      <c r="W176" s="40"/>
      <c r="X176" s="40"/>
      <c r="Y176" s="40"/>
      <c r="Z176" s="40">
        <v>30</v>
      </c>
      <c r="AA176" s="40"/>
      <c r="AB176" s="40"/>
      <c r="AC176" s="40"/>
      <c r="AD176" s="40"/>
      <c r="AE176" s="40"/>
      <c r="AF176" s="40"/>
      <c r="AG176" s="40"/>
      <c r="AH176" s="40"/>
      <c r="AI176" s="40"/>
      <c r="AJ176" s="40"/>
      <c r="AK176" s="40"/>
      <c r="AL176" s="40"/>
      <c r="AM176" s="40"/>
      <c r="AN176" s="40"/>
      <c r="AO176" s="40"/>
      <c r="AP176" s="40"/>
      <c r="AQ176" s="40"/>
      <c r="AR176" s="40"/>
      <c r="AS176" s="40"/>
      <c r="AT176" s="40"/>
      <c r="AU176" s="40"/>
      <c r="AV176" s="40"/>
      <c r="AW176" s="40">
        <v>30</v>
      </c>
      <c r="AX176" s="40"/>
      <c r="AY176" s="40"/>
      <c r="AZ176" s="40"/>
      <c r="BA176" s="40"/>
      <c r="BB176" s="40"/>
      <c r="BC176" s="40"/>
      <c r="BD176" s="40"/>
      <c r="BE176" s="40"/>
      <c r="BF176" s="40"/>
      <c r="BG176" s="40"/>
      <c r="BH176" s="40"/>
      <c r="BI176" s="40"/>
      <c r="BJ176" s="40"/>
      <c r="BK176" s="40"/>
      <c r="BL176" s="40"/>
      <c r="BM176" s="40"/>
      <c r="BN176" s="40"/>
      <c r="BO176" s="40"/>
      <c r="BP176" s="40"/>
      <c r="BQ176" s="40"/>
      <c r="BR176" s="40"/>
      <c r="BS176" s="40"/>
      <c r="BT176" s="40"/>
      <c r="BU176" s="40"/>
      <c r="BV176" s="40"/>
      <c r="BW176" s="40"/>
      <c r="BX176" s="40"/>
      <c r="BY176" s="40"/>
      <c r="BZ176" s="40"/>
      <c r="CA176" s="40"/>
      <c r="CB176" s="40"/>
      <c r="CC176" s="40"/>
      <c r="CD176" s="40"/>
      <c r="CE176" s="30">
        <f t="shared" si="6"/>
        <v>0</v>
      </c>
      <c r="CF176" s="5"/>
    </row>
    <row r="177" spans="1:84" s="38" customFormat="1" x14ac:dyDescent="0.25">
      <c r="A177" s="61" t="s">
        <v>40</v>
      </c>
      <c r="B177" s="75">
        <f t="shared" si="5"/>
        <v>0</v>
      </c>
      <c r="C177" s="67">
        <v>5</v>
      </c>
      <c r="D177" s="70">
        <v>44515</v>
      </c>
      <c r="E177" s="77">
        <v>70.3</v>
      </c>
      <c r="F177" s="77">
        <f t="shared" si="7"/>
        <v>0</v>
      </c>
      <c r="G177" s="75"/>
      <c r="H177" s="16"/>
      <c r="I177" s="16"/>
      <c r="J177" s="175"/>
      <c r="K177" s="16"/>
      <c r="L177" s="40"/>
      <c r="M177" s="40"/>
      <c r="N177" s="40"/>
      <c r="O177" s="40"/>
      <c r="P177" s="40"/>
      <c r="Q177" s="40"/>
      <c r="R177" s="40"/>
      <c r="S177" s="40"/>
      <c r="T177" s="40"/>
      <c r="U177" s="40"/>
      <c r="V177" s="40"/>
      <c r="W177" s="40"/>
      <c r="X177" s="40"/>
      <c r="Y177" s="40"/>
      <c r="Z177" s="40"/>
      <c r="AA177" s="40"/>
      <c r="AB177" s="40"/>
      <c r="AC177" s="40"/>
      <c r="AD177" s="40"/>
      <c r="AE177" s="40"/>
      <c r="AF177" s="40"/>
      <c r="AG177" s="40"/>
      <c r="AH177" s="40"/>
      <c r="AI177" s="40"/>
      <c r="AJ177" s="40"/>
      <c r="AK177" s="40"/>
      <c r="AL177" s="40"/>
      <c r="AM177" s="40"/>
      <c r="AN177" s="40"/>
      <c r="AO177" s="40"/>
      <c r="AP177" s="40"/>
      <c r="AQ177" s="40"/>
      <c r="AR177" s="40"/>
      <c r="AS177" s="40"/>
      <c r="AT177" s="40"/>
      <c r="AU177" s="40"/>
      <c r="AV177" s="40"/>
      <c r="AW177" s="40"/>
      <c r="AX177" s="40"/>
      <c r="AY177" s="40"/>
      <c r="AZ177" s="40"/>
      <c r="BA177" s="40"/>
      <c r="BB177" s="40"/>
      <c r="BC177" s="40"/>
      <c r="BD177" s="40"/>
      <c r="BE177" s="40"/>
      <c r="BF177" s="40"/>
      <c r="BG177" s="40"/>
      <c r="BH177" s="40"/>
      <c r="BI177" s="40"/>
      <c r="BJ177" s="40"/>
      <c r="BK177" s="40"/>
      <c r="BL177" s="40"/>
      <c r="BM177" s="40"/>
      <c r="BN177" s="40"/>
      <c r="BO177" s="40"/>
      <c r="BP177" s="40"/>
      <c r="BQ177" s="40"/>
      <c r="BR177" s="40"/>
      <c r="BS177" s="40"/>
      <c r="BT177" s="40"/>
      <c r="BU177" s="40"/>
      <c r="BV177" s="40"/>
      <c r="BW177" s="40"/>
      <c r="BX177" s="40"/>
      <c r="BY177" s="40"/>
      <c r="BZ177" s="40"/>
      <c r="CA177" s="40"/>
      <c r="CB177" s="40"/>
      <c r="CC177" s="40"/>
      <c r="CD177" s="40"/>
      <c r="CE177" s="30">
        <f t="shared" si="6"/>
        <v>0</v>
      </c>
      <c r="CF177" s="5"/>
    </row>
    <row r="178" spans="1:84" s="38" customFormat="1" x14ac:dyDescent="0.25">
      <c r="A178" s="61" t="s">
        <v>168</v>
      </c>
      <c r="B178" s="75">
        <f t="shared" si="5"/>
        <v>30</v>
      </c>
      <c r="C178" s="67">
        <v>5</v>
      </c>
      <c r="D178" s="70">
        <v>44585</v>
      </c>
      <c r="E178" s="77">
        <v>45.16</v>
      </c>
      <c r="F178" s="77">
        <f t="shared" si="7"/>
        <v>1354.8</v>
      </c>
      <c r="G178" s="75"/>
      <c r="H178" s="16"/>
      <c r="I178" s="16"/>
      <c r="J178" s="175"/>
      <c r="K178" s="16"/>
      <c r="L178" s="40"/>
      <c r="M178" s="40"/>
      <c r="N178" s="40"/>
      <c r="O178" s="40"/>
      <c r="P178" s="40"/>
      <c r="Q178" s="40"/>
      <c r="R178" s="40"/>
      <c r="S178" s="40"/>
      <c r="T178" s="40"/>
      <c r="U178" s="40"/>
      <c r="V178" s="40"/>
      <c r="W178" s="40"/>
      <c r="X178" s="40"/>
      <c r="Y178" s="40"/>
      <c r="Z178" s="40"/>
      <c r="AA178" s="40"/>
      <c r="AB178" s="40"/>
      <c r="AC178" s="40"/>
      <c r="AD178" s="40"/>
      <c r="AE178" s="40"/>
      <c r="AF178" s="40"/>
      <c r="AG178" s="40"/>
      <c r="AH178" s="40"/>
      <c r="AI178" s="40"/>
      <c r="AJ178" s="40"/>
      <c r="AK178" s="40"/>
      <c r="AL178" s="40"/>
      <c r="AM178" s="40"/>
      <c r="AN178" s="40"/>
      <c r="AO178" s="40"/>
      <c r="AP178" s="40"/>
      <c r="AQ178" s="40"/>
      <c r="AR178" s="40"/>
      <c r="AS178" s="40"/>
      <c r="AT178" s="40"/>
      <c r="AU178" s="40"/>
      <c r="AV178" s="40"/>
      <c r="AW178" s="40"/>
      <c r="AX178" s="40"/>
      <c r="AY178" s="40"/>
      <c r="AZ178" s="40"/>
      <c r="BA178" s="40"/>
      <c r="BB178" s="40"/>
      <c r="BC178" s="40"/>
      <c r="BD178" s="40">
        <v>51</v>
      </c>
      <c r="BE178" s="40"/>
      <c r="BF178" s="40"/>
      <c r="BG178" s="40"/>
      <c r="BH178" s="40"/>
      <c r="BI178" s="40">
        <v>21</v>
      </c>
      <c r="BJ178" s="40"/>
      <c r="BK178" s="40"/>
      <c r="BL178" s="40"/>
      <c r="BM178" s="40"/>
      <c r="BN178" s="40"/>
      <c r="BO178" s="40"/>
      <c r="BP178" s="40"/>
      <c r="BQ178" s="40"/>
      <c r="BR178" s="40"/>
      <c r="BS178" s="40"/>
      <c r="BT178" s="40"/>
      <c r="BU178" s="40"/>
      <c r="BV178" s="40"/>
      <c r="BW178" s="40"/>
      <c r="BX178" s="40"/>
      <c r="BY178" s="40"/>
      <c r="BZ178" s="40"/>
      <c r="CA178" s="40"/>
      <c r="CB178" s="40"/>
      <c r="CC178" s="40"/>
      <c r="CD178" s="40"/>
      <c r="CE178" s="30">
        <f t="shared" si="6"/>
        <v>30</v>
      </c>
      <c r="CF178" s="5"/>
    </row>
    <row r="179" spans="1:84" s="38" customFormat="1" x14ac:dyDescent="0.25">
      <c r="A179" s="61" t="s">
        <v>180</v>
      </c>
      <c r="B179" s="75">
        <f t="shared" si="5"/>
        <v>0</v>
      </c>
      <c r="C179" s="67">
        <v>10</v>
      </c>
      <c r="D179" s="69">
        <v>44494</v>
      </c>
      <c r="E179" s="77">
        <v>27.54</v>
      </c>
      <c r="F179" s="77">
        <f t="shared" si="7"/>
        <v>0</v>
      </c>
      <c r="G179" s="75"/>
      <c r="H179" s="16"/>
      <c r="I179" s="16"/>
      <c r="J179" s="175"/>
      <c r="K179" s="16"/>
      <c r="L179" s="40"/>
      <c r="M179" s="40"/>
      <c r="N179" s="40"/>
      <c r="O179" s="40"/>
      <c r="P179" s="40"/>
      <c r="Q179" s="40"/>
      <c r="R179" s="40"/>
      <c r="S179" s="40"/>
      <c r="T179" s="40"/>
      <c r="U179" s="40"/>
      <c r="V179" s="40"/>
      <c r="W179" s="40"/>
      <c r="X179" s="40"/>
      <c r="Y179" s="40"/>
      <c r="Z179" s="40"/>
      <c r="AA179" s="40"/>
      <c r="AB179" s="40"/>
      <c r="AC179" s="40"/>
      <c r="AD179" s="40"/>
      <c r="AE179" s="40"/>
      <c r="AF179" s="40"/>
      <c r="AG179" s="40"/>
      <c r="AH179" s="40"/>
      <c r="AI179" s="40"/>
      <c r="AJ179" s="40"/>
      <c r="AK179" s="40"/>
      <c r="AL179" s="40"/>
      <c r="AM179" s="40"/>
      <c r="AN179" s="40"/>
      <c r="AO179" s="40"/>
      <c r="AP179" s="40"/>
      <c r="AQ179" s="40"/>
      <c r="AR179" s="40"/>
      <c r="AS179" s="40"/>
      <c r="AT179" s="40"/>
      <c r="AU179" s="40"/>
      <c r="AV179" s="40"/>
      <c r="AW179" s="40"/>
      <c r="AX179" s="40"/>
      <c r="AY179" s="40"/>
      <c r="AZ179" s="40"/>
      <c r="BA179" s="40"/>
      <c r="BB179" s="40"/>
      <c r="BC179" s="40"/>
      <c r="BD179" s="40"/>
      <c r="BE179" s="40"/>
      <c r="BF179" s="40"/>
      <c r="BG179" s="40"/>
      <c r="BH179" s="40"/>
      <c r="BI179" s="40"/>
      <c r="BJ179" s="40"/>
      <c r="BK179" s="40"/>
      <c r="BL179" s="40"/>
      <c r="BM179" s="40"/>
      <c r="BN179" s="40"/>
      <c r="BO179" s="40"/>
      <c r="BP179" s="40"/>
      <c r="BQ179" s="40"/>
      <c r="BR179" s="40"/>
      <c r="BS179" s="40"/>
      <c r="BT179" s="40"/>
      <c r="BU179" s="40"/>
      <c r="BV179" s="40"/>
      <c r="BW179" s="40"/>
      <c r="BX179" s="40"/>
      <c r="BY179" s="40"/>
      <c r="BZ179" s="40"/>
      <c r="CA179" s="40"/>
      <c r="CB179" s="40"/>
      <c r="CC179" s="40"/>
      <c r="CD179" s="40"/>
      <c r="CE179" s="30">
        <f t="shared" si="6"/>
        <v>0</v>
      </c>
      <c r="CF179" s="5"/>
    </row>
    <row r="180" spans="1:84" s="38" customFormat="1" x14ac:dyDescent="0.25">
      <c r="A180" s="61" t="s">
        <v>26</v>
      </c>
      <c r="B180" s="75">
        <f t="shared" si="5"/>
        <v>0</v>
      </c>
      <c r="C180" s="67">
        <v>10</v>
      </c>
      <c r="D180" s="69">
        <v>44543</v>
      </c>
      <c r="E180" s="77">
        <v>19.41</v>
      </c>
      <c r="F180" s="77">
        <f t="shared" si="7"/>
        <v>0</v>
      </c>
      <c r="G180" s="75"/>
      <c r="H180" s="16"/>
      <c r="I180" s="16"/>
      <c r="J180" s="175"/>
      <c r="K180" s="16"/>
      <c r="L180" s="40"/>
      <c r="M180" s="40"/>
      <c r="N180" s="40"/>
      <c r="O180" s="40"/>
      <c r="P180" s="40"/>
      <c r="Q180" s="40"/>
      <c r="R180" s="40"/>
      <c r="S180" s="40"/>
      <c r="T180" s="40"/>
      <c r="U180" s="40"/>
      <c r="V180" s="40"/>
      <c r="W180" s="40"/>
      <c r="X180" s="40"/>
      <c r="Y180" s="40"/>
      <c r="Z180" s="40"/>
      <c r="AA180" s="40"/>
      <c r="AB180" s="40"/>
      <c r="AC180" s="40"/>
      <c r="AD180" s="40"/>
      <c r="AE180" s="40"/>
      <c r="AF180" s="40"/>
      <c r="AG180" s="40"/>
      <c r="AH180" s="40"/>
      <c r="AI180" s="40"/>
      <c r="AJ180" s="40"/>
      <c r="AK180" s="40"/>
      <c r="AL180" s="40"/>
      <c r="AM180" s="40"/>
      <c r="AN180" s="40"/>
      <c r="AO180" s="40"/>
      <c r="AP180" s="40"/>
      <c r="AQ180" s="40"/>
      <c r="AR180" s="40"/>
      <c r="AS180" s="40"/>
      <c r="AT180" s="40"/>
      <c r="AU180" s="40"/>
      <c r="AV180" s="40"/>
      <c r="AW180" s="40"/>
      <c r="AX180" s="40"/>
      <c r="AY180" s="40"/>
      <c r="AZ180" s="40"/>
      <c r="BA180" s="40"/>
      <c r="BB180" s="40"/>
      <c r="BC180" s="40"/>
      <c r="BD180" s="40"/>
      <c r="BE180" s="40"/>
      <c r="BF180" s="40"/>
      <c r="BG180" s="40"/>
      <c r="BH180" s="40"/>
      <c r="BI180" s="40"/>
      <c r="BJ180" s="40"/>
      <c r="BK180" s="40"/>
      <c r="BL180" s="40"/>
      <c r="BM180" s="40"/>
      <c r="BN180" s="40"/>
      <c r="BO180" s="40"/>
      <c r="BP180" s="40"/>
      <c r="BQ180" s="40"/>
      <c r="BR180" s="40"/>
      <c r="BS180" s="40"/>
      <c r="BT180" s="40"/>
      <c r="BU180" s="40"/>
      <c r="BV180" s="40"/>
      <c r="BW180" s="40"/>
      <c r="BX180" s="40"/>
      <c r="BY180" s="40"/>
      <c r="BZ180" s="40"/>
      <c r="CA180" s="40"/>
      <c r="CB180" s="40"/>
      <c r="CC180" s="40"/>
      <c r="CD180" s="40"/>
      <c r="CE180" s="30">
        <f t="shared" si="6"/>
        <v>0</v>
      </c>
      <c r="CF180" s="5"/>
    </row>
    <row r="181" spans="1:84" s="38" customFormat="1" x14ac:dyDescent="0.25">
      <c r="A181" s="61" t="s">
        <v>378</v>
      </c>
      <c r="B181" s="75">
        <f t="shared" si="5"/>
        <v>0</v>
      </c>
      <c r="C181" s="67">
        <v>10</v>
      </c>
      <c r="D181" s="69">
        <v>44532</v>
      </c>
      <c r="E181" s="77">
        <v>28.41</v>
      </c>
      <c r="F181" s="77">
        <f t="shared" si="7"/>
        <v>0</v>
      </c>
      <c r="G181" s="75"/>
      <c r="H181" s="16"/>
      <c r="I181" s="16"/>
      <c r="J181" s="175"/>
      <c r="K181" s="16"/>
      <c r="L181" s="40"/>
      <c r="M181" s="40"/>
      <c r="N181" s="40"/>
      <c r="O181" s="40"/>
      <c r="P181" s="40"/>
      <c r="Q181" s="40"/>
      <c r="R181" s="40"/>
      <c r="S181" s="40"/>
      <c r="T181" s="40"/>
      <c r="U181" s="40"/>
      <c r="V181" s="40"/>
      <c r="W181" s="40"/>
      <c r="X181" s="40"/>
      <c r="Y181" s="40"/>
      <c r="Z181" s="40"/>
      <c r="AA181" s="40"/>
      <c r="AB181" s="40"/>
      <c r="AC181" s="40"/>
      <c r="AD181" s="40"/>
      <c r="AE181" s="40"/>
      <c r="AF181" s="40"/>
      <c r="AG181" s="40"/>
      <c r="AH181" s="40"/>
      <c r="AI181" s="40"/>
      <c r="AJ181" s="40"/>
      <c r="AK181" s="40"/>
      <c r="AL181" s="40"/>
      <c r="AM181" s="40"/>
      <c r="AN181" s="40"/>
      <c r="AO181" s="40"/>
      <c r="AP181" s="40"/>
      <c r="AQ181" s="40"/>
      <c r="AR181" s="40"/>
      <c r="AS181" s="40"/>
      <c r="AT181" s="40"/>
      <c r="AU181" s="40"/>
      <c r="AV181" s="40"/>
      <c r="AW181" s="40"/>
      <c r="AX181" s="40"/>
      <c r="AY181" s="40"/>
      <c r="AZ181" s="40"/>
      <c r="BA181" s="40"/>
      <c r="BB181" s="40"/>
      <c r="BC181" s="40"/>
      <c r="BD181" s="40"/>
      <c r="BE181" s="40"/>
      <c r="BF181" s="40"/>
      <c r="BG181" s="40"/>
      <c r="BH181" s="40"/>
      <c r="BI181" s="40"/>
      <c r="BJ181" s="40"/>
      <c r="BK181" s="40"/>
      <c r="BL181" s="40"/>
      <c r="BM181" s="40"/>
      <c r="BN181" s="40"/>
      <c r="BO181" s="40"/>
      <c r="BP181" s="40"/>
      <c r="BQ181" s="40"/>
      <c r="BR181" s="40"/>
      <c r="BS181" s="40"/>
      <c r="BT181" s="40"/>
      <c r="BU181" s="40"/>
      <c r="BV181" s="40"/>
      <c r="BW181" s="40"/>
      <c r="BX181" s="40"/>
      <c r="BY181" s="40"/>
      <c r="BZ181" s="40"/>
      <c r="CA181" s="40"/>
      <c r="CB181" s="40"/>
      <c r="CC181" s="40"/>
      <c r="CD181" s="40"/>
      <c r="CE181" s="30">
        <f t="shared" si="6"/>
        <v>0</v>
      </c>
      <c r="CF181" s="5"/>
    </row>
    <row r="182" spans="1:84" s="38" customFormat="1" x14ac:dyDescent="0.25">
      <c r="A182" s="61" t="s">
        <v>376</v>
      </c>
      <c r="B182" s="75">
        <f t="shared" si="5"/>
        <v>0</v>
      </c>
      <c r="C182" s="67">
        <v>1.1000000000000001</v>
      </c>
      <c r="D182" s="69">
        <v>44452</v>
      </c>
      <c r="E182" s="77">
        <v>26.16</v>
      </c>
      <c r="F182" s="77">
        <f t="shared" si="7"/>
        <v>0</v>
      </c>
      <c r="G182" s="75"/>
      <c r="H182" s="16"/>
      <c r="I182" s="16"/>
      <c r="J182" s="175"/>
      <c r="K182" s="16"/>
      <c r="L182" s="40"/>
      <c r="M182" s="40"/>
      <c r="N182" s="40"/>
      <c r="O182" s="40"/>
      <c r="P182" s="40"/>
      <c r="Q182" s="40"/>
      <c r="R182" s="40"/>
      <c r="S182" s="40"/>
      <c r="T182" s="40"/>
      <c r="U182" s="40"/>
      <c r="V182" s="40"/>
      <c r="W182" s="40"/>
      <c r="X182" s="40"/>
      <c r="Y182" s="40"/>
      <c r="Z182" s="40"/>
      <c r="AA182" s="40"/>
      <c r="AB182" s="40"/>
      <c r="AC182" s="40"/>
      <c r="AD182" s="40"/>
      <c r="AE182" s="40"/>
      <c r="AF182" s="40"/>
      <c r="AG182" s="40"/>
      <c r="AH182" s="40"/>
      <c r="AI182" s="40"/>
      <c r="AJ182" s="40"/>
      <c r="AK182" s="40"/>
      <c r="AL182" s="40"/>
      <c r="AM182" s="40"/>
      <c r="AN182" s="40"/>
      <c r="AO182" s="40"/>
      <c r="AP182" s="40"/>
      <c r="AQ182" s="40"/>
      <c r="AR182" s="40"/>
      <c r="AS182" s="40"/>
      <c r="AT182" s="40"/>
      <c r="AU182" s="40"/>
      <c r="AV182" s="40"/>
      <c r="AW182" s="40"/>
      <c r="AX182" s="40"/>
      <c r="AY182" s="40"/>
      <c r="AZ182" s="40"/>
      <c r="BA182" s="40"/>
      <c r="BB182" s="40"/>
      <c r="BC182" s="40"/>
      <c r="BD182" s="40"/>
      <c r="BE182" s="40"/>
      <c r="BF182" s="40"/>
      <c r="BG182" s="40"/>
      <c r="BH182" s="40"/>
      <c r="BI182" s="40"/>
      <c r="BJ182" s="40"/>
      <c r="BK182" s="40"/>
      <c r="BL182" s="40"/>
      <c r="BM182" s="40"/>
      <c r="BN182" s="40"/>
      <c r="BO182" s="40"/>
      <c r="BP182" s="40"/>
      <c r="BQ182" s="40"/>
      <c r="BR182" s="40"/>
      <c r="BS182" s="40"/>
      <c r="BT182" s="40"/>
      <c r="BU182" s="40"/>
      <c r="BV182" s="40"/>
      <c r="BW182" s="40"/>
      <c r="BX182" s="40"/>
      <c r="BY182" s="40"/>
      <c r="BZ182" s="40"/>
      <c r="CA182" s="40"/>
      <c r="CB182" s="40"/>
      <c r="CC182" s="40"/>
      <c r="CD182" s="40"/>
      <c r="CE182" s="30">
        <f t="shared" si="6"/>
        <v>0</v>
      </c>
      <c r="CF182" s="5"/>
    </row>
    <row r="183" spans="1:84" s="38" customFormat="1" x14ac:dyDescent="0.25">
      <c r="A183" s="61" t="s">
        <v>194</v>
      </c>
      <c r="B183" s="75">
        <f t="shared" si="5"/>
        <v>0</v>
      </c>
      <c r="C183" s="67">
        <v>10</v>
      </c>
      <c r="D183" s="69">
        <v>44410</v>
      </c>
      <c r="E183" s="77">
        <v>28.63</v>
      </c>
      <c r="F183" s="77">
        <f t="shared" si="7"/>
        <v>0</v>
      </c>
      <c r="G183" s="75"/>
      <c r="H183" s="16"/>
      <c r="I183" s="16"/>
      <c r="J183" s="175"/>
      <c r="K183" s="16"/>
      <c r="L183" s="40"/>
      <c r="M183" s="40"/>
      <c r="N183" s="40"/>
      <c r="O183" s="40"/>
      <c r="P183" s="40"/>
      <c r="Q183" s="40"/>
      <c r="R183" s="40"/>
      <c r="S183" s="40"/>
      <c r="T183" s="40"/>
      <c r="U183" s="40"/>
      <c r="V183" s="40"/>
      <c r="W183" s="40"/>
      <c r="X183" s="40"/>
      <c r="Y183" s="40"/>
      <c r="Z183" s="40"/>
      <c r="AA183" s="40"/>
      <c r="AB183" s="40"/>
      <c r="AC183" s="40"/>
      <c r="AD183" s="40"/>
      <c r="AE183" s="40"/>
      <c r="AF183" s="40"/>
      <c r="AG183" s="40"/>
      <c r="AH183" s="40"/>
      <c r="AI183" s="40"/>
      <c r="AJ183" s="40"/>
      <c r="AK183" s="40"/>
      <c r="AL183" s="40"/>
      <c r="AM183" s="40"/>
      <c r="AN183" s="40"/>
      <c r="AO183" s="40"/>
      <c r="AP183" s="40"/>
      <c r="AQ183" s="40"/>
      <c r="AR183" s="40"/>
      <c r="AS183" s="40"/>
      <c r="AT183" s="40"/>
      <c r="AU183" s="40"/>
      <c r="AV183" s="40"/>
      <c r="AW183" s="40"/>
      <c r="AX183" s="40"/>
      <c r="AY183" s="40"/>
      <c r="AZ183" s="40"/>
      <c r="BA183" s="40"/>
      <c r="BB183" s="40"/>
      <c r="BC183" s="40"/>
      <c r="BD183" s="40"/>
      <c r="BE183" s="40"/>
      <c r="BF183" s="40"/>
      <c r="BG183" s="40"/>
      <c r="BH183" s="40"/>
      <c r="BI183" s="40"/>
      <c r="BJ183" s="40"/>
      <c r="BK183" s="40"/>
      <c r="BL183" s="40"/>
      <c r="BM183" s="40"/>
      <c r="BN183" s="40"/>
      <c r="BO183" s="40"/>
      <c r="BP183" s="40"/>
      <c r="BQ183" s="40"/>
      <c r="BR183" s="40"/>
      <c r="BS183" s="40"/>
      <c r="BT183" s="40"/>
      <c r="BU183" s="40"/>
      <c r="BV183" s="40"/>
      <c r="BW183" s="40"/>
      <c r="BX183" s="40"/>
      <c r="BY183" s="40"/>
      <c r="BZ183" s="40"/>
      <c r="CA183" s="40"/>
      <c r="CB183" s="40"/>
      <c r="CC183" s="40"/>
      <c r="CD183" s="40"/>
      <c r="CE183" s="30">
        <f t="shared" si="6"/>
        <v>0</v>
      </c>
      <c r="CF183" s="5"/>
    </row>
    <row r="184" spans="1:84" s="38" customFormat="1" x14ac:dyDescent="0.25">
      <c r="A184" s="61" t="s">
        <v>194</v>
      </c>
      <c r="B184" s="75">
        <f t="shared" si="5"/>
        <v>30</v>
      </c>
      <c r="C184" s="67">
        <v>10</v>
      </c>
      <c r="D184" s="69">
        <v>44452</v>
      </c>
      <c r="E184" s="77">
        <v>28.77</v>
      </c>
      <c r="F184" s="77">
        <f t="shared" si="7"/>
        <v>863.1</v>
      </c>
      <c r="G184" s="75">
        <v>30</v>
      </c>
      <c r="H184" s="16"/>
      <c r="I184" s="16"/>
      <c r="J184" s="175"/>
      <c r="K184" s="16"/>
      <c r="L184" s="40"/>
      <c r="M184" s="40"/>
      <c r="N184" s="40"/>
      <c r="O184" s="40"/>
      <c r="P184" s="40"/>
      <c r="Q184" s="40"/>
      <c r="R184" s="40"/>
      <c r="S184" s="40"/>
      <c r="T184" s="40"/>
      <c r="U184" s="40"/>
      <c r="V184" s="40"/>
      <c r="W184" s="40"/>
      <c r="X184" s="40"/>
      <c r="Y184" s="40"/>
      <c r="Z184" s="40"/>
      <c r="AA184" s="40"/>
      <c r="AB184" s="40"/>
      <c r="AC184" s="40"/>
      <c r="AD184" s="40"/>
      <c r="AE184" s="40"/>
      <c r="AF184" s="40"/>
      <c r="AG184" s="40"/>
      <c r="AH184" s="40"/>
      <c r="AI184" s="40"/>
      <c r="AJ184" s="40"/>
      <c r="AK184" s="40"/>
      <c r="AL184" s="40">
        <v>30</v>
      </c>
      <c r="AM184" s="40"/>
      <c r="AN184" s="40"/>
      <c r="AO184" s="40"/>
      <c r="AP184" s="40"/>
      <c r="AQ184" s="40"/>
      <c r="AR184" s="40"/>
      <c r="AS184" s="40"/>
      <c r="AT184" s="40"/>
      <c r="AU184" s="40"/>
      <c r="AV184" s="40"/>
      <c r="AW184" s="40"/>
      <c r="AX184" s="40"/>
      <c r="AY184" s="40"/>
      <c r="AZ184" s="40"/>
      <c r="BA184" s="40"/>
      <c r="BB184" s="40"/>
      <c r="BC184" s="40"/>
      <c r="BD184" s="40"/>
      <c r="BE184" s="40"/>
      <c r="BF184" s="40"/>
      <c r="BG184" s="40"/>
      <c r="BH184" s="40"/>
      <c r="BI184" s="40"/>
      <c r="BJ184" s="40"/>
      <c r="BK184" s="40"/>
      <c r="BL184" s="40"/>
      <c r="BM184" s="40"/>
      <c r="BN184" s="40"/>
      <c r="BO184" s="40"/>
      <c r="BP184" s="40"/>
      <c r="BQ184" s="40"/>
      <c r="BR184" s="40"/>
      <c r="BS184" s="40"/>
      <c r="BT184" s="40"/>
      <c r="BU184" s="40"/>
      <c r="BV184" s="40"/>
      <c r="BW184" s="40"/>
      <c r="BX184" s="40"/>
      <c r="BY184" s="40"/>
      <c r="BZ184" s="40"/>
      <c r="CA184" s="40"/>
      <c r="CB184" s="40"/>
      <c r="CC184" s="40"/>
      <c r="CD184" s="40"/>
      <c r="CE184" s="30">
        <f t="shared" si="6"/>
        <v>0</v>
      </c>
      <c r="CF184" s="5"/>
    </row>
    <row r="185" spans="1:84" s="38" customFormat="1" x14ac:dyDescent="0.25">
      <c r="A185" s="61" t="s">
        <v>396</v>
      </c>
      <c r="B185" s="75">
        <f t="shared" si="5"/>
        <v>0</v>
      </c>
      <c r="C185" s="67">
        <v>11</v>
      </c>
      <c r="D185" s="69">
        <v>44452</v>
      </c>
      <c r="E185" s="77">
        <v>22.11</v>
      </c>
      <c r="F185" s="77">
        <f t="shared" si="7"/>
        <v>0</v>
      </c>
      <c r="G185" s="75"/>
      <c r="H185" s="16"/>
      <c r="I185" s="16"/>
      <c r="J185" s="175"/>
      <c r="K185" s="16"/>
      <c r="L185" s="40"/>
      <c r="M185" s="40"/>
      <c r="N185" s="40"/>
      <c r="O185" s="40"/>
      <c r="P185" s="40"/>
      <c r="Q185" s="40"/>
      <c r="R185" s="40"/>
      <c r="S185" s="40"/>
      <c r="T185" s="40"/>
      <c r="U185" s="40"/>
      <c r="V185" s="40"/>
      <c r="W185" s="40"/>
      <c r="X185" s="40"/>
      <c r="Y185" s="40"/>
      <c r="Z185" s="40"/>
      <c r="AA185" s="40"/>
      <c r="AB185" s="40"/>
      <c r="AC185" s="40"/>
      <c r="AD185" s="40"/>
      <c r="AE185" s="40"/>
      <c r="AF185" s="40"/>
      <c r="AG185" s="40"/>
      <c r="AH185" s="40"/>
      <c r="AI185" s="40"/>
      <c r="AJ185" s="40"/>
      <c r="AK185" s="40"/>
      <c r="AL185" s="40"/>
      <c r="AM185" s="40"/>
      <c r="AN185" s="40"/>
      <c r="AO185" s="40"/>
      <c r="AP185" s="40"/>
      <c r="AQ185" s="40"/>
      <c r="AR185" s="40"/>
      <c r="AS185" s="40"/>
      <c r="AT185" s="40"/>
      <c r="AU185" s="40"/>
      <c r="AV185" s="40"/>
      <c r="AW185" s="40"/>
      <c r="AX185" s="40"/>
      <c r="AY185" s="40"/>
      <c r="AZ185" s="40"/>
      <c r="BA185" s="40"/>
      <c r="BB185" s="40"/>
      <c r="BC185" s="40"/>
      <c r="BD185" s="40"/>
      <c r="BE185" s="40"/>
      <c r="BF185" s="40"/>
      <c r="BG185" s="40"/>
      <c r="BH185" s="40"/>
      <c r="BI185" s="40"/>
      <c r="BJ185" s="40"/>
      <c r="BK185" s="40"/>
      <c r="BL185" s="40"/>
      <c r="BM185" s="40"/>
      <c r="BN185" s="40"/>
      <c r="BO185" s="40"/>
      <c r="BP185" s="40"/>
      <c r="BQ185" s="40"/>
      <c r="BR185" s="40"/>
      <c r="BS185" s="40"/>
      <c r="BT185" s="40"/>
      <c r="BU185" s="40"/>
      <c r="BV185" s="40"/>
      <c r="BW185" s="40"/>
      <c r="BX185" s="40"/>
      <c r="BY185" s="40"/>
      <c r="BZ185" s="40"/>
      <c r="CA185" s="40"/>
      <c r="CB185" s="40"/>
      <c r="CC185" s="40"/>
      <c r="CD185" s="40"/>
      <c r="CE185" s="30">
        <f t="shared" si="6"/>
        <v>0</v>
      </c>
      <c r="CF185" s="5"/>
    </row>
    <row r="186" spans="1:84" s="38" customFormat="1" x14ac:dyDescent="0.25">
      <c r="A186" s="24" t="s">
        <v>29</v>
      </c>
      <c r="B186" s="75">
        <f t="shared" si="5"/>
        <v>0</v>
      </c>
      <c r="C186" s="67">
        <v>1</v>
      </c>
      <c r="D186" s="69">
        <v>44333</v>
      </c>
      <c r="E186" s="77">
        <v>24.57</v>
      </c>
      <c r="F186" s="77">
        <f t="shared" si="7"/>
        <v>0</v>
      </c>
      <c r="G186" s="75"/>
      <c r="H186" s="16"/>
      <c r="I186" s="16"/>
      <c r="J186" s="175"/>
      <c r="K186" s="16"/>
      <c r="L186" s="40"/>
      <c r="M186" s="40"/>
      <c r="N186" s="40"/>
      <c r="O186" s="40"/>
      <c r="P186" s="40"/>
      <c r="Q186" s="40"/>
      <c r="R186" s="40"/>
      <c r="S186" s="40"/>
      <c r="T186" s="40"/>
      <c r="U186" s="40"/>
      <c r="V186" s="40"/>
      <c r="W186" s="40"/>
      <c r="X186" s="40"/>
      <c r="Y186" s="40"/>
      <c r="Z186" s="40"/>
      <c r="AA186" s="40"/>
      <c r="AB186" s="40"/>
      <c r="AC186" s="40"/>
      <c r="AD186" s="40"/>
      <c r="AE186" s="40"/>
      <c r="AF186" s="40"/>
      <c r="AG186" s="40"/>
      <c r="AH186" s="40"/>
      <c r="AI186" s="40"/>
      <c r="AJ186" s="40"/>
      <c r="AK186" s="40"/>
      <c r="AL186" s="40"/>
      <c r="AM186" s="40"/>
      <c r="AN186" s="40"/>
      <c r="AO186" s="40"/>
      <c r="AP186" s="40"/>
      <c r="AQ186" s="40"/>
      <c r="AR186" s="40"/>
      <c r="AS186" s="40"/>
      <c r="AT186" s="40"/>
      <c r="AU186" s="40"/>
      <c r="AV186" s="40"/>
      <c r="AW186" s="40"/>
      <c r="AX186" s="40"/>
      <c r="AY186" s="40"/>
      <c r="AZ186" s="40"/>
      <c r="BA186" s="40"/>
      <c r="BB186" s="40"/>
      <c r="BC186" s="40"/>
      <c r="BD186" s="40"/>
      <c r="BE186" s="40"/>
      <c r="BF186" s="40"/>
      <c r="BG186" s="40"/>
      <c r="BH186" s="40"/>
      <c r="BI186" s="40"/>
      <c r="BJ186" s="40"/>
      <c r="BK186" s="40"/>
      <c r="BL186" s="40"/>
      <c r="BM186" s="40"/>
      <c r="BN186" s="40"/>
      <c r="BO186" s="40"/>
      <c r="BP186" s="40"/>
      <c r="BQ186" s="40"/>
      <c r="BR186" s="40"/>
      <c r="BS186" s="40"/>
      <c r="BT186" s="40"/>
      <c r="BU186" s="40"/>
      <c r="BV186" s="40"/>
      <c r="BW186" s="40"/>
      <c r="BX186" s="40"/>
      <c r="BY186" s="40"/>
      <c r="BZ186" s="40"/>
      <c r="CA186" s="40"/>
      <c r="CB186" s="40"/>
      <c r="CC186" s="40"/>
      <c r="CD186" s="40"/>
      <c r="CE186" s="30">
        <f t="shared" si="6"/>
        <v>0</v>
      </c>
      <c r="CF186" s="5"/>
    </row>
    <row r="187" spans="1:84" s="38" customFormat="1" x14ac:dyDescent="0.25">
      <c r="A187" s="45" t="s">
        <v>95</v>
      </c>
      <c r="B187" s="75">
        <f t="shared" si="5"/>
        <v>10</v>
      </c>
      <c r="C187" s="67">
        <v>10</v>
      </c>
      <c r="D187" s="69">
        <v>44585</v>
      </c>
      <c r="E187" s="77">
        <v>27.16</v>
      </c>
      <c r="F187" s="77">
        <f t="shared" si="7"/>
        <v>271.60000000000002</v>
      </c>
      <c r="G187" s="75"/>
      <c r="H187" s="16"/>
      <c r="I187" s="16"/>
      <c r="J187" s="175"/>
      <c r="K187" s="16"/>
      <c r="L187" s="40"/>
      <c r="M187" s="40"/>
      <c r="N187" s="40"/>
      <c r="O187" s="40"/>
      <c r="P187" s="40"/>
      <c r="Q187" s="40"/>
      <c r="R187" s="40"/>
      <c r="S187" s="40"/>
      <c r="T187" s="40"/>
      <c r="U187" s="40"/>
      <c r="V187" s="40"/>
      <c r="W187" s="40"/>
      <c r="X187" s="40"/>
      <c r="Y187" s="40"/>
      <c r="Z187" s="40"/>
      <c r="AA187" s="40"/>
      <c r="AB187" s="40"/>
      <c r="AC187" s="40"/>
      <c r="AD187" s="40"/>
      <c r="AE187" s="40"/>
      <c r="AF187" s="40"/>
      <c r="AG187" s="40"/>
      <c r="AH187" s="40"/>
      <c r="AI187" s="40"/>
      <c r="AJ187" s="40"/>
      <c r="AK187" s="40"/>
      <c r="AL187" s="40"/>
      <c r="AM187" s="40"/>
      <c r="AN187" s="40"/>
      <c r="AO187" s="40"/>
      <c r="AP187" s="40"/>
      <c r="AQ187" s="40"/>
      <c r="AR187" s="40"/>
      <c r="AS187" s="40"/>
      <c r="AT187" s="40"/>
      <c r="AU187" s="40"/>
      <c r="AV187" s="40"/>
      <c r="AW187" s="40"/>
      <c r="AX187" s="40"/>
      <c r="AY187" s="40"/>
      <c r="AZ187" s="40"/>
      <c r="BA187" s="40"/>
      <c r="BB187" s="40"/>
      <c r="BC187" s="40"/>
      <c r="BD187" s="40">
        <v>10</v>
      </c>
      <c r="BE187" s="40"/>
      <c r="BF187" s="40"/>
      <c r="BG187" s="40"/>
      <c r="BH187" s="40"/>
      <c r="BI187" s="40"/>
      <c r="BJ187" s="40"/>
      <c r="BK187" s="40"/>
      <c r="BL187" s="40"/>
      <c r="BM187" s="40"/>
      <c r="BN187" s="40"/>
      <c r="BO187" s="40"/>
      <c r="BP187" s="40"/>
      <c r="BQ187" s="40"/>
      <c r="BR187" s="40"/>
      <c r="BS187" s="40"/>
      <c r="BT187" s="40"/>
      <c r="BU187" s="40"/>
      <c r="BV187" s="40"/>
      <c r="BW187" s="40"/>
      <c r="BX187" s="40"/>
      <c r="BY187" s="40"/>
      <c r="BZ187" s="40"/>
      <c r="CA187" s="40"/>
      <c r="CB187" s="40"/>
      <c r="CC187" s="40"/>
      <c r="CD187" s="40"/>
      <c r="CE187" s="30">
        <f t="shared" si="6"/>
        <v>10</v>
      </c>
      <c r="CF187" s="5"/>
    </row>
    <row r="188" spans="1:84" s="38" customFormat="1" x14ac:dyDescent="0.25">
      <c r="A188" s="61" t="s">
        <v>70</v>
      </c>
      <c r="B188" s="75">
        <f t="shared" si="5"/>
        <v>40</v>
      </c>
      <c r="C188" s="67">
        <v>10</v>
      </c>
      <c r="D188" s="70">
        <v>44585</v>
      </c>
      <c r="E188" s="77">
        <v>18.87</v>
      </c>
      <c r="F188" s="77">
        <f t="shared" si="7"/>
        <v>754.80000000000007</v>
      </c>
      <c r="G188" s="75">
        <v>2</v>
      </c>
      <c r="H188" s="16"/>
      <c r="I188" s="16"/>
      <c r="J188" s="175"/>
      <c r="K188" s="16"/>
      <c r="L188" s="40"/>
      <c r="M188" s="40"/>
      <c r="N188" s="40"/>
      <c r="O188" s="40"/>
      <c r="P188" s="40"/>
      <c r="Q188" s="40"/>
      <c r="R188" s="40"/>
      <c r="S188" s="40"/>
      <c r="T188" s="40"/>
      <c r="U188" s="40"/>
      <c r="V188" s="40"/>
      <c r="W188" s="40"/>
      <c r="X188" s="40"/>
      <c r="Y188" s="40"/>
      <c r="Z188" s="40"/>
      <c r="AA188" s="40"/>
      <c r="AB188" s="40"/>
      <c r="AC188" s="40"/>
      <c r="AD188" s="40"/>
      <c r="AE188" s="40"/>
      <c r="AF188" s="40"/>
      <c r="AG188" s="40"/>
      <c r="AH188" s="40"/>
      <c r="AI188" s="40"/>
      <c r="AJ188" s="40"/>
      <c r="AK188" s="40"/>
      <c r="AL188" s="40"/>
      <c r="AM188" s="40"/>
      <c r="AN188" s="40"/>
      <c r="AO188" s="40">
        <v>2</v>
      </c>
      <c r="AP188" s="40"/>
      <c r="AQ188" s="40"/>
      <c r="AR188" s="40"/>
      <c r="AS188" s="40"/>
      <c r="AT188" s="40"/>
      <c r="AU188" s="40"/>
      <c r="AV188" s="40"/>
      <c r="AW188" s="40"/>
      <c r="AX188" s="40"/>
      <c r="AY188" s="40"/>
      <c r="AZ188" s="40"/>
      <c r="BA188" s="40"/>
      <c r="BB188" s="40"/>
      <c r="BC188" s="40"/>
      <c r="BD188" s="40">
        <v>50</v>
      </c>
      <c r="BE188" s="40"/>
      <c r="BF188" s="40"/>
      <c r="BG188" s="40"/>
      <c r="BH188" s="40"/>
      <c r="BI188" s="40"/>
      <c r="BJ188" s="40"/>
      <c r="BK188" s="40"/>
      <c r="BL188" s="40"/>
      <c r="BM188" s="40"/>
      <c r="BN188" s="40"/>
      <c r="BO188" s="40"/>
      <c r="BP188" s="40"/>
      <c r="BQ188" s="40"/>
      <c r="BR188" s="40"/>
      <c r="BS188" s="40"/>
      <c r="BT188" s="40"/>
      <c r="BU188" s="40">
        <v>10</v>
      </c>
      <c r="BV188" s="40"/>
      <c r="BW188" s="40"/>
      <c r="BX188" s="40"/>
      <c r="BY188" s="40"/>
      <c r="BZ188" s="40"/>
      <c r="CA188" s="40"/>
      <c r="CB188" s="40"/>
      <c r="CC188" s="40"/>
      <c r="CD188" s="40">
        <v>40</v>
      </c>
      <c r="CE188" s="30">
        <f t="shared" si="6"/>
        <v>0</v>
      </c>
      <c r="CF188" s="5"/>
    </row>
    <row r="189" spans="1:84" s="38" customFormat="1" x14ac:dyDescent="0.25">
      <c r="A189" s="61" t="s">
        <v>70</v>
      </c>
      <c r="B189" s="75">
        <f t="shared" si="5"/>
        <v>50</v>
      </c>
      <c r="C189" s="67">
        <v>10</v>
      </c>
      <c r="D189" s="70">
        <v>44564</v>
      </c>
      <c r="E189" s="77">
        <v>19.28</v>
      </c>
      <c r="F189" s="77">
        <f t="shared" si="7"/>
        <v>964</v>
      </c>
      <c r="G189" s="75"/>
      <c r="H189" s="16"/>
      <c r="I189" s="16"/>
      <c r="J189" s="175"/>
      <c r="K189" s="16"/>
      <c r="L189" s="40"/>
      <c r="M189" s="40"/>
      <c r="N189" s="40"/>
      <c r="O189" s="40"/>
      <c r="P189" s="40"/>
      <c r="Q189" s="40"/>
      <c r="R189" s="40"/>
      <c r="S189" s="40"/>
      <c r="T189" s="40"/>
      <c r="U189" s="40"/>
      <c r="V189" s="40"/>
      <c r="W189" s="40"/>
      <c r="X189" s="40"/>
      <c r="Y189" s="40"/>
      <c r="Z189" s="40"/>
      <c r="AA189" s="40"/>
      <c r="AB189" s="40"/>
      <c r="AC189" s="40"/>
      <c r="AD189" s="40"/>
      <c r="AE189" s="40"/>
      <c r="AF189" s="40"/>
      <c r="AG189" s="40"/>
      <c r="AH189" s="40"/>
      <c r="AI189" s="40"/>
      <c r="AJ189" s="40"/>
      <c r="AK189" s="40"/>
      <c r="AL189" s="40"/>
      <c r="AM189" s="40"/>
      <c r="AN189" s="40"/>
      <c r="AO189" s="40"/>
      <c r="AP189" s="40"/>
      <c r="AQ189" s="40"/>
      <c r="AR189" s="40"/>
      <c r="AS189" s="40"/>
      <c r="AT189" s="40"/>
      <c r="AU189" s="40"/>
      <c r="AV189" s="40"/>
      <c r="AW189" s="40">
        <v>50</v>
      </c>
      <c r="AX189" s="40"/>
      <c r="AY189" s="40"/>
      <c r="AZ189" s="40"/>
      <c r="BA189" s="40"/>
      <c r="BB189" s="40"/>
      <c r="BC189" s="40"/>
      <c r="BD189" s="40"/>
      <c r="BE189" s="40"/>
      <c r="BF189" s="40"/>
      <c r="BG189" s="40"/>
      <c r="BH189" s="40"/>
      <c r="BI189" s="40"/>
      <c r="BJ189" s="40"/>
      <c r="BK189" s="40"/>
      <c r="BL189" s="40"/>
      <c r="BM189" s="40"/>
      <c r="BN189" s="40"/>
      <c r="BO189" s="40"/>
      <c r="BP189" s="40"/>
      <c r="BQ189" s="40"/>
      <c r="BR189" s="40"/>
      <c r="BS189" s="40"/>
      <c r="BT189" s="40"/>
      <c r="BU189" s="40"/>
      <c r="BV189" s="40"/>
      <c r="BW189" s="40"/>
      <c r="BX189" s="40"/>
      <c r="BY189" s="40"/>
      <c r="BZ189" s="40"/>
      <c r="CA189" s="40"/>
      <c r="CB189" s="40"/>
      <c r="CC189" s="40"/>
      <c r="CD189" s="40">
        <v>50</v>
      </c>
      <c r="CE189" s="30">
        <f t="shared" si="6"/>
        <v>0</v>
      </c>
      <c r="CF189" s="5"/>
    </row>
    <row r="190" spans="1:84" s="38" customFormat="1" x14ac:dyDescent="0.25">
      <c r="A190" s="61" t="s">
        <v>329</v>
      </c>
      <c r="B190" s="75">
        <f t="shared" si="5"/>
        <v>2</v>
      </c>
      <c r="C190" s="67">
        <v>10</v>
      </c>
      <c r="D190" s="70">
        <v>44354</v>
      </c>
      <c r="E190" s="77">
        <v>19.48</v>
      </c>
      <c r="F190" s="77">
        <f t="shared" si="7"/>
        <v>38.96</v>
      </c>
      <c r="G190" s="75">
        <v>2</v>
      </c>
      <c r="H190" s="16"/>
      <c r="I190" s="16"/>
      <c r="J190" s="175"/>
      <c r="K190" s="16"/>
      <c r="L190" s="40"/>
      <c r="M190" s="40"/>
      <c r="N190" s="40"/>
      <c r="O190" s="40"/>
      <c r="P190" s="40"/>
      <c r="Q190" s="40"/>
      <c r="R190" s="40"/>
      <c r="S190" s="40"/>
      <c r="T190" s="40"/>
      <c r="U190" s="40"/>
      <c r="V190" s="40"/>
      <c r="W190" s="40"/>
      <c r="X190" s="40"/>
      <c r="Y190" s="40"/>
      <c r="Z190" s="40"/>
      <c r="AA190" s="40"/>
      <c r="AB190" s="40"/>
      <c r="AC190" s="40"/>
      <c r="AD190" s="40"/>
      <c r="AE190" s="40"/>
      <c r="AF190" s="40"/>
      <c r="AG190" s="40"/>
      <c r="AH190" s="40"/>
      <c r="AI190" s="40"/>
      <c r="AJ190" s="40"/>
      <c r="AK190" s="40"/>
      <c r="AL190" s="40"/>
      <c r="AM190" s="40"/>
      <c r="AN190" s="40"/>
      <c r="AO190" s="40"/>
      <c r="AP190" s="40"/>
      <c r="AQ190" s="40"/>
      <c r="AR190" s="40"/>
      <c r="AS190" s="40"/>
      <c r="AT190" s="40"/>
      <c r="AU190" s="40"/>
      <c r="AV190" s="40"/>
      <c r="AW190" s="40"/>
      <c r="AX190" s="40"/>
      <c r="AY190" s="40"/>
      <c r="AZ190" s="40"/>
      <c r="BA190" s="40"/>
      <c r="BB190" s="40"/>
      <c r="BC190" s="40"/>
      <c r="BD190" s="40"/>
      <c r="BE190" s="40"/>
      <c r="BF190" s="40"/>
      <c r="BG190" s="40"/>
      <c r="BH190" s="40"/>
      <c r="BI190" s="40"/>
      <c r="BJ190" s="40"/>
      <c r="BK190" s="40"/>
      <c r="BL190" s="40"/>
      <c r="BM190" s="40"/>
      <c r="BN190" s="40"/>
      <c r="BO190" s="40"/>
      <c r="BP190" s="40"/>
      <c r="BQ190" s="40"/>
      <c r="BR190" s="40"/>
      <c r="BS190" s="40"/>
      <c r="BT190" s="40"/>
      <c r="BU190" s="40"/>
      <c r="BV190" s="40"/>
      <c r="BW190" s="40"/>
      <c r="BX190" s="40"/>
      <c r="BY190" s="40"/>
      <c r="BZ190" s="40"/>
      <c r="CA190" s="40"/>
      <c r="CB190" s="40"/>
      <c r="CC190" s="40"/>
      <c r="CD190" s="40">
        <v>2</v>
      </c>
      <c r="CE190" s="30">
        <f t="shared" si="6"/>
        <v>0</v>
      </c>
      <c r="CF190" s="5"/>
    </row>
    <row r="191" spans="1:84" s="38" customFormat="1" x14ac:dyDescent="0.25">
      <c r="A191" s="61" t="s">
        <v>397</v>
      </c>
      <c r="B191" s="75">
        <f t="shared" si="5"/>
        <v>0</v>
      </c>
      <c r="C191" s="67">
        <v>1</v>
      </c>
      <c r="D191" s="70">
        <v>44277</v>
      </c>
      <c r="E191" s="77">
        <v>54</v>
      </c>
      <c r="F191" s="77">
        <f t="shared" si="7"/>
        <v>0</v>
      </c>
      <c r="G191" s="75"/>
      <c r="H191" s="16"/>
      <c r="I191" s="16"/>
      <c r="J191" s="175"/>
      <c r="K191" s="16"/>
      <c r="L191" s="40"/>
      <c r="M191" s="40"/>
      <c r="N191" s="40"/>
      <c r="O191" s="40"/>
      <c r="P191" s="40"/>
      <c r="Q191" s="40"/>
      <c r="R191" s="40"/>
      <c r="S191" s="40"/>
      <c r="T191" s="40"/>
      <c r="U191" s="40"/>
      <c r="V191" s="40"/>
      <c r="W191" s="40"/>
      <c r="X191" s="40"/>
      <c r="Y191" s="40"/>
      <c r="Z191" s="40"/>
      <c r="AA191" s="40"/>
      <c r="AB191" s="40"/>
      <c r="AC191" s="40"/>
      <c r="AD191" s="40"/>
      <c r="AE191" s="40"/>
      <c r="AF191" s="40"/>
      <c r="AG191" s="40"/>
      <c r="AH191" s="40"/>
      <c r="AI191" s="40"/>
      <c r="AJ191" s="40"/>
      <c r="AK191" s="40"/>
      <c r="AL191" s="40"/>
      <c r="AM191" s="40"/>
      <c r="AN191" s="40"/>
      <c r="AO191" s="40"/>
      <c r="AP191" s="40"/>
      <c r="AQ191" s="40"/>
      <c r="AR191" s="40"/>
      <c r="AS191" s="40"/>
      <c r="AT191" s="40"/>
      <c r="AU191" s="40"/>
      <c r="AV191" s="40"/>
      <c r="AW191" s="40"/>
      <c r="AX191" s="40"/>
      <c r="AY191" s="40"/>
      <c r="AZ191" s="40"/>
      <c r="BA191" s="40"/>
      <c r="BB191" s="40"/>
      <c r="BC191" s="40"/>
      <c r="BD191" s="40"/>
      <c r="BE191" s="40"/>
      <c r="BF191" s="40"/>
      <c r="BG191" s="40"/>
      <c r="BH191" s="40"/>
      <c r="BI191" s="40"/>
      <c r="BJ191" s="40"/>
      <c r="BK191" s="40"/>
      <c r="BL191" s="40"/>
      <c r="BM191" s="40"/>
      <c r="BN191" s="40"/>
      <c r="BO191" s="40"/>
      <c r="BP191" s="40"/>
      <c r="BQ191" s="40"/>
      <c r="BR191" s="40"/>
      <c r="BS191" s="40"/>
      <c r="BT191" s="40"/>
      <c r="BU191" s="40"/>
      <c r="BV191" s="40"/>
      <c r="BW191" s="40"/>
      <c r="BX191" s="40"/>
      <c r="BY191" s="40"/>
      <c r="BZ191" s="40"/>
      <c r="CA191" s="40"/>
      <c r="CB191" s="40"/>
      <c r="CC191" s="40"/>
      <c r="CD191" s="40"/>
      <c r="CE191" s="30">
        <f t="shared" si="6"/>
        <v>0</v>
      </c>
      <c r="CF191" s="5"/>
    </row>
    <row r="192" spans="1:84" s="38" customFormat="1" x14ac:dyDescent="0.25">
      <c r="A192" s="61" t="s">
        <v>463</v>
      </c>
      <c r="B192" s="75">
        <f t="shared" si="5"/>
        <v>0.8</v>
      </c>
      <c r="C192" s="67">
        <v>1.1000000000000001</v>
      </c>
      <c r="D192" s="70">
        <v>44494</v>
      </c>
      <c r="E192" s="77">
        <v>59.37</v>
      </c>
      <c r="F192" s="77">
        <f t="shared" si="7"/>
        <v>47.496000000000002</v>
      </c>
      <c r="G192" s="75">
        <v>0.8</v>
      </c>
      <c r="H192" s="16"/>
      <c r="I192" s="16"/>
      <c r="J192" s="175"/>
      <c r="K192" s="16"/>
      <c r="L192" s="40"/>
      <c r="M192" s="40"/>
      <c r="N192" s="40"/>
      <c r="O192" s="40"/>
      <c r="P192" s="40"/>
      <c r="Q192" s="40"/>
      <c r="R192" s="40"/>
      <c r="S192" s="40"/>
      <c r="T192" s="40"/>
      <c r="U192" s="40"/>
      <c r="V192" s="40"/>
      <c r="W192" s="40"/>
      <c r="X192" s="40"/>
      <c r="Y192" s="40"/>
      <c r="Z192" s="40"/>
      <c r="AA192" s="40"/>
      <c r="AB192" s="40"/>
      <c r="AC192" s="40"/>
      <c r="AD192" s="40"/>
      <c r="AE192" s="40"/>
      <c r="AF192" s="40"/>
      <c r="AG192" s="40"/>
      <c r="AH192" s="40"/>
      <c r="AI192" s="40"/>
      <c r="AJ192" s="40"/>
      <c r="AK192" s="40"/>
      <c r="AL192" s="40"/>
      <c r="AM192" s="40"/>
      <c r="AN192" s="40"/>
      <c r="AO192" s="40"/>
      <c r="AP192" s="40"/>
      <c r="AQ192" s="40"/>
      <c r="AR192" s="40"/>
      <c r="AS192" s="40"/>
      <c r="AT192" s="40"/>
      <c r="AU192" s="40"/>
      <c r="AV192" s="40"/>
      <c r="AW192" s="40"/>
      <c r="AX192" s="40"/>
      <c r="AY192" s="40"/>
      <c r="AZ192" s="40"/>
      <c r="BA192" s="40"/>
      <c r="BB192" s="40"/>
      <c r="BC192" s="40"/>
      <c r="BD192" s="40"/>
      <c r="BE192" s="40"/>
      <c r="BF192" s="40"/>
      <c r="BG192" s="40"/>
      <c r="BH192" s="40"/>
      <c r="BI192" s="40"/>
      <c r="BJ192" s="40"/>
      <c r="BK192" s="40"/>
      <c r="BL192" s="40"/>
      <c r="BM192" s="40"/>
      <c r="BN192" s="40"/>
      <c r="BO192" s="40"/>
      <c r="BP192" s="40"/>
      <c r="BQ192" s="40"/>
      <c r="BR192" s="40"/>
      <c r="BS192" s="40"/>
      <c r="BT192" s="40"/>
      <c r="BU192" s="40"/>
      <c r="BV192" s="40"/>
      <c r="BW192" s="40"/>
      <c r="BX192" s="40"/>
      <c r="BY192" s="40"/>
      <c r="BZ192" s="40"/>
      <c r="CA192" s="40"/>
      <c r="CB192" s="40"/>
      <c r="CC192" s="40"/>
      <c r="CD192" s="40">
        <v>0.8</v>
      </c>
      <c r="CE192" s="30">
        <f t="shared" si="6"/>
        <v>0</v>
      </c>
      <c r="CF192" s="5"/>
    </row>
    <row r="193" spans="1:84" s="38" customFormat="1" x14ac:dyDescent="0.25">
      <c r="A193" s="24" t="s">
        <v>28</v>
      </c>
      <c r="B193" s="75">
        <f t="shared" si="5"/>
        <v>0</v>
      </c>
      <c r="C193" s="67">
        <v>0.9</v>
      </c>
      <c r="D193" s="70">
        <v>44557</v>
      </c>
      <c r="E193" s="77">
        <v>58.92</v>
      </c>
      <c r="F193" s="77">
        <f t="shared" si="7"/>
        <v>0</v>
      </c>
      <c r="G193" s="75"/>
      <c r="H193" s="16"/>
      <c r="I193" s="16"/>
      <c r="J193" s="175"/>
      <c r="K193" s="16"/>
      <c r="L193" s="40"/>
      <c r="M193" s="40"/>
      <c r="N193" s="40"/>
      <c r="O193" s="40"/>
      <c r="P193" s="40"/>
      <c r="Q193" s="40"/>
      <c r="R193" s="40"/>
      <c r="S193" s="40"/>
      <c r="T193" s="40"/>
      <c r="U193" s="40"/>
      <c r="V193" s="40"/>
      <c r="W193" s="40"/>
      <c r="X193" s="40"/>
      <c r="Y193" s="40"/>
      <c r="Z193" s="40"/>
      <c r="AA193" s="40"/>
      <c r="AB193" s="40"/>
      <c r="AC193" s="40"/>
      <c r="AD193" s="40"/>
      <c r="AE193" s="40"/>
      <c r="AF193" s="40"/>
      <c r="AG193" s="40"/>
      <c r="AH193" s="40"/>
      <c r="AI193" s="40"/>
      <c r="AJ193" s="40"/>
      <c r="AK193" s="40"/>
      <c r="AL193" s="40"/>
      <c r="AM193" s="40"/>
      <c r="AN193" s="40"/>
      <c r="AO193" s="40"/>
      <c r="AP193" s="40"/>
      <c r="AQ193" s="40"/>
      <c r="AR193" s="40"/>
      <c r="AS193" s="40"/>
      <c r="AT193" s="40"/>
      <c r="AU193" s="40"/>
      <c r="AV193" s="40"/>
      <c r="AW193" s="40"/>
      <c r="AX193" s="40"/>
      <c r="AY193" s="40"/>
      <c r="AZ193" s="40"/>
      <c r="BA193" s="40"/>
      <c r="BB193" s="40"/>
      <c r="BC193" s="40"/>
      <c r="BD193" s="40"/>
      <c r="BE193" s="40"/>
      <c r="BF193" s="40"/>
      <c r="BG193" s="40"/>
      <c r="BH193" s="40"/>
      <c r="BI193" s="40"/>
      <c r="BJ193" s="40"/>
      <c r="BK193" s="40"/>
      <c r="BL193" s="40"/>
      <c r="BM193" s="40"/>
      <c r="BN193" s="40"/>
      <c r="BO193" s="40"/>
      <c r="BP193" s="40"/>
      <c r="BQ193" s="40"/>
      <c r="BR193" s="40"/>
      <c r="BS193" s="40"/>
      <c r="BT193" s="40"/>
      <c r="BU193" s="40"/>
      <c r="BV193" s="40"/>
      <c r="BW193" s="40"/>
      <c r="BX193" s="40"/>
      <c r="BY193" s="40"/>
      <c r="BZ193" s="40"/>
      <c r="CA193" s="40"/>
      <c r="CB193" s="40"/>
      <c r="CC193" s="40"/>
      <c r="CD193" s="40"/>
      <c r="CE193" s="30">
        <f t="shared" si="6"/>
        <v>0</v>
      </c>
      <c r="CF193" s="5"/>
    </row>
    <row r="194" spans="1:84" s="38" customFormat="1" x14ac:dyDescent="0.25">
      <c r="A194" s="24" t="s">
        <v>28</v>
      </c>
      <c r="B194" s="75">
        <f t="shared" si="5"/>
        <v>9</v>
      </c>
      <c r="C194" s="67">
        <v>9</v>
      </c>
      <c r="D194" s="70">
        <v>44557</v>
      </c>
      <c r="E194" s="77">
        <v>55.72</v>
      </c>
      <c r="F194" s="77">
        <f t="shared" si="7"/>
        <v>501.48</v>
      </c>
      <c r="G194" s="75">
        <v>9</v>
      </c>
      <c r="H194" s="16"/>
      <c r="I194" s="16"/>
      <c r="J194" s="175"/>
      <c r="K194" s="16"/>
      <c r="L194" s="40"/>
      <c r="M194" s="40"/>
      <c r="N194" s="40"/>
      <c r="O194" s="40"/>
      <c r="P194" s="40"/>
      <c r="Q194" s="40"/>
      <c r="R194" s="40"/>
      <c r="S194" s="40"/>
      <c r="T194" s="40"/>
      <c r="U194" s="40"/>
      <c r="V194" s="40"/>
      <c r="W194" s="40"/>
      <c r="X194" s="40"/>
      <c r="Y194" s="40"/>
      <c r="Z194" s="40"/>
      <c r="AA194" s="40">
        <v>9</v>
      </c>
      <c r="AB194" s="40"/>
      <c r="AC194" s="40"/>
      <c r="AD194" s="40"/>
      <c r="AE194" s="40"/>
      <c r="AF194" s="40"/>
      <c r="AG194" s="40"/>
      <c r="AH194" s="40"/>
      <c r="AI194" s="40"/>
      <c r="AJ194" s="40"/>
      <c r="AK194" s="40"/>
      <c r="AL194" s="40"/>
      <c r="AM194" s="40"/>
      <c r="AN194" s="40"/>
      <c r="AO194" s="40"/>
      <c r="AP194" s="40"/>
      <c r="AQ194" s="40"/>
      <c r="AR194" s="40"/>
      <c r="AS194" s="40"/>
      <c r="AT194" s="40"/>
      <c r="AU194" s="40"/>
      <c r="AV194" s="40"/>
      <c r="AW194" s="40"/>
      <c r="AX194" s="40"/>
      <c r="AY194" s="40"/>
      <c r="AZ194" s="40"/>
      <c r="BA194" s="40"/>
      <c r="BB194" s="40"/>
      <c r="BC194" s="40"/>
      <c r="BD194" s="40"/>
      <c r="BE194" s="40"/>
      <c r="BF194" s="40"/>
      <c r="BG194" s="40"/>
      <c r="BH194" s="40"/>
      <c r="BI194" s="40"/>
      <c r="BJ194" s="40"/>
      <c r="BK194" s="40"/>
      <c r="BL194" s="40"/>
      <c r="BM194" s="40"/>
      <c r="BN194" s="40"/>
      <c r="BO194" s="40"/>
      <c r="BP194" s="40"/>
      <c r="BQ194" s="40"/>
      <c r="BR194" s="40"/>
      <c r="BS194" s="40"/>
      <c r="BT194" s="40"/>
      <c r="BU194" s="40"/>
      <c r="BV194" s="40"/>
      <c r="BW194" s="40"/>
      <c r="BX194" s="40"/>
      <c r="BY194" s="40"/>
      <c r="BZ194" s="40"/>
      <c r="CA194" s="40"/>
      <c r="CB194" s="40"/>
      <c r="CC194" s="40"/>
      <c r="CD194" s="40"/>
      <c r="CE194" s="30">
        <f t="shared" si="6"/>
        <v>0</v>
      </c>
      <c r="CF194" s="5"/>
    </row>
    <row r="195" spans="1:84" s="38" customFormat="1" x14ac:dyDescent="0.25">
      <c r="A195" s="61" t="s">
        <v>156</v>
      </c>
      <c r="B195" s="75">
        <f t="shared" si="5"/>
        <v>0</v>
      </c>
      <c r="C195" s="67">
        <v>0.9</v>
      </c>
      <c r="D195" s="70">
        <v>44466</v>
      </c>
      <c r="E195" s="77">
        <v>53.8</v>
      </c>
      <c r="F195" s="77">
        <f t="shared" si="7"/>
        <v>0</v>
      </c>
      <c r="G195" s="75"/>
      <c r="H195" s="16"/>
      <c r="I195" s="16"/>
      <c r="J195" s="175"/>
      <c r="K195" s="16"/>
      <c r="L195" s="40"/>
      <c r="M195" s="40"/>
      <c r="N195" s="40"/>
      <c r="O195" s="40"/>
      <c r="P195" s="40"/>
      <c r="Q195" s="40"/>
      <c r="R195" s="40"/>
      <c r="S195" s="40"/>
      <c r="T195" s="40"/>
      <c r="U195" s="40"/>
      <c r="V195" s="40"/>
      <c r="W195" s="40"/>
      <c r="X195" s="40"/>
      <c r="Y195" s="40"/>
      <c r="Z195" s="40"/>
      <c r="AA195" s="40"/>
      <c r="AB195" s="40"/>
      <c r="AC195" s="40"/>
      <c r="AD195" s="40"/>
      <c r="AE195" s="40"/>
      <c r="AF195" s="40"/>
      <c r="AG195" s="40"/>
      <c r="AH195" s="40"/>
      <c r="AI195" s="40"/>
      <c r="AJ195" s="40"/>
      <c r="AK195" s="40"/>
      <c r="AL195" s="40"/>
      <c r="AM195" s="40"/>
      <c r="AN195" s="40"/>
      <c r="AO195" s="40"/>
      <c r="AP195" s="40"/>
      <c r="AQ195" s="40"/>
      <c r="AR195" s="40"/>
      <c r="AS195" s="40"/>
      <c r="AT195" s="40"/>
      <c r="AU195" s="40"/>
      <c r="AV195" s="40"/>
      <c r="AW195" s="40"/>
      <c r="AX195" s="40"/>
      <c r="AY195" s="40"/>
      <c r="AZ195" s="40"/>
      <c r="BA195" s="40"/>
      <c r="BB195" s="40"/>
      <c r="BC195" s="40"/>
      <c r="BD195" s="40"/>
      <c r="BE195" s="40"/>
      <c r="BF195" s="40"/>
      <c r="BG195" s="40"/>
      <c r="BH195" s="40"/>
      <c r="BI195" s="40"/>
      <c r="BJ195" s="40"/>
      <c r="BK195" s="40"/>
      <c r="BL195" s="40"/>
      <c r="BM195" s="40"/>
      <c r="BN195" s="40"/>
      <c r="BO195" s="40"/>
      <c r="BP195" s="40"/>
      <c r="BQ195" s="40"/>
      <c r="BR195" s="40"/>
      <c r="BS195" s="40"/>
      <c r="BT195" s="40"/>
      <c r="BU195" s="40"/>
      <c r="BV195" s="40"/>
      <c r="BW195" s="40"/>
      <c r="BX195" s="40"/>
      <c r="BY195" s="40"/>
      <c r="BZ195" s="40"/>
      <c r="CA195" s="40"/>
      <c r="CB195" s="40"/>
      <c r="CC195" s="40"/>
      <c r="CD195" s="40"/>
      <c r="CE195" s="30">
        <f t="shared" si="6"/>
        <v>0</v>
      </c>
      <c r="CF195" s="5"/>
    </row>
    <row r="196" spans="1:84" s="38" customFormat="1" x14ac:dyDescent="0.25">
      <c r="A196" s="61" t="s">
        <v>134</v>
      </c>
      <c r="B196" s="75">
        <f t="shared" si="5"/>
        <v>0</v>
      </c>
      <c r="C196" s="67">
        <v>0.9</v>
      </c>
      <c r="D196" s="69">
        <v>44445</v>
      </c>
      <c r="E196" s="77">
        <v>146.22</v>
      </c>
      <c r="F196" s="77">
        <f t="shared" si="7"/>
        <v>0</v>
      </c>
      <c r="G196" s="75"/>
      <c r="H196" s="16"/>
      <c r="I196" s="16"/>
      <c r="J196" s="175"/>
      <c r="K196" s="16"/>
      <c r="L196" s="40"/>
      <c r="M196" s="40"/>
      <c r="N196" s="40"/>
      <c r="O196" s="40"/>
      <c r="P196" s="40"/>
      <c r="Q196" s="40"/>
      <c r="R196" s="40"/>
      <c r="S196" s="40"/>
      <c r="T196" s="40"/>
      <c r="U196" s="40"/>
      <c r="V196" s="40"/>
      <c r="W196" s="40"/>
      <c r="X196" s="40"/>
      <c r="Y196" s="40"/>
      <c r="Z196" s="40"/>
      <c r="AA196" s="40"/>
      <c r="AB196" s="40"/>
      <c r="AC196" s="40"/>
      <c r="AD196" s="40"/>
      <c r="AE196" s="40"/>
      <c r="AF196" s="40"/>
      <c r="AG196" s="40"/>
      <c r="AH196" s="40"/>
      <c r="AI196" s="40"/>
      <c r="AJ196" s="40"/>
      <c r="AK196" s="40"/>
      <c r="AL196" s="40"/>
      <c r="AM196" s="40"/>
      <c r="AN196" s="40"/>
      <c r="AO196" s="40"/>
      <c r="AP196" s="40"/>
      <c r="AQ196" s="40"/>
      <c r="AR196" s="40"/>
      <c r="AS196" s="40"/>
      <c r="AT196" s="40"/>
      <c r="AU196" s="40"/>
      <c r="AV196" s="40"/>
      <c r="AW196" s="40"/>
      <c r="AX196" s="40"/>
      <c r="AY196" s="40"/>
      <c r="AZ196" s="40"/>
      <c r="BA196" s="40"/>
      <c r="BB196" s="40"/>
      <c r="BC196" s="40"/>
      <c r="BD196" s="40"/>
      <c r="BE196" s="40"/>
      <c r="BF196" s="40"/>
      <c r="BG196" s="40"/>
      <c r="BH196" s="40"/>
      <c r="BI196" s="40"/>
      <c r="BJ196" s="40"/>
      <c r="BK196" s="40"/>
      <c r="BL196" s="40"/>
      <c r="BM196" s="40"/>
      <c r="BN196" s="40"/>
      <c r="BO196" s="40"/>
      <c r="BP196" s="40"/>
      <c r="BQ196" s="40"/>
      <c r="BR196" s="40"/>
      <c r="BS196" s="40"/>
      <c r="BT196" s="40"/>
      <c r="BU196" s="40"/>
      <c r="BV196" s="40"/>
      <c r="BW196" s="40"/>
      <c r="BX196" s="40"/>
      <c r="BY196" s="40"/>
      <c r="BZ196" s="40"/>
      <c r="CA196" s="40"/>
      <c r="CB196" s="40"/>
      <c r="CC196" s="40"/>
      <c r="CD196" s="40"/>
      <c r="CE196" s="30">
        <f t="shared" si="6"/>
        <v>0</v>
      </c>
      <c r="CF196" s="5"/>
    </row>
    <row r="197" spans="1:84" s="38" customFormat="1" x14ac:dyDescent="0.25">
      <c r="A197" s="45" t="s">
        <v>185</v>
      </c>
      <c r="B197" s="75">
        <f t="shared" si="5"/>
        <v>0</v>
      </c>
      <c r="C197" s="67">
        <v>0.9</v>
      </c>
      <c r="D197" s="69">
        <v>44410</v>
      </c>
      <c r="E197" s="77">
        <v>123.06</v>
      </c>
      <c r="F197" s="77">
        <f t="shared" si="7"/>
        <v>0</v>
      </c>
      <c r="G197" s="75"/>
      <c r="H197" s="16"/>
      <c r="I197" s="16"/>
      <c r="J197" s="175"/>
      <c r="K197" s="16"/>
      <c r="L197" s="40"/>
      <c r="M197" s="40"/>
      <c r="N197" s="40"/>
      <c r="O197" s="40"/>
      <c r="P197" s="40"/>
      <c r="Q197" s="40"/>
      <c r="R197" s="40"/>
      <c r="S197" s="40"/>
      <c r="T197" s="40"/>
      <c r="U197" s="40"/>
      <c r="V197" s="40"/>
      <c r="W197" s="40"/>
      <c r="X197" s="40"/>
      <c r="Y197" s="40"/>
      <c r="Z197" s="40"/>
      <c r="AA197" s="40"/>
      <c r="AB197" s="40"/>
      <c r="AC197" s="40"/>
      <c r="AD197" s="40"/>
      <c r="AE197" s="40"/>
      <c r="AF197" s="40"/>
      <c r="AG197" s="40"/>
      <c r="AH197" s="40"/>
      <c r="AI197" s="40"/>
      <c r="AJ197" s="40"/>
      <c r="AK197" s="40"/>
      <c r="AL197" s="40"/>
      <c r="AM197" s="40"/>
      <c r="AN197" s="40"/>
      <c r="AO197" s="40"/>
      <c r="AP197" s="40"/>
      <c r="AQ197" s="40"/>
      <c r="AR197" s="40"/>
      <c r="AS197" s="40"/>
      <c r="AT197" s="40"/>
      <c r="AU197" s="40"/>
      <c r="AV197" s="40"/>
      <c r="AW197" s="40"/>
      <c r="AX197" s="40"/>
      <c r="AY197" s="40"/>
      <c r="AZ197" s="40"/>
      <c r="BA197" s="40"/>
      <c r="BB197" s="40"/>
      <c r="BC197" s="40"/>
      <c r="BD197" s="40"/>
      <c r="BE197" s="40"/>
      <c r="BF197" s="40"/>
      <c r="BG197" s="40"/>
      <c r="BH197" s="40"/>
      <c r="BI197" s="40"/>
      <c r="BJ197" s="40"/>
      <c r="BK197" s="40"/>
      <c r="BL197" s="40"/>
      <c r="BM197" s="40"/>
      <c r="BN197" s="40"/>
      <c r="BO197" s="40"/>
      <c r="BP197" s="40"/>
      <c r="BQ197" s="40"/>
      <c r="BR197" s="40"/>
      <c r="BS197" s="40"/>
      <c r="BT197" s="40"/>
      <c r="BU197" s="40"/>
      <c r="BV197" s="40"/>
      <c r="BW197" s="40"/>
      <c r="BX197" s="40"/>
      <c r="BY197" s="40"/>
      <c r="BZ197" s="40"/>
      <c r="CA197" s="40"/>
      <c r="CB197" s="40"/>
      <c r="CC197" s="40"/>
      <c r="CD197" s="40"/>
      <c r="CE197" s="30">
        <f t="shared" si="6"/>
        <v>0</v>
      </c>
      <c r="CF197" s="5"/>
    </row>
    <row r="198" spans="1:84" s="38" customFormat="1" x14ac:dyDescent="0.25">
      <c r="A198" s="45" t="s">
        <v>342</v>
      </c>
      <c r="B198" s="75">
        <f t="shared" si="5"/>
        <v>0</v>
      </c>
      <c r="C198" s="67">
        <v>1.1000000000000001</v>
      </c>
      <c r="D198" s="69">
        <v>44445</v>
      </c>
      <c r="E198" s="77">
        <v>55.38</v>
      </c>
      <c r="F198" s="77">
        <f t="shared" si="7"/>
        <v>0</v>
      </c>
      <c r="G198" s="75"/>
      <c r="H198" s="16"/>
      <c r="I198" s="16"/>
      <c r="J198" s="175"/>
      <c r="K198" s="16"/>
      <c r="L198" s="40"/>
      <c r="M198" s="40"/>
      <c r="N198" s="40"/>
      <c r="O198" s="40"/>
      <c r="P198" s="40"/>
      <c r="Q198" s="40"/>
      <c r="R198" s="40"/>
      <c r="S198" s="40"/>
      <c r="T198" s="40"/>
      <c r="U198" s="40"/>
      <c r="V198" s="40"/>
      <c r="W198" s="40"/>
      <c r="X198" s="40"/>
      <c r="Y198" s="40"/>
      <c r="Z198" s="40"/>
      <c r="AA198" s="40"/>
      <c r="AB198" s="40"/>
      <c r="AC198" s="40"/>
      <c r="AD198" s="40"/>
      <c r="AE198" s="40"/>
      <c r="AF198" s="40"/>
      <c r="AG198" s="40"/>
      <c r="AH198" s="40"/>
      <c r="AI198" s="40"/>
      <c r="AJ198" s="40"/>
      <c r="AK198" s="40"/>
      <c r="AL198" s="40"/>
      <c r="AM198" s="40"/>
      <c r="AN198" s="40"/>
      <c r="AO198" s="40"/>
      <c r="AP198" s="40"/>
      <c r="AQ198" s="40"/>
      <c r="AR198" s="40"/>
      <c r="AS198" s="40"/>
      <c r="AT198" s="40"/>
      <c r="AU198" s="40"/>
      <c r="AV198" s="40"/>
      <c r="AW198" s="40"/>
      <c r="AX198" s="40"/>
      <c r="AY198" s="40"/>
      <c r="AZ198" s="40"/>
      <c r="BA198" s="40"/>
      <c r="BB198" s="40"/>
      <c r="BC198" s="40"/>
      <c r="BD198" s="40"/>
      <c r="BE198" s="40"/>
      <c r="BF198" s="40"/>
      <c r="BG198" s="40"/>
      <c r="BH198" s="40"/>
      <c r="BI198" s="40"/>
      <c r="BJ198" s="40"/>
      <c r="BK198" s="40"/>
      <c r="BL198" s="40"/>
      <c r="BM198" s="40"/>
      <c r="BN198" s="40"/>
      <c r="BO198" s="40"/>
      <c r="BP198" s="40"/>
      <c r="BQ198" s="40"/>
      <c r="BR198" s="40"/>
      <c r="BS198" s="40"/>
      <c r="BT198" s="40"/>
      <c r="BU198" s="40"/>
      <c r="BV198" s="40"/>
      <c r="BW198" s="40"/>
      <c r="BX198" s="40"/>
      <c r="BY198" s="40"/>
      <c r="BZ198" s="40"/>
      <c r="CA198" s="40"/>
      <c r="CB198" s="40"/>
      <c r="CC198" s="40"/>
      <c r="CD198" s="40"/>
      <c r="CE198" s="30">
        <f t="shared" si="6"/>
        <v>0</v>
      </c>
      <c r="CF198" s="5"/>
    </row>
    <row r="199" spans="1:84" s="38" customFormat="1" x14ac:dyDescent="0.25">
      <c r="A199" s="45" t="s">
        <v>379</v>
      </c>
      <c r="B199" s="75">
        <f t="shared" si="5"/>
        <v>0</v>
      </c>
      <c r="C199" s="67">
        <v>1</v>
      </c>
      <c r="D199" s="69">
        <v>44270</v>
      </c>
      <c r="E199" s="77">
        <v>29.54</v>
      </c>
      <c r="F199" s="77">
        <f t="shared" si="7"/>
        <v>0</v>
      </c>
      <c r="G199" s="75"/>
      <c r="H199" s="16"/>
      <c r="I199" s="16"/>
      <c r="J199" s="175"/>
      <c r="K199" s="16"/>
      <c r="L199" s="40"/>
      <c r="M199" s="40"/>
      <c r="N199" s="40"/>
      <c r="O199" s="40"/>
      <c r="P199" s="40"/>
      <c r="Q199" s="40"/>
      <c r="R199" s="40"/>
      <c r="S199" s="40"/>
      <c r="T199" s="40"/>
      <c r="U199" s="40"/>
      <c r="V199" s="40"/>
      <c r="W199" s="40"/>
      <c r="X199" s="40"/>
      <c r="Y199" s="40"/>
      <c r="Z199" s="40"/>
      <c r="AA199" s="40"/>
      <c r="AB199" s="40"/>
      <c r="AC199" s="40"/>
      <c r="AD199" s="40"/>
      <c r="AE199" s="40"/>
      <c r="AF199" s="40"/>
      <c r="AG199" s="40"/>
      <c r="AH199" s="40"/>
      <c r="AI199" s="40"/>
      <c r="AJ199" s="40"/>
      <c r="AK199" s="40"/>
      <c r="AL199" s="40"/>
      <c r="AM199" s="40"/>
      <c r="AN199" s="40"/>
      <c r="AO199" s="40"/>
      <c r="AP199" s="40"/>
      <c r="AQ199" s="40"/>
      <c r="AR199" s="40"/>
      <c r="AS199" s="40"/>
      <c r="AT199" s="40"/>
      <c r="AU199" s="40"/>
      <c r="AV199" s="40"/>
      <c r="AW199" s="40"/>
      <c r="AX199" s="40"/>
      <c r="AY199" s="40"/>
      <c r="AZ199" s="40"/>
      <c r="BA199" s="40"/>
      <c r="BB199" s="40"/>
      <c r="BC199" s="40"/>
      <c r="BD199" s="40"/>
      <c r="BE199" s="40"/>
      <c r="BF199" s="40"/>
      <c r="BG199" s="40"/>
      <c r="BH199" s="40"/>
      <c r="BI199" s="40"/>
      <c r="BJ199" s="40"/>
      <c r="BK199" s="40"/>
      <c r="BL199" s="40"/>
      <c r="BM199" s="40"/>
      <c r="BN199" s="40"/>
      <c r="BO199" s="40"/>
      <c r="BP199" s="40"/>
      <c r="BQ199" s="40"/>
      <c r="BR199" s="40"/>
      <c r="BS199" s="40"/>
      <c r="BT199" s="40"/>
      <c r="BU199" s="40"/>
      <c r="BV199" s="40"/>
      <c r="BW199" s="40"/>
      <c r="BX199" s="40"/>
      <c r="BY199" s="40"/>
      <c r="BZ199" s="40"/>
      <c r="CA199" s="40"/>
      <c r="CB199" s="40"/>
      <c r="CC199" s="40"/>
      <c r="CD199" s="40"/>
      <c r="CE199" s="30">
        <f t="shared" si="6"/>
        <v>0</v>
      </c>
      <c r="CF199" s="5"/>
    </row>
    <row r="200" spans="1:84" s="38" customFormat="1" x14ac:dyDescent="0.25">
      <c r="A200" s="45" t="s">
        <v>379</v>
      </c>
      <c r="B200" s="75">
        <f t="shared" ref="B200:B264" si="8">SUMIF(G$3:CD$3,"прих",G200:CD200)-SUMIF(G$3:CD$3,"отгр",G200:CD200)</f>
        <v>10</v>
      </c>
      <c r="C200" s="67">
        <v>10</v>
      </c>
      <c r="D200" s="69">
        <v>44585</v>
      </c>
      <c r="E200" s="77">
        <v>19.36</v>
      </c>
      <c r="F200" s="77">
        <f t="shared" si="7"/>
        <v>193.6</v>
      </c>
      <c r="G200" s="75"/>
      <c r="H200" s="16"/>
      <c r="I200" s="16"/>
      <c r="J200" s="175"/>
      <c r="K200" s="16"/>
      <c r="L200" s="40"/>
      <c r="M200" s="40"/>
      <c r="N200" s="40"/>
      <c r="O200" s="40"/>
      <c r="P200" s="40"/>
      <c r="Q200" s="40"/>
      <c r="R200" s="40"/>
      <c r="S200" s="40"/>
      <c r="T200" s="40"/>
      <c r="U200" s="40"/>
      <c r="V200" s="40"/>
      <c r="W200" s="40"/>
      <c r="X200" s="40"/>
      <c r="Y200" s="40"/>
      <c r="Z200" s="40"/>
      <c r="AA200" s="40"/>
      <c r="AB200" s="40">
        <v>10</v>
      </c>
      <c r="AC200" s="40"/>
      <c r="AD200" s="40"/>
      <c r="AE200" s="40"/>
      <c r="AF200" s="40"/>
      <c r="AG200" s="40"/>
      <c r="AH200" s="40"/>
      <c r="AI200" s="40"/>
      <c r="AJ200" s="40"/>
      <c r="AK200" s="40"/>
      <c r="AL200" s="40"/>
      <c r="AM200" s="40"/>
      <c r="AN200" s="40"/>
      <c r="AO200" s="40"/>
      <c r="AP200" s="40"/>
      <c r="AQ200" s="40"/>
      <c r="AR200" s="40"/>
      <c r="AS200" s="40"/>
      <c r="AT200" s="40"/>
      <c r="AU200" s="40"/>
      <c r="AV200" s="40"/>
      <c r="AW200" s="40"/>
      <c r="AX200" s="40"/>
      <c r="AY200" s="40"/>
      <c r="AZ200" s="40"/>
      <c r="BA200" s="40"/>
      <c r="BB200" s="40"/>
      <c r="BC200" s="40"/>
      <c r="BD200" s="40">
        <v>10</v>
      </c>
      <c r="BE200" s="40"/>
      <c r="BF200" s="40"/>
      <c r="BG200" s="40"/>
      <c r="BH200" s="40"/>
      <c r="BI200" s="40"/>
      <c r="BJ200" s="40"/>
      <c r="BK200" s="40"/>
      <c r="BL200" s="40"/>
      <c r="BM200" s="40"/>
      <c r="BN200" s="40"/>
      <c r="BO200" s="40"/>
      <c r="BP200" s="40"/>
      <c r="BQ200" s="40"/>
      <c r="BR200" s="40"/>
      <c r="BS200" s="40"/>
      <c r="BT200" s="40"/>
      <c r="BU200" s="40"/>
      <c r="BV200" s="40"/>
      <c r="BW200" s="40"/>
      <c r="BX200" s="40"/>
      <c r="BY200" s="40"/>
      <c r="BZ200" s="40"/>
      <c r="CA200" s="40"/>
      <c r="CB200" s="40"/>
      <c r="CC200" s="40"/>
      <c r="CD200" s="40"/>
      <c r="CE200" s="30">
        <f t="shared" ref="CE200:CE264" si="9">$B200-SUMIF($G$3:$GS$3,"",$G200:$GS200)</f>
        <v>0</v>
      </c>
      <c r="CF200" s="5"/>
    </row>
    <row r="201" spans="1:84" s="38" customFormat="1" x14ac:dyDescent="0.25">
      <c r="A201" s="45" t="s">
        <v>17</v>
      </c>
      <c r="B201" s="75">
        <f t="shared" si="8"/>
        <v>150</v>
      </c>
      <c r="C201" s="67">
        <v>10</v>
      </c>
      <c r="D201" s="70">
        <v>44593</v>
      </c>
      <c r="E201" s="77">
        <v>19.14</v>
      </c>
      <c r="F201" s="77">
        <f t="shared" si="7"/>
        <v>2871</v>
      </c>
      <c r="G201" s="75">
        <v>5</v>
      </c>
      <c r="H201" s="16"/>
      <c r="I201" s="16"/>
      <c r="J201" s="175"/>
      <c r="K201" s="16"/>
      <c r="L201" s="40"/>
      <c r="M201" s="40"/>
      <c r="N201" s="40"/>
      <c r="O201" s="40"/>
      <c r="P201" s="40"/>
      <c r="Q201" s="40"/>
      <c r="R201" s="40"/>
      <c r="S201" s="40"/>
      <c r="T201" s="40"/>
      <c r="U201" s="40"/>
      <c r="V201" s="40"/>
      <c r="W201" s="40"/>
      <c r="X201" s="40"/>
      <c r="Y201" s="40"/>
      <c r="Z201" s="40"/>
      <c r="AA201" s="40"/>
      <c r="AB201" s="40"/>
      <c r="AC201" s="40"/>
      <c r="AD201" s="40"/>
      <c r="AE201" s="40"/>
      <c r="AF201" s="40"/>
      <c r="AG201" s="40"/>
      <c r="AH201" s="40"/>
      <c r="AI201" s="40"/>
      <c r="AJ201" s="40"/>
      <c r="AK201" s="40"/>
      <c r="AL201" s="40"/>
      <c r="AM201" s="40"/>
      <c r="AN201" s="40"/>
      <c r="AO201" s="40"/>
      <c r="AP201" s="40"/>
      <c r="AQ201" s="40"/>
      <c r="AR201" s="40"/>
      <c r="AS201" s="40"/>
      <c r="AT201" s="40"/>
      <c r="AU201" s="40"/>
      <c r="AV201" s="40">
        <v>5</v>
      </c>
      <c r="AW201" s="40"/>
      <c r="AX201" s="40"/>
      <c r="AY201" s="40"/>
      <c r="AZ201" s="40"/>
      <c r="BA201" s="40"/>
      <c r="BB201" s="40"/>
      <c r="BC201" s="40"/>
      <c r="BD201" s="40"/>
      <c r="BE201" s="40">
        <v>150</v>
      </c>
      <c r="BF201" s="40"/>
      <c r="BG201" s="40"/>
      <c r="BH201" s="40"/>
      <c r="BI201" s="40"/>
      <c r="BJ201" s="40"/>
      <c r="BK201" s="40"/>
      <c r="BL201" s="40"/>
      <c r="BM201" s="40"/>
      <c r="BN201" s="40"/>
      <c r="BO201" s="40"/>
      <c r="BP201" s="40"/>
      <c r="BQ201" s="40"/>
      <c r="BR201" s="40"/>
      <c r="BS201" s="40"/>
      <c r="BT201" s="40"/>
      <c r="BU201" s="40"/>
      <c r="BV201" s="40"/>
      <c r="BW201" s="40"/>
      <c r="BX201" s="40"/>
      <c r="BY201" s="40"/>
      <c r="BZ201" s="40"/>
      <c r="CA201" s="40"/>
      <c r="CB201" s="40"/>
      <c r="CC201" s="40"/>
      <c r="CD201" s="40"/>
      <c r="CE201" s="30">
        <f t="shared" si="9"/>
        <v>150</v>
      </c>
      <c r="CF201" s="5"/>
    </row>
    <row r="202" spans="1:84" s="38" customFormat="1" x14ac:dyDescent="0.25">
      <c r="A202" s="45" t="s">
        <v>17</v>
      </c>
      <c r="B202" s="75">
        <f t="shared" si="8"/>
        <v>10</v>
      </c>
      <c r="C202" s="67">
        <v>10</v>
      </c>
      <c r="D202" s="70">
        <v>44564</v>
      </c>
      <c r="E202" s="77">
        <v>19.57</v>
      </c>
      <c r="F202" s="77">
        <f t="shared" si="7"/>
        <v>195.7</v>
      </c>
      <c r="G202" s="75">
        <v>10</v>
      </c>
      <c r="H202" s="16"/>
      <c r="I202" s="16"/>
      <c r="J202" s="175"/>
      <c r="K202" s="16"/>
      <c r="L202" s="40"/>
      <c r="M202" s="40"/>
      <c r="N202" s="40"/>
      <c r="O202" s="40"/>
      <c r="P202" s="40"/>
      <c r="Q202" s="40">
        <v>30</v>
      </c>
      <c r="R202" s="40">
        <v>10</v>
      </c>
      <c r="S202" s="40"/>
      <c r="T202" s="40"/>
      <c r="U202" s="40"/>
      <c r="V202" s="40"/>
      <c r="W202" s="40"/>
      <c r="X202" s="40"/>
      <c r="Y202" s="40"/>
      <c r="Z202" s="40"/>
      <c r="AA202" s="40"/>
      <c r="AB202" s="40"/>
      <c r="AC202" s="40"/>
      <c r="AD202" s="40"/>
      <c r="AE202" s="40"/>
      <c r="AF202" s="40"/>
      <c r="AG202" s="40"/>
      <c r="AH202" s="40"/>
      <c r="AI202" s="40"/>
      <c r="AJ202" s="40"/>
      <c r="AK202" s="40"/>
      <c r="AL202" s="40"/>
      <c r="AM202" s="40"/>
      <c r="AN202" s="40"/>
      <c r="AO202" s="40"/>
      <c r="AP202" s="40"/>
      <c r="AQ202" s="40"/>
      <c r="AR202" s="40"/>
      <c r="AS202" s="40"/>
      <c r="AT202" s="40"/>
      <c r="AU202" s="40"/>
      <c r="AV202" s="40"/>
      <c r="AW202" s="40">
        <v>30</v>
      </c>
      <c r="AX202" s="40"/>
      <c r="AY202" s="40"/>
      <c r="AZ202" s="40"/>
      <c r="BA202" s="40"/>
      <c r="BB202" s="40"/>
      <c r="BC202" s="40"/>
      <c r="BD202" s="40"/>
      <c r="BE202" s="40"/>
      <c r="BF202" s="40"/>
      <c r="BG202" s="40"/>
      <c r="BH202" s="40"/>
      <c r="BI202" s="40"/>
      <c r="BJ202" s="40"/>
      <c r="BK202" s="40"/>
      <c r="BL202" s="40"/>
      <c r="BM202" s="40"/>
      <c r="BN202" s="40"/>
      <c r="BO202" s="40"/>
      <c r="BP202" s="40"/>
      <c r="BQ202" s="40"/>
      <c r="BR202" s="40"/>
      <c r="BS202" s="40"/>
      <c r="BT202" s="40"/>
      <c r="BU202" s="40"/>
      <c r="BV202" s="40"/>
      <c r="BW202" s="40"/>
      <c r="BX202" s="40"/>
      <c r="BY202" s="40"/>
      <c r="BZ202" s="40"/>
      <c r="CA202" s="40"/>
      <c r="CB202" s="40"/>
      <c r="CC202" s="40"/>
      <c r="CD202" s="40"/>
      <c r="CE202" s="30">
        <f t="shared" si="9"/>
        <v>0</v>
      </c>
      <c r="CF202" s="5"/>
    </row>
    <row r="203" spans="1:84" s="38" customFormat="1" x14ac:dyDescent="0.25">
      <c r="A203" s="45" t="s">
        <v>17</v>
      </c>
      <c r="B203" s="75">
        <f t="shared" si="8"/>
        <v>70</v>
      </c>
      <c r="C203" s="67">
        <v>10</v>
      </c>
      <c r="D203" s="70">
        <v>44585</v>
      </c>
      <c r="E203" s="77">
        <v>19.16</v>
      </c>
      <c r="F203" s="77">
        <f t="shared" si="7"/>
        <v>1341.2</v>
      </c>
      <c r="G203" s="75">
        <v>70</v>
      </c>
      <c r="H203" s="16"/>
      <c r="I203" s="16"/>
      <c r="J203" s="175"/>
      <c r="K203" s="16"/>
      <c r="L203" s="40"/>
      <c r="M203" s="40"/>
      <c r="N203" s="40"/>
      <c r="O203" s="40"/>
      <c r="P203" s="40"/>
      <c r="Q203" s="40">
        <v>70</v>
      </c>
      <c r="R203" s="40">
        <v>70</v>
      </c>
      <c r="S203" s="40"/>
      <c r="T203" s="40"/>
      <c r="U203" s="40"/>
      <c r="V203" s="40"/>
      <c r="W203" s="40"/>
      <c r="X203" s="40"/>
      <c r="Y203" s="40"/>
      <c r="Z203" s="40"/>
      <c r="AA203" s="40"/>
      <c r="AB203" s="40"/>
      <c r="AC203" s="40"/>
      <c r="AD203" s="40"/>
      <c r="AE203" s="40"/>
      <c r="AF203" s="40"/>
      <c r="AG203" s="40"/>
      <c r="AH203" s="40"/>
      <c r="AI203" s="40"/>
      <c r="AJ203" s="40"/>
      <c r="AK203" s="40"/>
      <c r="AL203" s="40"/>
      <c r="AM203" s="40"/>
      <c r="AN203" s="40"/>
      <c r="AO203" s="40"/>
      <c r="AP203" s="40"/>
      <c r="AQ203" s="40"/>
      <c r="AR203" s="40"/>
      <c r="AS203" s="40"/>
      <c r="AT203" s="40"/>
      <c r="AU203" s="40"/>
      <c r="AV203" s="40"/>
      <c r="AW203" s="40"/>
      <c r="AX203" s="40"/>
      <c r="AY203" s="40"/>
      <c r="AZ203" s="40"/>
      <c r="BA203" s="40"/>
      <c r="BB203" s="40"/>
      <c r="BC203" s="40"/>
      <c r="BD203" s="40">
        <v>70</v>
      </c>
      <c r="BE203" s="40"/>
      <c r="BF203" s="40"/>
      <c r="BG203" s="40"/>
      <c r="BH203" s="40"/>
      <c r="BI203" s="40"/>
      <c r="BJ203" s="40"/>
      <c r="BK203" s="40"/>
      <c r="BL203" s="40"/>
      <c r="BM203" s="40"/>
      <c r="BN203" s="40"/>
      <c r="BO203" s="40"/>
      <c r="BP203" s="40"/>
      <c r="BQ203" s="40"/>
      <c r="BR203" s="40"/>
      <c r="BS203" s="40"/>
      <c r="BT203" s="40"/>
      <c r="BU203" s="40"/>
      <c r="BV203" s="40"/>
      <c r="BW203" s="40"/>
      <c r="BX203" s="40"/>
      <c r="BY203" s="40"/>
      <c r="BZ203" s="40"/>
      <c r="CA203" s="40"/>
      <c r="CB203" s="40"/>
      <c r="CC203" s="40"/>
      <c r="CD203" s="40"/>
      <c r="CE203" s="30">
        <f t="shared" si="9"/>
        <v>0</v>
      </c>
      <c r="CF203" s="5"/>
    </row>
    <row r="204" spans="1:84" s="38" customFormat="1" x14ac:dyDescent="0.25">
      <c r="A204" s="45" t="s">
        <v>113</v>
      </c>
      <c r="B204" s="75">
        <f t="shared" si="8"/>
        <v>10</v>
      </c>
      <c r="C204" s="67">
        <v>10</v>
      </c>
      <c r="D204" s="69">
        <v>44585</v>
      </c>
      <c r="E204" s="77">
        <v>22.16</v>
      </c>
      <c r="F204" s="77">
        <f t="shared" ref="F204:F271" si="10">E204*B204</f>
        <v>221.6</v>
      </c>
      <c r="G204" s="75"/>
      <c r="H204" s="16"/>
      <c r="I204" s="16"/>
      <c r="J204" s="175"/>
      <c r="K204" s="16"/>
      <c r="L204" s="40"/>
      <c r="M204" s="40"/>
      <c r="N204" s="40"/>
      <c r="O204" s="40"/>
      <c r="P204" s="40"/>
      <c r="Q204" s="40"/>
      <c r="R204" s="40"/>
      <c r="S204" s="40"/>
      <c r="T204" s="40"/>
      <c r="U204" s="40"/>
      <c r="V204" s="40"/>
      <c r="W204" s="40"/>
      <c r="X204" s="40"/>
      <c r="Y204" s="40"/>
      <c r="Z204" s="40"/>
      <c r="AA204" s="40"/>
      <c r="AB204" s="40"/>
      <c r="AC204" s="40"/>
      <c r="AD204" s="40"/>
      <c r="AE204" s="40"/>
      <c r="AF204" s="40"/>
      <c r="AG204" s="40"/>
      <c r="AH204" s="40"/>
      <c r="AI204" s="40">
        <v>10</v>
      </c>
      <c r="AJ204" s="40"/>
      <c r="AK204" s="40"/>
      <c r="AL204" s="40"/>
      <c r="AM204" s="40"/>
      <c r="AN204" s="40"/>
      <c r="AO204" s="40"/>
      <c r="AP204" s="40"/>
      <c r="AQ204" s="40"/>
      <c r="AR204" s="40"/>
      <c r="AS204" s="40"/>
      <c r="AT204" s="40"/>
      <c r="AU204" s="40"/>
      <c r="AV204" s="40"/>
      <c r="AW204" s="40"/>
      <c r="AX204" s="40"/>
      <c r="AY204" s="40"/>
      <c r="AZ204" s="40"/>
      <c r="BA204" s="40"/>
      <c r="BB204" s="40"/>
      <c r="BC204" s="40"/>
      <c r="BD204" s="40">
        <v>10</v>
      </c>
      <c r="BE204" s="40"/>
      <c r="BF204" s="40"/>
      <c r="BG204" s="40"/>
      <c r="BH204" s="40"/>
      <c r="BI204" s="40"/>
      <c r="BJ204" s="40"/>
      <c r="BK204" s="40"/>
      <c r="BL204" s="40"/>
      <c r="BM204" s="40"/>
      <c r="BN204" s="40"/>
      <c r="BO204" s="40"/>
      <c r="BP204" s="40"/>
      <c r="BQ204" s="40"/>
      <c r="BR204" s="40"/>
      <c r="BS204" s="40"/>
      <c r="BT204" s="40"/>
      <c r="BU204" s="40"/>
      <c r="BV204" s="40"/>
      <c r="BW204" s="40"/>
      <c r="BX204" s="40"/>
      <c r="BY204" s="40"/>
      <c r="BZ204" s="40"/>
      <c r="CA204" s="40"/>
      <c r="CB204" s="40"/>
      <c r="CC204" s="40"/>
      <c r="CD204" s="40"/>
      <c r="CE204" s="30">
        <f t="shared" si="9"/>
        <v>0</v>
      </c>
      <c r="CF204" s="5"/>
    </row>
    <row r="205" spans="1:84" s="38" customFormat="1" x14ac:dyDescent="0.25">
      <c r="A205" s="45" t="s">
        <v>110</v>
      </c>
      <c r="B205" s="75">
        <f t="shared" si="8"/>
        <v>0</v>
      </c>
      <c r="C205" s="67">
        <v>10</v>
      </c>
      <c r="D205" s="69">
        <v>44503</v>
      </c>
      <c r="E205" s="77">
        <v>16.760000000000002</v>
      </c>
      <c r="F205" s="77">
        <f t="shared" si="10"/>
        <v>0</v>
      </c>
      <c r="G205" s="75"/>
      <c r="H205" s="16"/>
      <c r="I205" s="16"/>
      <c r="J205" s="175"/>
      <c r="K205" s="16"/>
      <c r="L205" s="40"/>
      <c r="M205" s="40"/>
      <c r="N205" s="40"/>
      <c r="O205" s="40"/>
      <c r="P205" s="40"/>
      <c r="Q205" s="40"/>
      <c r="R205" s="40"/>
      <c r="S205" s="40"/>
      <c r="T205" s="40"/>
      <c r="U205" s="40"/>
      <c r="V205" s="40"/>
      <c r="W205" s="40"/>
      <c r="X205" s="40"/>
      <c r="Y205" s="40"/>
      <c r="Z205" s="40"/>
      <c r="AA205" s="40"/>
      <c r="AB205" s="40"/>
      <c r="AC205" s="40"/>
      <c r="AD205" s="40"/>
      <c r="AE205" s="40"/>
      <c r="AF205" s="40"/>
      <c r="AG205" s="40"/>
      <c r="AH205" s="40"/>
      <c r="AI205" s="40"/>
      <c r="AJ205" s="40"/>
      <c r="AK205" s="40"/>
      <c r="AL205" s="40"/>
      <c r="AM205" s="40"/>
      <c r="AN205" s="40"/>
      <c r="AO205" s="40"/>
      <c r="AP205" s="40"/>
      <c r="AQ205" s="40"/>
      <c r="AR205" s="40"/>
      <c r="AS205" s="40"/>
      <c r="AT205" s="40"/>
      <c r="AU205" s="40"/>
      <c r="AV205" s="40"/>
      <c r="AW205" s="40"/>
      <c r="AX205" s="40"/>
      <c r="AY205" s="40"/>
      <c r="AZ205" s="40"/>
      <c r="BA205" s="40"/>
      <c r="BB205" s="40"/>
      <c r="BC205" s="40"/>
      <c r="BD205" s="40"/>
      <c r="BE205" s="40"/>
      <c r="BF205" s="40"/>
      <c r="BG205" s="40"/>
      <c r="BH205" s="40"/>
      <c r="BI205" s="40"/>
      <c r="BJ205" s="40"/>
      <c r="BK205" s="40"/>
      <c r="BL205" s="40"/>
      <c r="BM205" s="40"/>
      <c r="BN205" s="40"/>
      <c r="BO205" s="40"/>
      <c r="BP205" s="40"/>
      <c r="BQ205" s="40"/>
      <c r="BR205" s="40"/>
      <c r="BS205" s="40"/>
      <c r="BT205" s="40"/>
      <c r="BU205" s="40"/>
      <c r="BV205" s="40"/>
      <c r="BW205" s="40"/>
      <c r="BX205" s="40"/>
      <c r="BY205" s="40"/>
      <c r="BZ205" s="40"/>
      <c r="CA205" s="40"/>
      <c r="CB205" s="40"/>
      <c r="CC205" s="40"/>
      <c r="CD205" s="40"/>
      <c r="CE205" s="30">
        <f t="shared" si="9"/>
        <v>0</v>
      </c>
      <c r="CF205" s="5"/>
    </row>
    <row r="206" spans="1:84" s="38" customFormat="1" hidden="1" x14ac:dyDescent="0.25">
      <c r="A206" s="45" t="s">
        <v>91</v>
      </c>
      <c r="B206" s="75">
        <f t="shared" si="8"/>
        <v>0</v>
      </c>
      <c r="C206" s="67">
        <v>1</v>
      </c>
      <c r="D206" s="69">
        <v>43185</v>
      </c>
      <c r="E206" s="77">
        <v>28.37</v>
      </c>
      <c r="F206" s="77">
        <f t="shared" si="10"/>
        <v>0</v>
      </c>
      <c r="G206" s="75"/>
      <c r="H206" s="16"/>
      <c r="I206" s="16"/>
      <c r="J206" s="175"/>
      <c r="K206" s="16"/>
      <c r="L206" s="40"/>
      <c r="M206" s="40"/>
      <c r="N206" s="40"/>
      <c r="O206" s="40"/>
      <c r="P206" s="40"/>
      <c r="Q206" s="40"/>
      <c r="R206" s="40"/>
      <c r="S206" s="40"/>
      <c r="T206" s="40"/>
      <c r="U206" s="40"/>
      <c r="V206" s="40"/>
      <c r="W206" s="40"/>
      <c r="X206" s="40"/>
      <c r="Y206" s="40"/>
      <c r="Z206" s="40"/>
      <c r="AA206" s="40"/>
      <c r="AB206" s="40"/>
      <c r="AC206" s="40"/>
      <c r="AD206" s="40"/>
      <c r="AE206" s="40"/>
      <c r="AF206" s="40"/>
      <c r="AG206" s="40"/>
      <c r="AH206" s="40"/>
      <c r="AI206" s="40"/>
      <c r="AJ206" s="40"/>
      <c r="AK206" s="40"/>
      <c r="AL206" s="40"/>
      <c r="AM206" s="40"/>
      <c r="AN206" s="40"/>
      <c r="AO206" s="40"/>
      <c r="AP206" s="40"/>
      <c r="AQ206" s="40"/>
      <c r="AR206" s="40"/>
      <c r="AS206" s="40"/>
      <c r="AT206" s="40"/>
      <c r="AU206" s="40"/>
      <c r="AV206" s="40"/>
      <c r="AW206" s="40"/>
      <c r="AX206" s="40"/>
      <c r="AY206" s="40"/>
      <c r="AZ206" s="40"/>
      <c r="BA206" s="40"/>
      <c r="BB206" s="40"/>
      <c r="BC206" s="40"/>
      <c r="BD206" s="40"/>
      <c r="BE206" s="40"/>
      <c r="BF206" s="40"/>
      <c r="BG206" s="40"/>
      <c r="BH206" s="40"/>
      <c r="BI206" s="40"/>
      <c r="BJ206" s="40"/>
      <c r="BK206" s="40"/>
      <c r="BL206" s="40"/>
      <c r="BM206" s="40"/>
      <c r="BN206" s="40"/>
      <c r="BO206" s="40"/>
      <c r="BP206" s="40"/>
      <c r="BQ206" s="40"/>
      <c r="BR206" s="40"/>
      <c r="BS206" s="40"/>
      <c r="BT206" s="40"/>
      <c r="BU206" s="40"/>
      <c r="BV206" s="40"/>
      <c r="BW206" s="40"/>
      <c r="BX206" s="40"/>
      <c r="BY206" s="40"/>
      <c r="BZ206" s="40"/>
      <c r="CA206" s="40"/>
      <c r="CB206" s="40"/>
      <c r="CC206" s="40"/>
      <c r="CD206" s="40"/>
      <c r="CE206" s="30">
        <f t="shared" si="9"/>
        <v>0</v>
      </c>
      <c r="CF206" s="5"/>
    </row>
    <row r="207" spans="1:84" s="38" customFormat="1" x14ac:dyDescent="0.25">
      <c r="A207" s="45" t="s">
        <v>91</v>
      </c>
      <c r="B207" s="75">
        <f t="shared" si="8"/>
        <v>0</v>
      </c>
      <c r="C207" s="67">
        <v>1</v>
      </c>
      <c r="D207" s="69">
        <v>44532</v>
      </c>
      <c r="E207" s="77">
        <v>32.53</v>
      </c>
      <c r="F207" s="77">
        <f t="shared" si="10"/>
        <v>0</v>
      </c>
      <c r="G207" s="75"/>
      <c r="H207" s="16"/>
      <c r="I207" s="16"/>
      <c r="J207" s="175"/>
      <c r="K207" s="16"/>
      <c r="L207" s="40"/>
      <c r="M207" s="40"/>
      <c r="N207" s="40"/>
      <c r="O207" s="40"/>
      <c r="P207" s="40"/>
      <c r="Q207" s="40"/>
      <c r="R207" s="40"/>
      <c r="S207" s="40"/>
      <c r="T207" s="40"/>
      <c r="U207" s="40"/>
      <c r="V207" s="40"/>
      <c r="W207" s="40"/>
      <c r="X207" s="40"/>
      <c r="Y207" s="40"/>
      <c r="Z207" s="40"/>
      <c r="AA207" s="40"/>
      <c r="AB207" s="40"/>
      <c r="AC207" s="40"/>
      <c r="AD207" s="40"/>
      <c r="AE207" s="40"/>
      <c r="AF207" s="40"/>
      <c r="AG207" s="40"/>
      <c r="AH207" s="40"/>
      <c r="AI207" s="40"/>
      <c r="AJ207" s="40"/>
      <c r="AK207" s="40"/>
      <c r="AL207" s="40"/>
      <c r="AM207" s="40"/>
      <c r="AN207" s="40"/>
      <c r="AO207" s="40"/>
      <c r="AP207" s="40"/>
      <c r="AQ207" s="40"/>
      <c r="AR207" s="40"/>
      <c r="AS207" s="40"/>
      <c r="AT207" s="40"/>
      <c r="AU207" s="40"/>
      <c r="AV207" s="40"/>
      <c r="AW207" s="40"/>
      <c r="AX207" s="40"/>
      <c r="AY207" s="40"/>
      <c r="AZ207" s="40"/>
      <c r="BA207" s="40"/>
      <c r="BB207" s="40"/>
      <c r="BC207" s="40"/>
      <c r="BD207" s="40"/>
      <c r="BE207" s="40"/>
      <c r="BF207" s="40"/>
      <c r="BG207" s="40"/>
      <c r="BH207" s="40"/>
      <c r="BI207" s="40"/>
      <c r="BJ207" s="40"/>
      <c r="BK207" s="40"/>
      <c r="BL207" s="40"/>
      <c r="BM207" s="40"/>
      <c r="BN207" s="40"/>
      <c r="BO207" s="40"/>
      <c r="BP207" s="40"/>
      <c r="BQ207" s="40"/>
      <c r="BR207" s="40"/>
      <c r="BS207" s="40"/>
      <c r="BT207" s="40"/>
      <c r="BU207" s="40"/>
      <c r="BV207" s="40"/>
      <c r="BW207" s="40"/>
      <c r="BX207" s="40"/>
      <c r="BY207" s="40"/>
      <c r="BZ207" s="40"/>
      <c r="CA207" s="40"/>
      <c r="CB207" s="40"/>
      <c r="CC207" s="40"/>
      <c r="CD207" s="40"/>
      <c r="CE207" s="30">
        <f t="shared" si="9"/>
        <v>0</v>
      </c>
      <c r="CF207" s="5"/>
    </row>
    <row r="208" spans="1:84" s="38" customFormat="1" x14ac:dyDescent="0.25">
      <c r="A208" s="45" t="s">
        <v>91</v>
      </c>
      <c r="B208" s="75">
        <f t="shared" si="8"/>
        <v>0</v>
      </c>
      <c r="C208" s="67">
        <v>10</v>
      </c>
      <c r="D208" s="69">
        <v>44557</v>
      </c>
      <c r="E208" s="77">
        <v>29.13</v>
      </c>
      <c r="F208" s="77">
        <f t="shared" si="10"/>
        <v>0</v>
      </c>
      <c r="G208" s="75"/>
      <c r="H208" s="16"/>
      <c r="I208" s="16"/>
      <c r="J208" s="175"/>
      <c r="K208" s="16"/>
      <c r="L208" s="40"/>
      <c r="M208" s="40"/>
      <c r="N208" s="40"/>
      <c r="O208" s="40"/>
      <c r="P208" s="40"/>
      <c r="Q208" s="40"/>
      <c r="R208" s="40"/>
      <c r="S208" s="40"/>
      <c r="T208" s="40"/>
      <c r="U208" s="40"/>
      <c r="V208" s="40"/>
      <c r="W208" s="40"/>
      <c r="X208" s="40"/>
      <c r="Y208" s="40"/>
      <c r="Z208" s="40"/>
      <c r="AA208" s="40"/>
      <c r="AB208" s="40"/>
      <c r="AC208" s="40"/>
      <c r="AD208" s="40"/>
      <c r="AE208" s="40"/>
      <c r="AF208" s="40"/>
      <c r="AG208" s="40"/>
      <c r="AH208" s="40"/>
      <c r="AI208" s="40"/>
      <c r="AJ208" s="40"/>
      <c r="AK208" s="40"/>
      <c r="AL208" s="40"/>
      <c r="AM208" s="40"/>
      <c r="AN208" s="40"/>
      <c r="AO208" s="40"/>
      <c r="AP208" s="40"/>
      <c r="AQ208" s="40"/>
      <c r="AR208" s="40"/>
      <c r="AS208" s="40"/>
      <c r="AT208" s="40"/>
      <c r="AU208" s="40"/>
      <c r="AV208" s="40"/>
      <c r="AW208" s="40"/>
      <c r="AX208" s="40"/>
      <c r="AY208" s="40"/>
      <c r="AZ208" s="40"/>
      <c r="BA208" s="40"/>
      <c r="BB208" s="40"/>
      <c r="BC208" s="40"/>
      <c r="BD208" s="40"/>
      <c r="BE208" s="40"/>
      <c r="BF208" s="40"/>
      <c r="BG208" s="40"/>
      <c r="BH208" s="40"/>
      <c r="BI208" s="40"/>
      <c r="BJ208" s="40"/>
      <c r="BK208" s="40"/>
      <c r="BL208" s="40"/>
      <c r="BM208" s="40"/>
      <c r="BN208" s="40"/>
      <c r="BO208" s="40"/>
      <c r="BP208" s="40"/>
      <c r="BQ208" s="40"/>
      <c r="BR208" s="40"/>
      <c r="BS208" s="40"/>
      <c r="BT208" s="40"/>
      <c r="BU208" s="40"/>
      <c r="BV208" s="40"/>
      <c r="BW208" s="40"/>
      <c r="BX208" s="40"/>
      <c r="BY208" s="40"/>
      <c r="BZ208" s="40"/>
      <c r="CA208" s="40"/>
      <c r="CB208" s="40"/>
      <c r="CC208" s="40"/>
      <c r="CD208" s="40"/>
      <c r="CE208" s="30">
        <f t="shared" si="9"/>
        <v>0</v>
      </c>
      <c r="CF208" s="5"/>
    </row>
    <row r="209" spans="1:84" s="38" customFormat="1" x14ac:dyDescent="0.25">
      <c r="A209" s="45" t="s">
        <v>122</v>
      </c>
      <c r="B209" s="75">
        <f t="shared" si="8"/>
        <v>20</v>
      </c>
      <c r="C209" s="67">
        <v>10</v>
      </c>
      <c r="D209" s="69">
        <v>44557</v>
      </c>
      <c r="E209" s="77">
        <v>18.84</v>
      </c>
      <c r="F209" s="77">
        <f t="shared" si="10"/>
        <v>376.8</v>
      </c>
      <c r="G209" s="75">
        <v>20</v>
      </c>
      <c r="H209" s="16"/>
      <c r="I209" s="16"/>
      <c r="J209" s="175"/>
      <c r="K209" s="16"/>
      <c r="L209" s="40"/>
      <c r="M209" s="40"/>
      <c r="N209" s="40"/>
      <c r="O209" s="40"/>
      <c r="P209" s="40"/>
      <c r="Q209" s="40"/>
      <c r="R209" s="40"/>
      <c r="S209" s="40"/>
      <c r="T209" s="40"/>
      <c r="U209" s="40"/>
      <c r="V209" s="40"/>
      <c r="W209" s="40"/>
      <c r="X209" s="40"/>
      <c r="Y209" s="40"/>
      <c r="Z209" s="40"/>
      <c r="AA209" s="40"/>
      <c r="AB209" s="40"/>
      <c r="AC209" s="40"/>
      <c r="AD209" s="40"/>
      <c r="AE209" s="40"/>
      <c r="AF209" s="40"/>
      <c r="AG209" s="40"/>
      <c r="AH209" s="40"/>
      <c r="AI209" s="40"/>
      <c r="AJ209" s="40"/>
      <c r="AK209" s="40"/>
      <c r="AL209" s="40"/>
      <c r="AM209" s="40"/>
      <c r="AN209" s="40"/>
      <c r="AO209" s="40"/>
      <c r="AP209" s="40">
        <v>20</v>
      </c>
      <c r="AQ209" s="40"/>
      <c r="AR209" s="40"/>
      <c r="AS209" s="40"/>
      <c r="AT209" s="40"/>
      <c r="AU209" s="40"/>
      <c r="AV209" s="40"/>
      <c r="AW209" s="40"/>
      <c r="AX209" s="40"/>
      <c r="AY209" s="40"/>
      <c r="AZ209" s="40"/>
      <c r="BA209" s="40"/>
      <c r="BB209" s="40"/>
      <c r="BC209" s="40"/>
      <c r="BD209" s="40"/>
      <c r="BE209" s="40"/>
      <c r="BF209" s="40"/>
      <c r="BG209" s="40"/>
      <c r="BH209" s="40"/>
      <c r="BI209" s="40"/>
      <c r="BJ209" s="40"/>
      <c r="BK209" s="40"/>
      <c r="BL209" s="40"/>
      <c r="BM209" s="40"/>
      <c r="BN209" s="40"/>
      <c r="BO209" s="40"/>
      <c r="BP209" s="40"/>
      <c r="BQ209" s="40"/>
      <c r="BR209" s="40"/>
      <c r="BS209" s="40"/>
      <c r="BT209" s="40"/>
      <c r="BU209" s="40"/>
      <c r="BV209" s="40"/>
      <c r="BW209" s="40"/>
      <c r="BX209" s="40"/>
      <c r="BY209" s="40"/>
      <c r="BZ209" s="40"/>
      <c r="CA209" s="40"/>
      <c r="CB209" s="40"/>
      <c r="CC209" s="40"/>
      <c r="CD209" s="40"/>
      <c r="CE209" s="30">
        <f t="shared" si="9"/>
        <v>0</v>
      </c>
      <c r="CF209" s="5"/>
    </row>
    <row r="210" spans="1:84" s="38" customFormat="1" x14ac:dyDescent="0.25">
      <c r="A210" s="45" t="s">
        <v>122</v>
      </c>
      <c r="B210" s="75">
        <f t="shared" si="8"/>
        <v>0</v>
      </c>
      <c r="C210" s="67">
        <v>10</v>
      </c>
      <c r="D210" s="69">
        <v>44368</v>
      </c>
      <c r="E210" s="77">
        <v>19.11</v>
      </c>
      <c r="F210" s="77">
        <f t="shared" si="10"/>
        <v>0</v>
      </c>
      <c r="G210" s="75"/>
      <c r="H210" s="16"/>
      <c r="I210" s="16"/>
      <c r="J210" s="175"/>
      <c r="K210" s="16"/>
      <c r="L210" s="40"/>
      <c r="M210" s="40"/>
      <c r="N210" s="40"/>
      <c r="O210" s="40"/>
      <c r="P210" s="40"/>
      <c r="Q210" s="40"/>
      <c r="R210" s="40"/>
      <c r="S210" s="40"/>
      <c r="T210" s="40"/>
      <c r="U210" s="40"/>
      <c r="V210" s="40"/>
      <c r="W210" s="40"/>
      <c r="X210" s="40"/>
      <c r="Y210" s="40"/>
      <c r="Z210" s="40"/>
      <c r="AA210" s="40"/>
      <c r="AB210" s="40"/>
      <c r="AC210" s="40"/>
      <c r="AD210" s="40"/>
      <c r="AE210" s="40"/>
      <c r="AF210" s="40"/>
      <c r="AG210" s="40"/>
      <c r="AH210" s="40"/>
      <c r="AI210" s="40"/>
      <c r="AJ210" s="40"/>
      <c r="AK210" s="40"/>
      <c r="AL210" s="40"/>
      <c r="AM210" s="40"/>
      <c r="AN210" s="40"/>
      <c r="AO210" s="40"/>
      <c r="AP210" s="40"/>
      <c r="AQ210" s="40"/>
      <c r="AR210" s="40"/>
      <c r="AS210" s="40"/>
      <c r="AT210" s="40"/>
      <c r="AU210" s="40"/>
      <c r="AV210" s="40"/>
      <c r="AW210" s="40"/>
      <c r="AX210" s="40"/>
      <c r="AY210" s="40"/>
      <c r="AZ210" s="40"/>
      <c r="BA210" s="40"/>
      <c r="BB210" s="40"/>
      <c r="BC210" s="40"/>
      <c r="BD210" s="40"/>
      <c r="BE210" s="40"/>
      <c r="BF210" s="40"/>
      <c r="BG210" s="40"/>
      <c r="BH210" s="40"/>
      <c r="BI210" s="40"/>
      <c r="BJ210" s="40"/>
      <c r="BK210" s="40"/>
      <c r="BL210" s="40"/>
      <c r="BM210" s="40"/>
      <c r="BN210" s="40"/>
      <c r="BO210" s="40"/>
      <c r="BP210" s="40"/>
      <c r="BQ210" s="40"/>
      <c r="BR210" s="40"/>
      <c r="BS210" s="40"/>
      <c r="BT210" s="40"/>
      <c r="BU210" s="40"/>
      <c r="BV210" s="40"/>
      <c r="BW210" s="40"/>
      <c r="BX210" s="40"/>
      <c r="BY210" s="40"/>
      <c r="BZ210" s="40"/>
      <c r="CA210" s="40"/>
      <c r="CB210" s="40"/>
      <c r="CC210" s="40"/>
      <c r="CD210" s="40"/>
      <c r="CE210" s="30">
        <f t="shared" si="9"/>
        <v>0</v>
      </c>
      <c r="CF210" s="5"/>
    </row>
    <row r="211" spans="1:84" s="38" customFormat="1" x14ac:dyDescent="0.25">
      <c r="A211" s="45" t="s">
        <v>458</v>
      </c>
      <c r="B211" s="75">
        <f t="shared" si="8"/>
        <v>0</v>
      </c>
      <c r="C211" s="67">
        <v>10</v>
      </c>
      <c r="D211" s="69">
        <v>44319</v>
      </c>
      <c r="E211" s="77">
        <v>55.71</v>
      </c>
      <c r="F211" s="77">
        <f t="shared" si="10"/>
        <v>0</v>
      </c>
      <c r="G211" s="75"/>
      <c r="H211" s="16"/>
      <c r="I211" s="16"/>
      <c r="J211" s="175"/>
      <c r="K211" s="16"/>
      <c r="L211" s="40"/>
      <c r="M211" s="40"/>
      <c r="N211" s="40"/>
      <c r="O211" s="40"/>
      <c r="P211" s="40"/>
      <c r="Q211" s="40"/>
      <c r="R211" s="40"/>
      <c r="S211" s="40"/>
      <c r="T211" s="40"/>
      <c r="U211" s="40"/>
      <c r="V211" s="40"/>
      <c r="W211" s="40"/>
      <c r="X211" s="40"/>
      <c r="Y211" s="40"/>
      <c r="Z211" s="40"/>
      <c r="AA211" s="40"/>
      <c r="AB211" s="40"/>
      <c r="AC211" s="40"/>
      <c r="AD211" s="40"/>
      <c r="AE211" s="40"/>
      <c r="AF211" s="40"/>
      <c r="AG211" s="40"/>
      <c r="AH211" s="40"/>
      <c r="AI211" s="40"/>
      <c r="AJ211" s="40"/>
      <c r="AK211" s="40"/>
      <c r="AL211" s="40"/>
      <c r="AM211" s="40"/>
      <c r="AN211" s="40"/>
      <c r="AO211" s="40"/>
      <c r="AP211" s="40"/>
      <c r="AQ211" s="40"/>
      <c r="AR211" s="40"/>
      <c r="AS211" s="40"/>
      <c r="AT211" s="40"/>
      <c r="AU211" s="40"/>
      <c r="AV211" s="40"/>
      <c r="AW211" s="40"/>
      <c r="AX211" s="40"/>
      <c r="AY211" s="40"/>
      <c r="AZ211" s="40"/>
      <c r="BA211" s="40"/>
      <c r="BB211" s="40"/>
      <c r="BC211" s="40"/>
      <c r="BD211" s="40"/>
      <c r="BE211" s="40"/>
      <c r="BF211" s="40"/>
      <c r="BG211" s="40"/>
      <c r="BH211" s="40"/>
      <c r="BI211" s="40"/>
      <c r="BJ211" s="40"/>
      <c r="BK211" s="40"/>
      <c r="BL211" s="40"/>
      <c r="BM211" s="40"/>
      <c r="BN211" s="40"/>
      <c r="BO211" s="40"/>
      <c r="BP211" s="40"/>
      <c r="BQ211" s="40"/>
      <c r="BR211" s="40"/>
      <c r="BS211" s="40"/>
      <c r="BT211" s="40"/>
      <c r="BU211" s="40"/>
      <c r="BV211" s="40"/>
      <c r="BW211" s="40"/>
      <c r="BX211" s="40"/>
      <c r="BY211" s="40"/>
      <c r="BZ211" s="40"/>
      <c r="CA211" s="40"/>
      <c r="CB211" s="40"/>
      <c r="CC211" s="40"/>
      <c r="CD211" s="40"/>
      <c r="CE211" s="30">
        <f t="shared" si="9"/>
        <v>0</v>
      </c>
      <c r="CF211" s="5"/>
    </row>
    <row r="212" spans="1:84" s="38" customFormat="1" x14ac:dyDescent="0.25">
      <c r="A212" s="45" t="s">
        <v>448</v>
      </c>
      <c r="B212" s="75">
        <f t="shared" si="8"/>
        <v>0</v>
      </c>
      <c r="C212" s="67">
        <v>1.1000000000000001</v>
      </c>
      <c r="D212" s="69">
        <v>44260</v>
      </c>
      <c r="E212" s="77">
        <v>27.25</v>
      </c>
      <c r="F212" s="77">
        <f t="shared" si="10"/>
        <v>0</v>
      </c>
      <c r="G212" s="75"/>
      <c r="H212" s="16"/>
      <c r="I212" s="16"/>
      <c r="J212" s="175"/>
      <c r="K212" s="16"/>
      <c r="L212" s="40"/>
      <c r="M212" s="40"/>
      <c r="N212" s="40"/>
      <c r="O212" s="40"/>
      <c r="P212" s="40"/>
      <c r="Q212" s="40"/>
      <c r="R212" s="40"/>
      <c r="S212" s="40"/>
      <c r="T212" s="40"/>
      <c r="U212" s="40"/>
      <c r="V212" s="40"/>
      <c r="W212" s="40"/>
      <c r="X212" s="40"/>
      <c r="Y212" s="40"/>
      <c r="Z212" s="40"/>
      <c r="AA212" s="40"/>
      <c r="AB212" s="40"/>
      <c r="AC212" s="40"/>
      <c r="AD212" s="40"/>
      <c r="AE212" s="40"/>
      <c r="AF212" s="40"/>
      <c r="AG212" s="40"/>
      <c r="AH212" s="40"/>
      <c r="AI212" s="40"/>
      <c r="AJ212" s="40"/>
      <c r="AK212" s="40"/>
      <c r="AL212" s="40"/>
      <c r="AM212" s="40"/>
      <c r="AN212" s="40"/>
      <c r="AO212" s="40"/>
      <c r="AP212" s="40"/>
      <c r="AQ212" s="40"/>
      <c r="AR212" s="40"/>
      <c r="AS212" s="40"/>
      <c r="AT212" s="40"/>
      <c r="AU212" s="40"/>
      <c r="AV212" s="40"/>
      <c r="AW212" s="40"/>
      <c r="AX212" s="40"/>
      <c r="AY212" s="40"/>
      <c r="AZ212" s="40"/>
      <c r="BA212" s="40"/>
      <c r="BB212" s="40"/>
      <c r="BC212" s="40"/>
      <c r="BD212" s="40"/>
      <c r="BE212" s="40"/>
      <c r="BF212" s="40"/>
      <c r="BG212" s="40"/>
      <c r="BH212" s="40"/>
      <c r="BI212" s="40"/>
      <c r="BJ212" s="40"/>
      <c r="BK212" s="40"/>
      <c r="BL212" s="40"/>
      <c r="BM212" s="40"/>
      <c r="BN212" s="40"/>
      <c r="BO212" s="40"/>
      <c r="BP212" s="40"/>
      <c r="BQ212" s="40"/>
      <c r="BR212" s="40"/>
      <c r="BS212" s="40"/>
      <c r="BT212" s="40"/>
      <c r="BU212" s="40"/>
      <c r="BV212" s="40"/>
      <c r="BW212" s="40"/>
      <c r="BX212" s="40"/>
      <c r="BY212" s="40"/>
      <c r="BZ212" s="40"/>
      <c r="CA212" s="40"/>
      <c r="CB212" s="40"/>
      <c r="CC212" s="40"/>
      <c r="CD212" s="40"/>
      <c r="CE212" s="30">
        <f t="shared" si="9"/>
        <v>0</v>
      </c>
      <c r="CF212" s="5"/>
    </row>
    <row r="213" spans="1:84" s="38" customFormat="1" x14ac:dyDescent="0.25">
      <c r="A213" s="45" t="s">
        <v>172</v>
      </c>
      <c r="B213" s="75">
        <f t="shared" si="8"/>
        <v>0</v>
      </c>
      <c r="C213" s="67">
        <v>1</v>
      </c>
      <c r="D213" s="69">
        <v>44452</v>
      </c>
      <c r="E213" s="77">
        <v>24.32</v>
      </c>
      <c r="F213" s="77">
        <f t="shared" si="10"/>
        <v>0</v>
      </c>
      <c r="G213" s="75"/>
      <c r="H213" s="16"/>
      <c r="I213" s="16"/>
      <c r="J213" s="175"/>
      <c r="K213" s="16"/>
      <c r="L213" s="40"/>
      <c r="M213" s="40"/>
      <c r="N213" s="40"/>
      <c r="O213" s="40"/>
      <c r="P213" s="40"/>
      <c r="Q213" s="40"/>
      <c r="R213" s="40"/>
      <c r="S213" s="40"/>
      <c r="T213" s="40"/>
      <c r="U213" s="40"/>
      <c r="V213" s="40"/>
      <c r="W213" s="40"/>
      <c r="X213" s="40"/>
      <c r="Y213" s="40"/>
      <c r="Z213" s="40"/>
      <c r="AA213" s="40"/>
      <c r="AB213" s="40"/>
      <c r="AC213" s="40"/>
      <c r="AD213" s="40"/>
      <c r="AE213" s="40"/>
      <c r="AF213" s="40"/>
      <c r="AG213" s="40"/>
      <c r="AH213" s="40"/>
      <c r="AI213" s="40"/>
      <c r="AJ213" s="40"/>
      <c r="AK213" s="40"/>
      <c r="AL213" s="40"/>
      <c r="AM213" s="40"/>
      <c r="AN213" s="40"/>
      <c r="AO213" s="40"/>
      <c r="AP213" s="40"/>
      <c r="AQ213" s="40"/>
      <c r="AR213" s="40"/>
      <c r="AS213" s="40"/>
      <c r="AT213" s="40"/>
      <c r="AU213" s="40"/>
      <c r="AV213" s="40"/>
      <c r="AW213" s="40"/>
      <c r="AX213" s="40"/>
      <c r="AY213" s="40"/>
      <c r="AZ213" s="40"/>
      <c r="BA213" s="40"/>
      <c r="BB213" s="40"/>
      <c r="BC213" s="40"/>
      <c r="BD213" s="40"/>
      <c r="BE213" s="40"/>
      <c r="BF213" s="40"/>
      <c r="BG213" s="40"/>
      <c r="BH213" s="40"/>
      <c r="BI213" s="40"/>
      <c r="BJ213" s="40"/>
      <c r="BK213" s="40"/>
      <c r="BL213" s="40"/>
      <c r="BM213" s="40"/>
      <c r="BN213" s="40"/>
      <c r="BO213" s="40"/>
      <c r="BP213" s="40"/>
      <c r="BQ213" s="40"/>
      <c r="BR213" s="40"/>
      <c r="BS213" s="40"/>
      <c r="BT213" s="40"/>
      <c r="BU213" s="40"/>
      <c r="BV213" s="40"/>
      <c r="BW213" s="40"/>
      <c r="BX213" s="40"/>
      <c r="BY213" s="40"/>
      <c r="BZ213" s="40"/>
      <c r="CA213" s="40"/>
      <c r="CB213" s="40"/>
      <c r="CC213" s="40"/>
      <c r="CD213" s="40"/>
      <c r="CE213" s="30">
        <f t="shared" si="9"/>
        <v>0</v>
      </c>
      <c r="CF213" s="5"/>
    </row>
    <row r="214" spans="1:84" s="38" customFormat="1" x14ac:dyDescent="0.25">
      <c r="A214" s="45" t="s">
        <v>314</v>
      </c>
      <c r="B214" s="75">
        <f t="shared" si="8"/>
        <v>0</v>
      </c>
      <c r="C214" s="67">
        <v>8</v>
      </c>
      <c r="D214" s="69">
        <v>44431</v>
      </c>
      <c r="E214" s="77">
        <v>16.52</v>
      </c>
      <c r="F214" s="77">
        <f t="shared" si="10"/>
        <v>0</v>
      </c>
      <c r="G214" s="75"/>
      <c r="H214" s="16"/>
      <c r="I214" s="16"/>
      <c r="J214" s="175"/>
      <c r="K214" s="16"/>
      <c r="L214" s="40"/>
      <c r="M214" s="40"/>
      <c r="N214" s="40"/>
      <c r="O214" s="40"/>
      <c r="P214" s="40"/>
      <c r="Q214" s="40"/>
      <c r="R214" s="40"/>
      <c r="S214" s="40"/>
      <c r="T214" s="40"/>
      <c r="U214" s="40"/>
      <c r="V214" s="40"/>
      <c r="W214" s="40"/>
      <c r="X214" s="40"/>
      <c r="Y214" s="40"/>
      <c r="Z214" s="40"/>
      <c r="AA214" s="40"/>
      <c r="AB214" s="40"/>
      <c r="AC214" s="40"/>
      <c r="AD214" s="40"/>
      <c r="AE214" s="40"/>
      <c r="AF214" s="40"/>
      <c r="AG214" s="40"/>
      <c r="AH214" s="40"/>
      <c r="AI214" s="40"/>
      <c r="AJ214" s="40"/>
      <c r="AK214" s="40"/>
      <c r="AL214" s="40"/>
      <c r="AM214" s="40"/>
      <c r="AN214" s="40"/>
      <c r="AO214" s="40"/>
      <c r="AP214" s="40"/>
      <c r="AQ214" s="40"/>
      <c r="AR214" s="40"/>
      <c r="AS214" s="40"/>
      <c r="AT214" s="40"/>
      <c r="AU214" s="40"/>
      <c r="AV214" s="40"/>
      <c r="AW214" s="40"/>
      <c r="AX214" s="40"/>
      <c r="AY214" s="40"/>
      <c r="AZ214" s="40"/>
      <c r="BA214" s="40"/>
      <c r="BB214" s="40"/>
      <c r="BC214" s="40"/>
      <c r="BD214" s="40"/>
      <c r="BE214" s="40"/>
      <c r="BF214" s="40"/>
      <c r="BG214" s="40"/>
      <c r="BH214" s="40"/>
      <c r="BI214" s="40"/>
      <c r="BJ214" s="40"/>
      <c r="BK214" s="40"/>
      <c r="BL214" s="40"/>
      <c r="BM214" s="40"/>
      <c r="BN214" s="40"/>
      <c r="BO214" s="40"/>
      <c r="BP214" s="40"/>
      <c r="BQ214" s="40"/>
      <c r="BR214" s="40"/>
      <c r="BS214" s="40"/>
      <c r="BT214" s="40"/>
      <c r="BU214" s="40"/>
      <c r="BV214" s="40"/>
      <c r="BW214" s="40"/>
      <c r="BX214" s="40"/>
      <c r="BY214" s="40"/>
      <c r="BZ214" s="40"/>
      <c r="CA214" s="40"/>
      <c r="CB214" s="40"/>
      <c r="CC214" s="40"/>
      <c r="CD214" s="40"/>
      <c r="CE214" s="30">
        <f t="shared" si="9"/>
        <v>0</v>
      </c>
      <c r="CF214" s="5"/>
    </row>
    <row r="215" spans="1:84" s="38" customFormat="1" x14ac:dyDescent="0.25">
      <c r="A215" s="45" t="s">
        <v>173</v>
      </c>
      <c r="B215" s="75">
        <f t="shared" si="8"/>
        <v>0</v>
      </c>
      <c r="C215" s="67">
        <v>10</v>
      </c>
      <c r="D215" s="70">
        <v>44532</v>
      </c>
      <c r="E215" s="77">
        <v>21.74</v>
      </c>
      <c r="F215" s="77">
        <f t="shared" si="10"/>
        <v>0</v>
      </c>
      <c r="G215" s="75">
        <v>10</v>
      </c>
      <c r="H215" s="16"/>
      <c r="I215" s="16"/>
      <c r="J215" s="175"/>
      <c r="K215" s="16"/>
      <c r="L215" s="40"/>
      <c r="M215" s="40"/>
      <c r="N215" s="40"/>
      <c r="O215" s="40"/>
      <c r="P215" s="40"/>
      <c r="Q215" s="40"/>
      <c r="R215" s="40"/>
      <c r="S215" s="40"/>
      <c r="T215" s="40">
        <v>10</v>
      </c>
      <c r="U215" s="40"/>
      <c r="V215" s="40"/>
      <c r="W215" s="40"/>
      <c r="X215" s="40"/>
      <c r="Y215" s="40"/>
      <c r="Z215" s="40"/>
      <c r="AA215" s="40"/>
      <c r="AB215" s="40"/>
      <c r="AC215" s="40"/>
      <c r="AD215" s="40"/>
      <c r="AE215" s="40"/>
      <c r="AF215" s="40"/>
      <c r="AG215" s="40"/>
      <c r="AH215" s="40"/>
      <c r="AI215" s="40"/>
      <c r="AJ215" s="40"/>
      <c r="AK215" s="40"/>
      <c r="AL215" s="40"/>
      <c r="AM215" s="40"/>
      <c r="AN215" s="40"/>
      <c r="AO215" s="40"/>
      <c r="AP215" s="40"/>
      <c r="AQ215" s="40"/>
      <c r="AR215" s="40"/>
      <c r="AS215" s="40"/>
      <c r="AT215" s="40"/>
      <c r="AU215" s="40"/>
      <c r="AV215" s="40"/>
      <c r="AW215" s="40"/>
      <c r="AX215" s="40"/>
      <c r="AY215" s="40"/>
      <c r="AZ215" s="40"/>
      <c r="BA215" s="40"/>
      <c r="BB215" s="40"/>
      <c r="BC215" s="40"/>
      <c r="BD215" s="40"/>
      <c r="BE215" s="40"/>
      <c r="BF215" s="40"/>
      <c r="BG215" s="40"/>
      <c r="BH215" s="40"/>
      <c r="BI215" s="40"/>
      <c r="BJ215" s="40"/>
      <c r="BK215" s="40"/>
      <c r="BL215" s="40"/>
      <c r="BM215" s="40"/>
      <c r="BN215" s="40"/>
      <c r="BO215" s="40"/>
      <c r="BP215" s="40"/>
      <c r="BQ215" s="40"/>
      <c r="BR215" s="40"/>
      <c r="BS215" s="40"/>
      <c r="BT215" s="40"/>
      <c r="BU215" s="40"/>
      <c r="BV215" s="40"/>
      <c r="BW215" s="40"/>
      <c r="BX215" s="40"/>
      <c r="BY215" s="40"/>
      <c r="BZ215" s="40"/>
      <c r="CA215" s="40"/>
      <c r="CB215" s="40"/>
      <c r="CC215" s="40"/>
      <c r="CD215" s="40"/>
      <c r="CE215" s="30">
        <f t="shared" si="9"/>
        <v>0</v>
      </c>
      <c r="CF215" s="5"/>
    </row>
    <row r="216" spans="1:84" s="38" customFormat="1" x14ac:dyDescent="0.25">
      <c r="A216" s="45" t="s">
        <v>173</v>
      </c>
      <c r="B216" s="75">
        <f t="shared" si="8"/>
        <v>10</v>
      </c>
      <c r="C216" s="67">
        <v>10</v>
      </c>
      <c r="D216" s="70">
        <v>44557</v>
      </c>
      <c r="E216" s="77">
        <v>21.74</v>
      </c>
      <c r="F216" s="77">
        <f t="shared" si="10"/>
        <v>217.39999999999998</v>
      </c>
      <c r="G216" s="75">
        <v>30</v>
      </c>
      <c r="H216" s="16"/>
      <c r="I216" s="16"/>
      <c r="J216" s="175"/>
      <c r="K216" s="16"/>
      <c r="L216" s="40"/>
      <c r="M216" s="40"/>
      <c r="N216" s="40"/>
      <c r="O216" s="40"/>
      <c r="P216" s="40"/>
      <c r="Q216" s="40"/>
      <c r="R216" s="40"/>
      <c r="S216" s="40">
        <v>10</v>
      </c>
      <c r="T216" s="40">
        <v>10</v>
      </c>
      <c r="U216" s="40"/>
      <c r="V216" s="40"/>
      <c r="W216" s="40"/>
      <c r="X216" s="40"/>
      <c r="Y216" s="40"/>
      <c r="Z216" s="40"/>
      <c r="AA216" s="40"/>
      <c r="AB216" s="40"/>
      <c r="AC216" s="40"/>
      <c r="AD216" s="40"/>
      <c r="AE216" s="40"/>
      <c r="AF216" s="40"/>
      <c r="AG216" s="40"/>
      <c r="AH216" s="40"/>
      <c r="AI216" s="40"/>
      <c r="AJ216" s="40"/>
      <c r="AK216" s="40"/>
      <c r="AL216" s="40"/>
      <c r="AM216" s="40"/>
      <c r="AN216" s="40"/>
      <c r="AO216" s="40"/>
      <c r="AP216" s="40"/>
      <c r="AQ216" s="40"/>
      <c r="AR216" s="40"/>
      <c r="AS216" s="40">
        <v>10</v>
      </c>
      <c r="AT216" s="40"/>
      <c r="AU216" s="40"/>
      <c r="AV216" s="40"/>
      <c r="AW216" s="40"/>
      <c r="AX216" s="40"/>
      <c r="AY216" s="40"/>
      <c r="AZ216" s="40"/>
      <c r="BA216" s="40"/>
      <c r="BB216" s="40"/>
      <c r="BC216" s="40"/>
      <c r="BD216" s="40"/>
      <c r="BE216" s="40"/>
      <c r="BF216" s="40"/>
      <c r="BG216" s="40"/>
      <c r="BH216" s="40"/>
      <c r="BI216" s="40"/>
      <c r="BJ216" s="40"/>
      <c r="BK216" s="40"/>
      <c r="BL216" s="40"/>
      <c r="BM216" s="40"/>
      <c r="BN216" s="40"/>
      <c r="BO216" s="40"/>
      <c r="BP216" s="40"/>
      <c r="BQ216" s="40"/>
      <c r="BR216" s="40"/>
      <c r="BS216" s="40"/>
      <c r="BT216" s="40"/>
      <c r="BU216" s="40"/>
      <c r="BV216" s="40"/>
      <c r="BW216" s="40"/>
      <c r="BX216" s="40"/>
      <c r="BY216" s="40"/>
      <c r="BZ216" s="40"/>
      <c r="CA216" s="40"/>
      <c r="CB216" s="40"/>
      <c r="CC216" s="40"/>
      <c r="CD216" s="40"/>
      <c r="CE216" s="30">
        <f t="shared" si="9"/>
        <v>0</v>
      </c>
      <c r="CF216" s="5"/>
    </row>
    <row r="217" spans="1:84" s="38" customFormat="1" x14ac:dyDescent="0.25">
      <c r="A217" s="45" t="s">
        <v>241</v>
      </c>
      <c r="B217" s="75">
        <f t="shared" si="8"/>
        <v>0</v>
      </c>
      <c r="C217" s="67">
        <v>8</v>
      </c>
      <c r="D217" s="70">
        <v>44431</v>
      </c>
      <c r="E217" s="77">
        <v>33.61</v>
      </c>
      <c r="F217" s="77">
        <f t="shared" si="10"/>
        <v>0</v>
      </c>
      <c r="G217" s="75"/>
      <c r="H217" s="16"/>
      <c r="I217" s="16"/>
      <c r="J217" s="175"/>
      <c r="K217" s="16"/>
      <c r="L217" s="40"/>
      <c r="M217" s="40"/>
      <c r="N217" s="40"/>
      <c r="O217" s="40"/>
      <c r="P217" s="40"/>
      <c r="Q217" s="40"/>
      <c r="R217" s="40"/>
      <c r="S217" s="40"/>
      <c r="T217" s="40"/>
      <c r="U217" s="40"/>
      <c r="V217" s="40"/>
      <c r="W217" s="40"/>
      <c r="X217" s="40"/>
      <c r="Y217" s="40"/>
      <c r="Z217" s="40"/>
      <c r="AA217" s="40"/>
      <c r="AB217" s="40"/>
      <c r="AC217" s="40"/>
      <c r="AD217" s="40"/>
      <c r="AE217" s="40"/>
      <c r="AF217" s="40"/>
      <c r="AG217" s="40"/>
      <c r="AH217" s="40"/>
      <c r="AI217" s="40"/>
      <c r="AJ217" s="40"/>
      <c r="AK217" s="40"/>
      <c r="AL217" s="40"/>
      <c r="AM217" s="40"/>
      <c r="AN217" s="40"/>
      <c r="AO217" s="40"/>
      <c r="AP217" s="40"/>
      <c r="AQ217" s="40"/>
      <c r="AR217" s="40"/>
      <c r="AS217" s="40"/>
      <c r="AT217" s="40"/>
      <c r="AU217" s="40"/>
      <c r="AV217" s="40"/>
      <c r="AW217" s="40"/>
      <c r="AX217" s="40"/>
      <c r="AY217" s="40"/>
      <c r="AZ217" s="40"/>
      <c r="BA217" s="40"/>
      <c r="BB217" s="40"/>
      <c r="BC217" s="40"/>
      <c r="BD217" s="40"/>
      <c r="BE217" s="40"/>
      <c r="BF217" s="40"/>
      <c r="BG217" s="40"/>
      <c r="BH217" s="40"/>
      <c r="BI217" s="40"/>
      <c r="BJ217" s="40"/>
      <c r="BK217" s="40"/>
      <c r="BL217" s="40"/>
      <c r="BM217" s="40"/>
      <c r="BN217" s="40"/>
      <c r="BO217" s="40"/>
      <c r="BP217" s="40"/>
      <c r="BQ217" s="40"/>
      <c r="BR217" s="40"/>
      <c r="BS217" s="40"/>
      <c r="BT217" s="40"/>
      <c r="BU217" s="40"/>
      <c r="BV217" s="40"/>
      <c r="BW217" s="40"/>
      <c r="BX217" s="40"/>
      <c r="BY217" s="40"/>
      <c r="BZ217" s="40"/>
      <c r="CA217" s="40"/>
      <c r="CB217" s="40"/>
      <c r="CC217" s="40"/>
      <c r="CD217" s="40"/>
      <c r="CE217" s="30">
        <f t="shared" si="9"/>
        <v>0</v>
      </c>
      <c r="CF217" s="5"/>
    </row>
    <row r="218" spans="1:84" s="38" customFormat="1" x14ac:dyDescent="0.25">
      <c r="A218" s="45" t="s">
        <v>421</v>
      </c>
      <c r="B218" s="75">
        <f t="shared" si="8"/>
        <v>0</v>
      </c>
      <c r="C218" s="67">
        <v>1</v>
      </c>
      <c r="D218" s="70">
        <v>44431</v>
      </c>
      <c r="E218" s="77">
        <v>20.32</v>
      </c>
      <c r="F218" s="77">
        <f t="shared" si="10"/>
        <v>0</v>
      </c>
      <c r="G218" s="75"/>
      <c r="H218" s="16"/>
      <c r="I218" s="16"/>
      <c r="J218" s="175"/>
      <c r="K218" s="16"/>
      <c r="L218" s="40"/>
      <c r="M218" s="40"/>
      <c r="N218" s="40"/>
      <c r="O218" s="40"/>
      <c r="P218" s="40"/>
      <c r="Q218" s="40"/>
      <c r="R218" s="40"/>
      <c r="S218" s="40"/>
      <c r="T218" s="40"/>
      <c r="U218" s="40"/>
      <c r="V218" s="40"/>
      <c r="W218" s="40"/>
      <c r="X218" s="40"/>
      <c r="Y218" s="40"/>
      <c r="Z218" s="40"/>
      <c r="AA218" s="40"/>
      <c r="AB218" s="40"/>
      <c r="AC218" s="40"/>
      <c r="AD218" s="40"/>
      <c r="AE218" s="40"/>
      <c r="AF218" s="40"/>
      <c r="AG218" s="40"/>
      <c r="AH218" s="40"/>
      <c r="AI218" s="40"/>
      <c r="AJ218" s="40"/>
      <c r="AK218" s="40"/>
      <c r="AL218" s="40"/>
      <c r="AM218" s="40"/>
      <c r="AN218" s="40"/>
      <c r="AO218" s="40"/>
      <c r="AP218" s="40"/>
      <c r="AQ218" s="40"/>
      <c r="AR218" s="40"/>
      <c r="AS218" s="40"/>
      <c r="AT218" s="40"/>
      <c r="AU218" s="40"/>
      <c r="AV218" s="40"/>
      <c r="AW218" s="40"/>
      <c r="AX218" s="40"/>
      <c r="AY218" s="40"/>
      <c r="AZ218" s="40"/>
      <c r="BA218" s="40"/>
      <c r="BB218" s="40"/>
      <c r="BC218" s="40"/>
      <c r="BD218" s="40"/>
      <c r="BE218" s="40"/>
      <c r="BF218" s="40"/>
      <c r="BG218" s="40"/>
      <c r="BH218" s="40"/>
      <c r="BI218" s="40"/>
      <c r="BJ218" s="40"/>
      <c r="BK218" s="40"/>
      <c r="BL218" s="40"/>
      <c r="BM218" s="40"/>
      <c r="BN218" s="40"/>
      <c r="BO218" s="40"/>
      <c r="BP218" s="40"/>
      <c r="BQ218" s="40"/>
      <c r="BR218" s="40"/>
      <c r="BS218" s="40"/>
      <c r="BT218" s="40"/>
      <c r="BU218" s="40"/>
      <c r="BV218" s="40"/>
      <c r="BW218" s="40"/>
      <c r="BX218" s="40"/>
      <c r="BY218" s="40"/>
      <c r="BZ218" s="40"/>
      <c r="CA218" s="40"/>
      <c r="CB218" s="40"/>
      <c r="CC218" s="40"/>
      <c r="CD218" s="40"/>
      <c r="CE218" s="30">
        <f t="shared" si="9"/>
        <v>0</v>
      </c>
      <c r="CF218" s="5"/>
    </row>
    <row r="219" spans="1:84" s="38" customFormat="1" x14ac:dyDescent="0.25">
      <c r="A219" s="45" t="s">
        <v>2</v>
      </c>
      <c r="B219" s="75">
        <f t="shared" si="8"/>
        <v>0</v>
      </c>
      <c r="C219" s="67">
        <v>9</v>
      </c>
      <c r="D219" s="70">
        <v>44494</v>
      </c>
      <c r="E219" s="77">
        <v>20.43</v>
      </c>
      <c r="F219" s="77">
        <f t="shared" si="10"/>
        <v>0</v>
      </c>
      <c r="G219" s="75">
        <v>9</v>
      </c>
      <c r="H219" s="16"/>
      <c r="I219" s="16"/>
      <c r="J219" s="175"/>
      <c r="K219" s="16"/>
      <c r="L219" s="40"/>
      <c r="M219" s="40"/>
      <c r="N219" s="40"/>
      <c r="O219" s="40"/>
      <c r="P219" s="40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0"/>
      <c r="AN219" s="40"/>
      <c r="AO219" s="40"/>
      <c r="AP219" s="40"/>
      <c r="AQ219" s="40"/>
      <c r="AR219" s="40"/>
      <c r="AS219" s="40"/>
      <c r="AT219" s="40"/>
      <c r="AU219" s="40"/>
      <c r="AV219" s="40">
        <v>9</v>
      </c>
      <c r="AW219" s="40"/>
      <c r="AX219" s="40"/>
      <c r="AY219" s="40"/>
      <c r="AZ219" s="40"/>
      <c r="BA219" s="40"/>
      <c r="BB219" s="40"/>
      <c r="BC219" s="40"/>
      <c r="BD219" s="40"/>
      <c r="BE219" s="40"/>
      <c r="BF219" s="40"/>
      <c r="BG219" s="40"/>
      <c r="BH219" s="40"/>
      <c r="BI219" s="40"/>
      <c r="BJ219" s="40"/>
      <c r="BK219" s="40"/>
      <c r="BL219" s="40"/>
      <c r="BM219" s="40"/>
      <c r="BN219" s="40"/>
      <c r="BO219" s="40"/>
      <c r="BP219" s="40"/>
      <c r="BQ219" s="40"/>
      <c r="BR219" s="40"/>
      <c r="BS219" s="40"/>
      <c r="BT219" s="40"/>
      <c r="BU219" s="40"/>
      <c r="BV219" s="40"/>
      <c r="BW219" s="40"/>
      <c r="BX219" s="40"/>
      <c r="BY219" s="40"/>
      <c r="BZ219" s="40"/>
      <c r="CA219" s="40"/>
      <c r="CB219" s="40"/>
      <c r="CC219" s="40"/>
      <c r="CD219" s="40"/>
      <c r="CE219" s="30">
        <f t="shared" si="9"/>
        <v>0</v>
      </c>
      <c r="CF219" s="5"/>
    </row>
    <row r="220" spans="1:84" s="38" customFormat="1" x14ac:dyDescent="0.25">
      <c r="A220" s="45" t="s">
        <v>195</v>
      </c>
      <c r="B220" s="75">
        <f t="shared" si="8"/>
        <v>0</v>
      </c>
      <c r="C220" s="67">
        <v>1</v>
      </c>
      <c r="D220" s="70">
        <v>44585</v>
      </c>
      <c r="E220" s="77">
        <v>20.16</v>
      </c>
      <c r="F220" s="77">
        <f t="shared" si="10"/>
        <v>0</v>
      </c>
      <c r="G220" s="75"/>
      <c r="H220" s="16"/>
      <c r="I220" s="16"/>
      <c r="J220" s="175"/>
      <c r="K220" s="16"/>
      <c r="L220" s="40"/>
      <c r="M220" s="40"/>
      <c r="N220" s="40"/>
      <c r="O220" s="40"/>
      <c r="P220" s="40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0"/>
      <c r="AN220" s="40"/>
      <c r="AO220" s="40"/>
      <c r="AP220" s="40"/>
      <c r="AQ220" s="40"/>
      <c r="AR220" s="40"/>
      <c r="AS220" s="40"/>
      <c r="AT220" s="40"/>
      <c r="AU220" s="40"/>
      <c r="AV220" s="40"/>
      <c r="AW220" s="40"/>
      <c r="AX220" s="40"/>
      <c r="AY220" s="40"/>
      <c r="AZ220" s="40"/>
      <c r="BA220" s="40"/>
      <c r="BB220" s="40"/>
      <c r="BC220" s="40"/>
      <c r="BD220" s="40">
        <v>1</v>
      </c>
      <c r="BE220" s="40"/>
      <c r="BF220" s="40"/>
      <c r="BG220" s="40"/>
      <c r="BH220" s="40"/>
      <c r="BI220" s="40"/>
      <c r="BJ220" s="40"/>
      <c r="BK220" s="40"/>
      <c r="BL220" s="40"/>
      <c r="BM220" s="40"/>
      <c r="BN220" s="40"/>
      <c r="BO220" s="40"/>
      <c r="BP220" s="40"/>
      <c r="BQ220" s="40"/>
      <c r="BR220" s="40"/>
      <c r="BS220" s="40"/>
      <c r="BT220" s="40"/>
      <c r="BU220" s="40"/>
      <c r="BV220" s="40"/>
      <c r="BW220" s="40"/>
      <c r="BX220" s="40"/>
      <c r="BY220" s="40"/>
      <c r="BZ220" s="40"/>
      <c r="CA220" s="40">
        <v>1</v>
      </c>
      <c r="CB220" s="40"/>
      <c r="CC220" s="40"/>
      <c r="CD220" s="40"/>
      <c r="CE220" s="30">
        <f t="shared" si="9"/>
        <v>0</v>
      </c>
      <c r="CF220" s="5"/>
    </row>
    <row r="221" spans="1:84" s="38" customFormat="1" x14ac:dyDescent="0.25">
      <c r="A221" s="45" t="s">
        <v>195</v>
      </c>
      <c r="B221" s="75">
        <f t="shared" si="8"/>
        <v>20</v>
      </c>
      <c r="C221" s="67">
        <v>10</v>
      </c>
      <c r="D221" s="70">
        <v>44410</v>
      </c>
      <c r="E221" s="77">
        <v>18.03</v>
      </c>
      <c r="F221" s="77">
        <f t="shared" si="10"/>
        <v>360.6</v>
      </c>
      <c r="G221" s="75">
        <v>20</v>
      </c>
      <c r="H221" s="16"/>
      <c r="I221" s="16"/>
      <c r="J221" s="175"/>
      <c r="K221" s="16"/>
      <c r="L221" s="40"/>
      <c r="M221" s="40"/>
      <c r="N221" s="40"/>
      <c r="O221" s="40"/>
      <c r="P221" s="40"/>
      <c r="Q221" s="40"/>
      <c r="R221" s="40"/>
      <c r="S221" s="40"/>
      <c r="T221" s="40"/>
      <c r="U221" s="40"/>
      <c r="V221" s="40"/>
      <c r="W221" s="40"/>
      <c r="X221" s="40"/>
      <c r="Y221" s="40"/>
      <c r="Z221" s="40"/>
      <c r="AA221" s="40"/>
      <c r="AB221" s="40"/>
      <c r="AC221" s="40"/>
      <c r="AD221" s="40"/>
      <c r="AE221" s="40"/>
      <c r="AF221" s="40"/>
      <c r="AG221" s="40"/>
      <c r="AH221" s="40"/>
      <c r="AI221" s="40"/>
      <c r="AJ221" s="40"/>
      <c r="AK221" s="40"/>
      <c r="AL221" s="40">
        <v>20</v>
      </c>
      <c r="AM221" s="40"/>
      <c r="AN221" s="40"/>
      <c r="AO221" s="40"/>
      <c r="AP221" s="40"/>
      <c r="AQ221" s="40"/>
      <c r="AR221" s="40"/>
      <c r="AS221" s="40"/>
      <c r="AT221" s="40"/>
      <c r="AU221" s="40"/>
      <c r="AV221" s="40"/>
      <c r="AW221" s="40"/>
      <c r="AX221" s="40"/>
      <c r="AY221" s="40"/>
      <c r="AZ221" s="40"/>
      <c r="BA221" s="40"/>
      <c r="BB221" s="40"/>
      <c r="BC221" s="40"/>
      <c r="BD221" s="40"/>
      <c r="BE221" s="40"/>
      <c r="BF221" s="40"/>
      <c r="BG221" s="40"/>
      <c r="BH221" s="40"/>
      <c r="BI221" s="40"/>
      <c r="BJ221" s="40"/>
      <c r="BK221" s="40"/>
      <c r="BL221" s="40"/>
      <c r="BM221" s="40"/>
      <c r="BN221" s="40"/>
      <c r="BO221" s="40"/>
      <c r="BP221" s="40"/>
      <c r="BQ221" s="40"/>
      <c r="BR221" s="40"/>
      <c r="BS221" s="40"/>
      <c r="BT221" s="40"/>
      <c r="BU221" s="40"/>
      <c r="BV221" s="40"/>
      <c r="BW221" s="40"/>
      <c r="BX221" s="40"/>
      <c r="BY221" s="40"/>
      <c r="BZ221" s="40"/>
      <c r="CA221" s="40"/>
      <c r="CB221" s="40"/>
      <c r="CC221" s="40"/>
      <c r="CD221" s="40"/>
      <c r="CE221" s="30">
        <f t="shared" si="9"/>
        <v>0</v>
      </c>
      <c r="CF221" s="5"/>
    </row>
    <row r="222" spans="1:84" s="38" customFormat="1" x14ac:dyDescent="0.25">
      <c r="A222" s="45" t="s">
        <v>42</v>
      </c>
      <c r="B222" s="75">
        <f t="shared" si="8"/>
        <v>22</v>
      </c>
      <c r="C222" s="67">
        <v>11</v>
      </c>
      <c r="D222" s="69">
        <v>44585</v>
      </c>
      <c r="E222" s="77">
        <v>29.94</v>
      </c>
      <c r="F222" s="77">
        <f t="shared" si="10"/>
        <v>658.68000000000006</v>
      </c>
      <c r="G222" s="75"/>
      <c r="H222" s="16"/>
      <c r="I222" s="16"/>
      <c r="J222" s="175"/>
      <c r="K222" s="16"/>
      <c r="L222" s="40"/>
      <c r="M222" s="40"/>
      <c r="N222" s="40"/>
      <c r="O222" s="40"/>
      <c r="P222" s="40"/>
      <c r="Q222" s="40"/>
      <c r="R222" s="40"/>
      <c r="S222" s="40"/>
      <c r="T222" s="40"/>
      <c r="U222" s="40"/>
      <c r="V222" s="40"/>
      <c r="W222" s="40"/>
      <c r="X222" s="40"/>
      <c r="Y222" s="40"/>
      <c r="Z222" s="40"/>
      <c r="AA222" s="40"/>
      <c r="AB222" s="40"/>
      <c r="AC222" s="40"/>
      <c r="AD222" s="40"/>
      <c r="AE222" s="40"/>
      <c r="AF222" s="40"/>
      <c r="AG222" s="40"/>
      <c r="AH222" s="40"/>
      <c r="AI222" s="40"/>
      <c r="AJ222" s="40"/>
      <c r="AK222" s="40"/>
      <c r="AL222" s="40"/>
      <c r="AM222" s="40"/>
      <c r="AN222" s="40"/>
      <c r="AO222" s="40"/>
      <c r="AP222" s="40"/>
      <c r="AQ222" s="40"/>
      <c r="AR222" s="40"/>
      <c r="AS222" s="40"/>
      <c r="AT222" s="40"/>
      <c r="AU222" s="40"/>
      <c r="AV222" s="40"/>
      <c r="AW222" s="40"/>
      <c r="AX222" s="40"/>
      <c r="AY222" s="40"/>
      <c r="AZ222" s="40"/>
      <c r="BA222" s="40"/>
      <c r="BB222" s="40"/>
      <c r="BC222" s="40"/>
      <c r="BD222" s="40">
        <v>22</v>
      </c>
      <c r="BE222" s="40"/>
      <c r="BF222" s="40"/>
      <c r="BG222" s="40"/>
      <c r="BH222" s="40"/>
      <c r="BI222" s="40"/>
      <c r="BJ222" s="40"/>
      <c r="BK222" s="40"/>
      <c r="BL222" s="40"/>
      <c r="BM222" s="40"/>
      <c r="BN222" s="40"/>
      <c r="BO222" s="40"/>
      <c r="BP222" s="40"/>
      <c r="BQ222" s="40"/>
      <c r="BR222" s="40"/>
      <c r="BS222" s="40"/>
      <c r="BT222" s="40"/>
      <c r="BU222" s="40"/>
      <c r="BV222" s="40"/>
      <c r="BW222" s="40"/>
      <c r="BX222" s="40"/>
      <c r="BY222" s="40"/>
      <c r="BZ222" s="40"/>
      <c r="CA222" s="40"/>
      <c r="CB222" s="40"/>
      <c r="CC222" s="40"/>
      <c r="CD222" s="40"/>
      <c r="CE222" s="30">
        <f t="shared" si="9"/>
        <v>22</v>
      </c>
      <c r="CF222" s="5"/>
    </row>
    <row r="223" spans="1:84" s="38" customFormat="1" x14ac:dyDescent="0.25">
      <c r="A223" s="45" t="s">
        <v>42</v>
      </c>
      <c r="B223" s="75">
        <f t="shared" si="8"/>
        <v>1.1000000000000001</v>
      </c>
      <c r="C223" s="67">
        <v>1.1000000000000001</v>
      </c>
      <c r="D223" s="69">
        <v>44593</v>
      </c>
      <c r="E223" s="77">
        <v>32.03</v>
      </c>
      <c r="F223" s="77">
        <f t="shared" si="10"/>
        <v>35.233000000000004</v>
      </c>
      <c r="G223" s="75"/>
      <c r="H223" s="16"/>
      <c r="I223" s="16"/>
      <c r="J223" s="175"/>
      <c r="K223" s="16"/>
      <c r="L223" s="40"/>
      <c r="M223" s="40"/>
      <c r="N223" s="40"/>
      <c r="O223" s="40"/>
      <c r="P223" s="40"/>
      <c r="Q223" s="40"/>
      <c r="R223" s="40"/>
      <c r="S223" s="40"/>
      <c r="T223" s="40"/>
      <c r="U223" s="40"/>
      <c r="V223" s="40"/>
      <c r="W223" s="40"/>
      <c r="X223" s="40"/>
      <c r="Y223" s="40"/>
      <c r="Z223" s="40"/>
      <c r="AA223" s="40"/>
      <c r="AB223" s="40"/>
      <c r="AC223" s="40"/>
      <c r="AD223" s="40"/>
      <c r="AE223" s="40"/>
      <c r="AF223" s="40"/>
      <c r="AG223" s="40"/>
      <c r="AH223" s="40"/>
      <c r="AI223" s="40"/>
      <c r="AJ223" s="40"/>
      <c r="AK223" s="40"/>
      <c r="AL223" s="40"/>
      <c r="AM223" s="40"/>
      <c r="AN223" s="40"/>
      <c r="AO223" s="40"/>
      <c r="AP223" s="40"/>
      <c r="AQ223" s="40"/>
      <c r="AR223" s="40"/>
      <c r="AS223" s="40"/>
      <c r="AT223" s="40"/>
      <c r="AU223" s="40"/>
      <c r="AV223" s="40"/>
      <c r="AW223" s="40"/>
      <c r="AX223" s="40"/>
      <c r="AY223" s="40"/>
      <c r="AZ223" s="40"/>
      <c r="BA223" s="40"/>
      <c r="BB223" s="40"/>
      <c r="BC223" s="40"/>
      <c r="BD223" s="40"/>
      <c r="BE223" s="40">
        <v>1.1000000000000001</v>
      </c>
      <c r="BF223" s="40"/>
      <c r="BG223" s="40"/>
      <c r="BH223" s="40"/>
      <c r="BI223" s="40"/>
      <c r="BJ223" s="40"/>
      <c r="BK223" s="40"/>
      <c r="BL223" s="40"/>
      <c r="BM223" s="40"/>
      <c r="BN223" s="40"/>
      <c r="BO223" s="40"/>
      <c r="BP223" s="40"/>
      <c r="BQ223" s="40"/>
      <c r="BR223" s="40"/>
      <c r="BS223" s="40"/>
      <c r="BT223" s="40"/>
      <c r="BU223" s="40"/>
      <c r="BV223" s="40"/>
      <c r="BW223" s="40"/>
      <c r="BX223" s="40"/>
      <c r="BY223" s="40"/>
      <c r="BZ223" s="40"/>
      <c r="CA223" s="40"/>
      <c r="CB223" s="40"/>
      <c r="CC223" s="40"/>
      <c r="CD223" s="40"/>
      <c r="CE223" s="30">
        <f t="shared" si="9"/>
        <v>1.1000000000000001</v>
      </c>
      <c r="CF223" s="5"/>
    </row>
    <row r="224" spans="1:84" s="38" customFormat="1" x14ac:dyDescent="0.25">
      <c r="A224" s="45" t="s">
        <v>50</v>
      </c>
      <c r="B224" s="75">
        <f t="shared" si="8"/>
        <v>66</v>
      </c>
      <c r="C224" s="67">
        <v>11</v>
      </c>
      <c r="D224" s="69">
        <v>44564</v>
      </c>
      <c r="E224" s="77">
        <v>23.93</v>
      </c>
      <c r="F224" s="77">
        <f t="shared" si="10"/>
        <v>1579.3799999999999</v>
      </c>
      <c r="G224" s="75">
        <v>11</v>
      </c>
      <c r="H224" s="16"/>
      <c r="I224" s="16"/>
      <c r="J224" s="175"/>
      <c r="K224" s="16"/>
      <c r="L224" s="40"/>
      <c r="M224" s="40"/>
      <c r="N224" s="40"/>
      <c r="O224" s="40"/>
      <c r="P224" s="40"/>
      <c r="Q224" s="40"/>
      <c r="R224" s="40"/>
      <c r="S224" s="40"/>
      <c r="T224" s="40"/>
      <c r="U224" s="40"/>
      <c r="V224" s="40"/>
      <c r="W224" s="40"/>
      <c r="X224" s="40"/>
      <c r="Y224" s="40"/>
      <c r="Z224" s="40"/>
      <c r="AA224" s="40"/>
      <c r="AB224" s="40"/>
      <c r="AC224" s="40"/>
      <c r="AD224" s="40"/>
      <c r="AE224" s="40"/>
      <c r="AF224" s="40"/>
      <c r="AG224" s="40"/>
      <c r="AH224" s="40"/>
      <c r="AI224" s="40"/>
      <c r="AJ224" s="40"/>
      <c r="AK224" s="40"/>
      <c r="AL224" s="40"/>
      <c r="AM224" s="40"/>
      <c r="AN224" s="40"/>
      <c r="AO224" s="40"/>
      <c r="AP224" s="40"/>
      <c r="AQ224" s="40"/>
      <c r="AR224" s="40"/>
      <c r="AS224" s="40"/>
      <c r="AT224" s="40"/>
      <c r="AU224" s="40"/>
      <c r="AV224" s="40"/>
      <c r="AW224" s="40">
        <v>55</v>
      </c>
      <c r="AX224" s="40"/>
      <c r="AY224" s="40"/>
      <c r="AZ224" s="40"/>
      <c r="BA224" s="40"/>
      <c r="BB224" s="40"/>
      <c r="BC224" s="40"/>
      <c r="BD224" s="40"/>
      <c r="BE224" s="40"/>
      <c r="BF224" s="40"/>
      <c r="BG224" s="40"/>
      <c r="BH224" s="40"/>
      <c r="BI224" s="40"/>
      <c r="BJ224" s="40"/>
      <c r="BK224" s="40"/>
      <c r="BL224" s="40"/>
      <c r="BM224" s="40"/>
      <c r="BN224" s="40"/>
      <c r="BO224" s="40"/>
      <c r="BP224" s="40"/>
      <c r="BQ224" s="40"/>
      <c r="BR224" s="40"/>
      <c r="BS224" s="40"/>
      <c r="BT224" s="40"/>
      <c r="BU224" s="40"/>
      <c r="BV224" s="40"/>
      <c r="BW224" s="40"/>
      <c r="BX224" s="40"/>
      <c r="BY224" s="40"/>
      <c r="BZ224" s="40"/>
      <c r="CA224" s="40"/>
      <c r="CB224" s="40"/>
      <c r="CC224" s="40"/>
      <c r="CD224" s="40">
        <v>66</v>
      </c>
      <c r="CE224" s="30">
        <f t="shared" si="9"/>
        <v>0</v>
      </c>
      <c r="CF224" s="5"/>
    </row>
    <row r="225" spans="1:84" s="38" customFormat="1" x14ac:dyDescent="0.25">
      <c r="A225" s="45" t="s">
        <v>50</v>
      </c>
      <c r="B225" s="75">
        <f t="shared" si="8"/>
        <v>33</v>
      </c>
      <c r="C225" s="67">
        <v>11</v>
      </c>
      <c r="D225" s="69">
        <v>44557</v>
      </c>
      <c r="E225" s="77">
        <v>23.95</v>
      </c>
      <c r="F225" s="77">
        <f t="shared" si="10"/>
        <v>790.35</v>
      </c>
      <c r="G225" s="75">
        <v>77</v>
      </c>
      <c r="H225" s="16"/>
      <c r="I225" s="16"/>
      <c r="J225" s="175"/>
      <c r="K225" s="16"/>
      <c r="L225" s="40"/>
      <c r="M225" s="40"/>
      <c r="N225" s="40"/>
      <c r="O225" s="40"/>
      <c r="P225" s="40"/>
      <c r="Q225" s="40"/>
      <c r="R225" s="40"/>
      <c r="S225" s="40"/>
      <c r="T225" s="40"/>
      <c r="U225" s="40"/>
      <c r="V225" s="40"/>
      <c r="W225" s="40"/>
      <c r="X225" s="40"/>
      <c r="Y225" s="40"/>
      <c r="Z225" s="40"/>
      <c r="AA225" s="40">
        <v>11</v>
      </c>
      <c r="AB225" s="40"/>
      <c r="AC225" s="40"/>
      <c r="AD225" s="40"/>
      <c r="AE225" s="40"/>
      <c r="AF225" s="40"/>
      <c r="AG225" s="40"/>
      <c r="AH225" s="40"/>
      <c r="AI225" s="40"/>
      <c r="AJ225" s="40"/>
      <c r="AK225" s="40"/>
      <c r="AL225" s="40"/>
      <c r="AM225" s="40"/>
      <c r="AN225" s="40"/>
      <c r="AO225" s="40"/>
      <c r="AP225" s="40"/>
      <c r="AQ225" s="40"/>
      <c r="AR225" s="40"/>
      <c r="AS225" s="40"/>
      <c r="AT225" s="40"/>
      <c r="AU225" s="40"/>
      <c r="AV225" s="40"/>
      <c r="AW225" s="40"/>
      <c r="AX225" s="40"/>
      <c r="AY225" s="40"/>
      <c r="AZ225" s="40"/>
      <c r="BA225" s="40">
        <v>33</v>
      </c>
      <c r="BB225" s="40"/>
      <c r="BC225" s="40"/>
      <c r="BD225" s="40"/>
      <c r="BE225" s="40"/>
      <c r="BF225" s="40"/>
      <c r="BG225" s="40"/>
      <c r="BH225" s="40"/>
      <c r="BI225" s="40"/>
      <c r="BJ225" s="40"/>
      <c r="BK225" s="40"/>
      <c r="BL225" s="40"/>
      <c r="BM225" s="40"/>
      <c r="BN225" s="40"/>
      <c r="BO225" s="40"/>
      <c r="BP225" s="40"/>
      <c r="BQ225" s="40"/>
      <c r="BR225" s="40"/>
      <c r="BS225" s="40"/>
      <c r="BT225" s="40"/>
      <c r="BU225" s="40"/>
      <c r="BV225" s="40"/>
      <c r="BW225" s="40"/>
      <c r="BX225" s="40"/>
      <c r="BY225" s="40"/>
      <c r="BZ225" s="40"/>
      <c r="CA225" s="40"/>
      <c r="CB225" s="40">
        <v>11</v>
      </c>
      <c r="CC225" s="40"/>
      <c r="CD225" s="40">
        <v>22</v>
      </c>
      <c r="CE225" s="30">
        <f t="shared" si="9"/>
        <v>0</v>
      </c>
      <c r="CF225" s="5"/>
    </row>
    <row r="226" spans="1:84" s="38" customFormat="1" x14ac:dyDescent="0.25">
      <c r="A226" s="45" t="s">
        <v>125</v>
      </c>
      <c r="B226" s="75">
        <f t="shared" si="8"/>
        <v>0</v>
      </c>
      <c r="C226" s="67">
        <v>10</v>
      </c>
      <c r="D226" s="69">
        <v>44249</v>
      </c>
      <c r="E226" s="77">
        <v>27.48</v>
      </c>
      <c r="F226" s="77">
        <f t="shared" si="10"/>
        <v>0</v>
      </c>
      <c r="G226" s="75"/>
      <c r="H226" s="16"/>
      <c r="I226" s="16"/>
      <c r="J226" s="175"/>
      <c r="K226" s="16"/>
      <c r="L226" s="40"/>
      <c r="M226" s="40"/>
      <c r="N226" s="40"/>
      <c r="O226" s="40"/>
      <c r="P226" s="40"/>
      <c r="Q226" s="40"/>
      <c r="R226" s="40"/>
      <c r="S226" s="40"/>
      <c r="T226" s="40"/>
      <c r="U226" s="40"/>
      <c r="V226" s="40"/>
      <c r="W226" s="40"/>
      <c r="X226" s="40"/>
      <c r="Y226" s="40"/>
      <c r="Z226" s="40"/>
      <c r="AA226" s="40"/>
      <c r="AB226" s="40"/>
      <c r="AC226" s="40"/>
      <c r="AD226" s="40"/>
      <c r="AE226" s="40"/>
      <c r="AF226" s="40"/>
      <c r="AG226" s="40"/>
      <c r="AH226" s="40"/>
      <c r="AI226" s="40"/>
      <c r="AJ226" s="40"/>
      <c r="AK226" s="40"/>
      <c r="AL226" s="40"/>
      <c r="AM226" s="40"/>
      <c r="AN226" s="40"/>
      <c r="AO226" s="40"/>
      <c r="AP226" s="40"/>
      <c r="AQ226" s="40"/>
      <c r="AR226" s="40"/>
      <c r="AS226" s="40"/>
      <c r="AT226" s="40"/>
      <c r="AU226" s="40"/>
      <c r="AV226" s="40"/>
      <c r="AW226" s="40"/>
      <c r="AX226" s="40"/>
      <c r="AY226" s="40"/>
      <c r="AZ226" s="40"/>
      <c r="BA226" s="40"/>
      <c r="BB226" s="40"/>
      <c r="BC226" s="40"/>
      <c r="BD226" s="40"/>
      <c r="BE226" s="40"/>
      <c r="BF226" s="40"/>
      <c r="BG226" s="40"/>
      <c r="BH226" s="40"/>
      <c r="BI226" s="40"/>
      <c r="BJ226" s="40"/>
      <c r="BK226" s="40"/>
      <c r="BL226" s="40"/>
      <c r="BM226" s="40"/>
      <c r="BN226" s="40"/>
      <c r="BO226" s="40"/>
      <c r="BP226" s="40"/>
      <c r="BQ226" s="40"/>
      <c r="BR226" s="40"/>
      <c r="BS226" s="40"/>
      <c r="BT226" s="40"/>
      <c r="BU226" s="40"/>
      <c r="BV226" s="40"/>
      <c r="BW226" s="40"/>
      <c r="BX226" s="40"/>
      <c r="BY226" s="40"/>
      <c r="BZ226" s="40"/>
      <c r="CA226" s="40"/>
      <c r="CB226" s="40"/>
      <c r="CC226" s="40"/>
      <c r="CD226" s="40"/>
      <c r="CE226" s="30">
        <f t="shared" si="9"/>
        <v>0</v>
      </c>
      <c r="CF226" s="5"/>
    </row>
    <row r="227" spans="1:84" s="38" customFormat="1" x14ac:dyDescent="0.25">
      <c r="A227" s="45" t="s">
        <v>372</v>
      </c>
      <c r="B227" s="75">
        <f t="shared" si="8"/>
        <v>5</v>
      </c>
      <c r="C227" s="67">
        <v>1</v>
      </c>
      <c r="D227" s="69">
        <v>44503</v>
      </c>
      <c r="E227" s="77">
        <v>27.8</v>
      </c>
      <c r="F227" s="77">
        <f t="shared" si="10"/>
        <v>139</v>
      </c>
      <c r="G227" s="75">
        <v>5</v>
      </c>
      <c r="H227" s="16"/>
      <c r="I227" s="16"/>
      <c r="J227" s="175"/>
      <c r="K227" s="16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40"/>
      <c r="Z227" s="40"/>
      <c r="AA227" s="40"/>
      <c r="AB227" s="40"/>
      <c r="AC227" s="40"/>
      <c r="AD227" s="40"/>
      <c r="AE227" s="40">
        <v>5</v>
      </c>
      <c r="AF227" s="40"/>
      <c r="AG227" s="40"/>
      <c r="AH227" s="40"/>
      <c r="AI227" s="40"/>
      <c r="AJ227" s="40"/>
      <c r="AK227" s="40"/>
      <c r="AL227" s="40"/>
      <c r="AM227" s="40"/>
      <c r="AN227" s="40"/>
      <c r="AO227" s="40"/>
      <c r="AP227" s="40"/>
      <c r="AQ227" s="40"/>
      <c r="AR227" s="40"/>
      <c r="AS227" s="40"/>
      <c r="AT227" s="40"/>
      <c r="AU227" s="40"/>
      <c r="AV227" s="40"/>
      <c r="AW227" s="40"/>
      <c r="AX227" s="40"/>
      <c r="AY227" s="40"/>
      <c r="AZ227" s="40"/>
      <c r="BA227" s="40"/>
      <c r="BB227" s="40"/>
      <c r="BC227" s="40"/>
      <c r="BD227" s="40"/>
      <c r="BE227" s="40"/>
      <c r="BF227" s="40"/>
      <c r="BG227" s="40"/>
      <c r="BH227" s="40"/>
      <c r="BI227" s="40"/>
      <c r="BJ227" s="40"/>
      <c r="BK227" s="40"/>
      <c r="BL227" s="40"/>
      <c r="BM227" s="40"/>
      <c r="BN227" s="40"/>
      <c r="BO227" s="40"/>
      <c r="BP227" s="40"/>
      <c r="BQ227" s="40"/>
      <c r="BR227" s="40"/>
      <c r="BS227" s="40"/>
      <c r="BT227" s="40"/>
      <c r="BU227" s="40"/>
      <c r="BV227" s="40"/>
      <c r="BW227" s="40"/>
      <c r="BX227" s="40"/>
      <c r="BY227" s="40"/>
      <c r="BZ227" s="40"/>
      <c r="CA227" s="40"/>
      <c r="CB227" s="40"/>
      <c r="CC227" s="40"/>
      <c r="CD227" s="40"/>
      <c r="CE227" s="30">
        <f t="shared" si="9"/>
        <v>0</v>
      </c>
      <c r="CF227" s="5"/>
    </row>
    <row r="228" spans="1:84" s="38" customFormat="1" x14ac:dyDescent="0.25">
      <c r="A228" s="45" t="s">
        <v>260</v>
      </c>
      <c r="B228" s="75">
        <f t="shared" si="8"/>
        <v>0</v>
      </c>
      <c r="C228" s="67">
        <v>11</v>
      </c>
      <c r="D228" s="69">
        <v>44585</v>
      </c>
      <c r="E228" s="77">
        <v>18.2</v>
      </c>
      <c r="F228" s="77">
        <f t="shared" si="10"/>
        <v>0</v>
      </c>
      <c r="G228" s="75"/>
      <c r="H228" s="16"/>
      <c r="I228" s="16"/>
      <c r="J228" s="175"/>
      <c r="K228" s="16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40"/>
      <c r="Z228" s="40"/>
      <c r="AA228" s="40"/>
      <c r="AB228" s="40"/>
      <c r="AC228" s="40"/>
      <c r="AD228" s="40"/>
      <c r="AE228" s="40"/>
      <c r="AF228" s="40"/>
      <c r="AG228" s="40"/>
      <c r="AH228" s="40"/>
      <c r="AI228" s="40"/>
      <c r="AJ228" s="40"/>
      <c r="AK228" s="40"/>
      <c r="AL228" s="40"/>
      <c r="AM228" s="40"/>
      <c r="AN228" s="40"/>
      <c r="AO228" s="40"/>
      <c r="AP228" s="40"/>
      <c r="AQ228" s="40"/>
      <c r="AR228" s="40"/>
      <c r="AS228" s="40"/>
      <c r="AT228" s="40"/>
      <c r="AU228" s="40"/>
      <c r="AV228" s="40"/>
      <c r="AW228" s="40"/>
      <c r="AX228" s="40"/>
      <c r="AY228" s="40"/>
      <c r="AZ228" s="40"/>
      <c r="BA228" s="40"/>
      <c r="BB228" s="40"/>
      <c r="BC228" s="40"/>
      <c r="BD228" s="40">
        <v>11</v>
      </c>
      <c r="BE228" s="40"/>
      <c r="BF228" s="40"/>
      <c r="BG228" s="40"/>
      <c r="BH228" s="40"/>
      <c r="BI228" s="40"/>
      <c r="BJ228" s="40"/>
      <c r="BK228" s="40"/>
      <c r="BL228" s="40"/>
      <c r="BM228" s="40"/>
      <c r="BN228" s="40"/>
      <c r="BO228" s="40"/>
      <c r="BP228" s="40"/>
      <c r="BQ228" s="40"/>
      <c r="BR228" s="40"/>
      <c r="BS228" s="40"/>
      <c r="BT228" s="40"/>
      <c r="BU228" s="40">
        <v>11</v>
      </c>
      <c r="BV228" s="40"/>
      <c r="BW228" s="40"/>
      <c r="BX228" s="40"/>
      <c r="BY228" s="40"/>
      <c r="BZ228" s="40"/>
      <c r="CA228" s="40"/>
      <c r="CB228" s="40"/>
      <c r="CC228" s="40"/>
      <c r="CD228" s="40"/>
      <c r="CE228" s="30">
        <f t="shared" si="9"/>
        <v>0</v>
      </c>
      <c r="CF228" s="5"/>
    </row>
    <row r="229" spans="1:84" s="38" customFormat="1" x14ac:dyDescent="0.25">
      <c r="A229" s="45" t="s">
        <v>291</v>
      </c>
      <c r="B229" s="75">
        <f t="shared" si="8"/>
        <v>0</v>
      </c>
      <c r="C229" s="67">
        <v>10</v>
      </c>
      <c r="D229" s="70">
        <v>44543</v>
      </c>
      <c r="E229" s="77">
        <v>42.01</v>
      </c>
      <c r="F229" s="77">
        <f t="shared" si="10"/>
        <v>0</v>
      </c>
      <c r="G229" s="75">
        <v>30</v>
      </c>
      <c r="H229" s="16"/>
      <c r="I229" s="16"/>
      <c r="J229" s="175"/>
      <c r="K229" s="16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40"/>
      <c r="Z229" s="40"/>
      <c r="AA229" s="40"/>
      <c r="AB229" s="40"/>
      <c r="AC229" s="40"/>
      <c r="AD229" s="40"/>
      <c r="AE229" s="40"/>
      <c r="AF229" s="40"/>
      <c r="AG229" s="40"/>
      <c r="AH229" s="40"/>
      <c r="AI229" s="40"/>
      <c r="AJ229" s="40"/>
      <c r="AK229" s="40"/>
      <c r="AL229" s="40"/>
      <c r="AM229" s="40"/>
      <c r="AN229" s="40"/>
      <c r="AO229" s="40"/>
      <c r="AP229" s="40"/>
      <c r="AQ229" s="40"/>
      <c r="AR229" s="40"/>
      <c r="AS229" s="40"/>
      <c r="AT229" s="40"/>
      <c r="AU229" s="40"/>
      <c r="AV229" s="40"/>
      <c r="AW229" s="40"/>
      <c r="AX229" s="40"/>
      <c r="AY229" s="40"/>
      <c r="AZ229" s="40"/>
      <c r="BA229" s="40"/>
      <c r="BB229" s="40">
        <v>30</v>
      </c>
      <c r="BC229" s="40"/>
      <c r="BD229" s="40"/>
      <c r="BE229" s="40"/>
      <c r="BF229" s="40"/>
      <c r="BG229" s="40"/>
      <c r="BH229" s="40"/>
      <c r="BI229" s="40"/>
      <c r="BJ229" s="40"/>
      <c r="BK229" s="40"/>
      <c r="BL229" s="40"/>
      <c r="BM229" s="40"/>
      <c r="BN229" s="40"/>
      <c r="BO229" s="40"/>
      <c r="BP229" s="40"/>
      <c r="BQ229" s="40"/>
      <c r="BR229" s="40"/>
      <c r="BS229" s="40"/>
      <c r="BT229" s="40"/>
      <c r="BU229" s="40"/>
      <c r="BV229" s="40"/>
      <c r="BW229" s="40"/>
      <c r="BX229" s="40"/>
      <c r="BY229" s="40"/>
      <c r="BZ229" s="40"/>
      <c r="CA229" s="40"/>
      <c r="CB229" s="40"/>
      <c r="CC229" s="40"/>
      <c r="CD229" s="40"/>
      <c r="CE229" s="30">
        <f t="shared" si="9"/>
        <v>0</v>
      </c>
      <c r="CF229" s="5"/>
    </row>
    <row r="230" spans="1:84" s="38" customFormat="1" x14ac:dyDescent="0.25">
      <c r="A230" s="45" t="s">
        <v>291</v>
      </c>
      <c r="B230" s="75">
        <f t="shared" si="8"/>
        <v>70</v>
      </c>
      <c r="C230" s="67">
        <v>10</v>
      </c>
      <c r="D230" s="69">
        <v>44564</v>
      </c>
      <c r="E230" s="77">
        <v>42.09</v>
      </c>
      <c r="F230" s="77">
        <f t="shared" si="10"/>
        <v>2946.3</v>
      </c>
      <c r="G230" s="75">
        <v>10</v>
      </c>
      <c r="H230" s="16"/>
      <c r="I230" s="16"/>
      <c r="J230" s="175"/>
      <c r="K230" s="16"/>
      <c r="L230" s="40"/>
      <c r="M230" s="40"/>
      <c r="N230" s="40"/>
      <c r="O230" s="40"/>
      <c r="P230" s="40"/>
      <c r="Q230" s="40"/>
      <c r="R230" s="40"/>
      <c r="S230" s="40"/>
      <c r="T230" s="40"/>
      <c r="U230" s="40"/>
      <c r="V230" s="40"/>
      <c r="W230" s="40"/>
      <c r="X230" s="40"/>
      <c r="Y230" s="40"/>
      <c r="Z230" s="40"/>
      <c r="AA230" s="40"/>
      <c r="AB230" s="40"/>
      <c r="AC230" s="40"/>
      <c r="AD230" s="40"/>
      <c r="AE230" s="40"/>
      <c r="AF230" s="40"/>
      <c r="AG230" s="40"/>
      <c r="AH230" s="40">
        <v>70</v>
      </c>
      <c r="AI230" s="40"/>
      <c r="AJ230" s="40"/>
      <c r="AK230" s="40"/>
      <c r="AL230" s="40"/>
      <c r="AM230" s="40"/>
      <c r="AN230" s="40"/>
      <c r="AO230" s="40"/>
      <c r="AP230" s="40"/>
      <c r="AQ230" s="40"/>
      <c r="AR230" s="40"/>
      <c r="AS230" s="40"/>
      <c r="AT230" s="40"/>
      <c r="AU230" s="40"/>
      <c r="AV230" s="40"/>
      <c r="AW230" s="40">
        <v>60</v>
      </c>
      <c r="AX230" s="40"/>
      <c r="AY230" s="40"/>
      <c r="AZ230" s="40"/>
      <c r="BA230" s="40"/>
      <c r="BB230" s="40"/>
      <c r="BC230" s="40"/>
      <c r="BD230" s="40"/>
      <c r="BE230" s="40"/>
      <c r="BF230" s="40"/>
      <c r="BG230" s="40"/>
      <c r="BH230" s="40"/>
      <c r="BI230" s="40"/>
      <c r="BJ230" s="40"/>
      <c r="BK230" s="40"/>
      <c r="BL230" s="40"/>
      <c r="BM230" s="40"/>
      <c r="BN230" s="40"/>
      <c r="BO230" s="40"/>
      <c r="BP230" s="40"/>
      <c r="BQ230" s="40"/>
      <c r="BR230" s="40"/>
      <c r="BS230" s="40"/>
      <c r="BT230" s="40"/>
      <c r="BU230" s="40"/>
      <c r="BV230" s="40"/>
      <c r="BW230" s="40"/>
      <c r="BX230" s="40"/>
      <c r="BY230" s="40"/>
      <c r="BZ230" s="40"/>
      <c r="CA230" s="40"/>
      <c r="CB230" s="40"/>
      <c r="CC230" s="40"/>
      <c r="CD230" s="40"/>
      <c r="CE230" s="30">
        <f t="shared" si="9"/>
        <v>0</v>
      </c>
      <c r="CF230" s="5"/>
    </row>
    <row r="231" spans="1:84" s="38" customFormat="1" x14ac:dyDescent="0.25">
      <c r="A231" s="45" t="s">
        <v>128</v>
      </c>
      <c r="B231" s="75">
        <f t="shared" si="8"/>
        <v>0</v>
      </c>
      <c r="C231" s="67">
        <v>1.1000000000000001</v>
      </c>
      <c r="D231" s="70">
        <v>44585</v>
      </c>
      <c r="E231" s="77">
        <v>28.39</v>
      </c>
      <c r="F231" s="77">
        <f t="shared" si="10"/>
        <v>0</v>
      </c>
      <c r="G231" s="75"/>
      <c r="H231" s="16"/>
      <c r="I231" s="16"/>
      <c r="J231" s="175"/>
      <c r="K231" s="16"/>
      <c r="L231" s="40"/>
      <c r="M231" s="40"/>
      <c r="N231" s="40"/>
      <c r="O231" s="40"/>
      <c r="P231" s="40"/>
      <c r="Q231" s="40"/>
      <c r="R231" s="40"/>
      <c r="S231" s="40"/>
      <c r="T231" s="40"/>
      <c r="U231" s="40"/>
      <c r="V231" s="40"/>
      <c r="W231" s="40"/>
      <c r="X231" s="40"/>
      <c r="Y231" s="40"/>
      <c r="Z231" s="40"/>
      <c r="AA231" s="40"/>
      <c r="AB231" s="40"/>
      <c r="AC231" s="40"/>
      <c r="AD231" s="40"/>
      <c r="AE231" s="40"/>
      <c r="AF231" s="40"/>
      <c r="AG231" s="40"/>
      <c r="AH231" s="40"/>
      <c r="AI231" s="40"/>
      <c r="AJ231" s="40"/>
      <c r="AK231" s="40"/>
      <c r="AL231" s="40"/>
      <c r="AM231" s="40"/>
      <c r="AN231" s="40"/>
      <c r="AO231" s="40"/>
      <c r="AP231" s="40"/>
      <c r="AQ231" s="40"/>
      <c r="AR231" s="40"/>
      <c r="AS231" s="40"/>
      <c r="AT231" s="40"/>
      <c r="AU231" s="40"/>
      <c r="AV231" s="40"/>
      <c r="AW231" s="40"/>
      <c r="AX231" s="40"/>
      <c r="AY231" s="40"/>
      <c r="AZ231" s="40"/>
      <c r="BA231" s="40"/>
      <c r="BB231" s="40"/>
      <c r="BC231" s="40"/>
      <c r="BD231" s="40">
        <v>3.3</v>
      </c>
      <c r="BE231" s="40"/>
      <c r="BF231" s="40"/>
      <c r="BG231" s="40"/>
      <c r="BH231" s="40"/>
      <c r="BI231" s="40"/>
      <c r="BJ231" s="40"/>
      <c r="BK231" s="40">
        <v>1.1000000000000001</v>
      </c>
      <c r="BL231" s="40"/>
      <c r="BM231" s="40"/>
      <c r="BN231" s="40"/>
      <c r="BO231" s="40"/>
      <c r="BP231" s="40"/>
      <c r="BQ231" s="40"/>
      <c r="BR231" s="40"/>
      <c r="BS231" s="40">
        <v>2.2000000000000002</v>
      </c>
      <c r="BT231" s="40"/>
      <c r="BU231" s="40"/>
      <c r="BV231" s="40"/>
      <c r="BW231" s="40"/>
      <c r="BX231" s="40"/>
      <c r="BY231" s="40"/>
      <c r="BZ231" s="40"/>
      <c r="CA231" s="40"/>
      <c r="CB231" s="40"/>
      <c r="CC231" s="40"/>
      <c r="CD231" s="40"/>
      <c r="CE231" s="30">
        <f t="shared" si="9"/>
        <v>0</v>
      </c>
      <c r="CF231" s="5"/>
    </row>
    <row r="232" spans="1:84" s="38" customFormat="1" x14ac:dyDescent="0.25">
      <c r="A232" s="45" t="s">
        <v>318</v>
      </c>
      <c r="B232" s="75">
        <f t="shared" si="8"/>
        <v>70</v>
      </c>
      <c r="C232" s="67">
        <v>10</v>
      </c>
      <c r="D232" s="70">
        <v>44564</v>
      </c>
      <c r="E232" s="77">
        <v>29.27</v>
      </c>
      <c r="F232" s="77">
        <f t="shared" si="10"/>
        <v>2048.9</v>
      </c>
      <c r="G232" s="75"/>
      <c r="H232" s="16"/>
      <c r="I232" s="16"/>
      <c r="J232" s="175"/>
      <c r="K232" s="16">
        <v>70</v>
      </c>
      <c r="L232" s="40"/>
      <c r="M232" s="40"/>
      <c r="N232" s="40"/>
      <c r="O232" s="40"/>
      <c r="P232" s="40"/>
      <c r="Q232" s="40"/>
      <c r="R232" s="40"/>
      <c r="S232" s="40"/>
      <c r="T232" s="40"/>
      <c r="U232" s="40"/>
      <c r="V232" s="40"/>
      <c r="W232" s="40"/>
      <c r="X232" s="40"/>
      <c r="Y232" s="40"/>
      <c r="Z232" s="40"/>
      <c r="AA232" s="40"/>
      <c r="AB232" s="40"/>
      <c r="AC232" s="40"/>
      <c r="AD232" s="40"/>
      <c r="AE232" s="40"/>
      <c r="AF232" s="40"/>
      <c r="AG232" s="40"/>
      <c r="AH232" s="40"/>
      <c r="AI232" s="40"/>
      <c r="AJ232" s="40"/>
      <c r="AK232" s="40"/>
      <c r="AL232" s="40"/>
      <c r="AM232" s="40"/>
      <c r="AN232" s="40"/>
      <c r="AO232" s="40"/>
      <c r="AP232" s="40"/>
      <c r="AQ232" s="40"/>
      <c r="AR232" s="40"/>
      <c r="AS232" s="40"/>
      <c r="AT232" s="40"/>
      <c r="AU232" s="40"/>
      <c r="AV232" s="40"/>
      <c r="AW232" s="40">
        <v>120</v>
      </c>
      <c r="AX232" s="40"/>
      <c r="AY232" s="40"/>
      <c r="AZ232" s="40"/>
      <c r="BA232" s="40"/>
      <c r="BB232" s="40"/>
      <c r="BC232" s="40"/>
      <c r="BD232" s="40"/>
      <c r="BE232" s="40"/>
      <c r="BF232" s="40"/>
      <c r="BG232" s="40"/>
      <c r="BH232" s="40"/>
      <c r="BI232" s="40"/>
      <c r="BJ232" s="40"/>
      <c r="BK232" s="40"/>
      <c r="BL232" s="40">
        <v>50</v>
      </c>
      <c r="BM232" s="40"/>
      <c r="BN232" s="40"/>
      <c r="BO232" s="40"/>
      <c r="BP232" s="40"/>
      <c r="BQ232" s="40"/>
      <c r="BR232" s="40"/>
      <c r="BS232" s="40"/>
      <c r="BT232" s="40"/>
      <c r="BU232" s="40"/>
      <c r="BV232" s="40"/>
      <c r="BW232" s="40"/>
      <c r="BX232" s="40"/>
      <c r="BY232" s="40"/>
      <c r="BZ232" s="40"/>
      <c r="CA232" s="40"/>
      <c r="CB232" s="40"/>
      <c r="CC232" s="40"/>
      <c r="CD232" s="40"/>
      <c r="CE232" s="30">
        <f t="shared" si="9"/>
        <v>0</v>
      </c>
      <c r="CF232" s="5"/>
    </row>
    <row r="233" spans="1:84" s="38" customFormat="1" x14ac:dyDescent="0.25">
      <c r="A233" s="45" t="s">
        <v>87</v>
      </c>
      <c r="B233" s="75">
        <f t="shared" si="8"/>
        <v>10</v>
      </c>
      <c r="C233" s="67">
        <v>10</v>
      </c>
      <c r="D233" s="70">
        <v>44515</v>
      </c>
      <c r="E233" s="77">
        <v>29.88</v>
      </c>
      <c r="F233" s="77">
        <f t="shared" si="10"/>
        <v>298.8</v>
      </c>
      <c r="G233" s="75">
        <v>10</v>
      </c>
      <c r="H233" s="16"/>
      <c r="I233" s="16"/>
      <c r="J233" s="175"/>
      <c r="K233" s="16"/>
      <c r="L233" s="40"/>
      <c r="M233" s="40"/>
      <c r="N233" s="40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40"/>
      <c r="Z233" s="40"/>
      <c r="AA233" s="40"/>
      <c r="AB233" s="40"/>
      <c r="AC233" s="40"/>
      <c r="AD233" s="40"/>
      <c r="AE233" s="40"/>
      <c r="AF233" s="40"/>
      <c r="AG233" s="40"/>
      <c r="AH233" s="40"/>
      <c r="AI233" s="40"/>
      <c r="AJ233" s="40"/>
      <c r="AK233" s="40"/>
      <c r="AL233" s="40"/>
      <c r="AM233" s="40"/>
      <c r="AN233" s="40"/>
      <c r="AO233" s="40"/>
      <c r="AP233" s="40"/>
      <c r="AQ233" s="40"/>
      <c r="AR233" s="40"/>
      <c r="AS233" s="40"/>
      <c r="AT233" s="40"/>
      <c r="AU233" s="40"/>
      <c r="AV233" s="40"/>
      <c r="AW233" s="40"/>
      <c r="AX233" s="40"/>
      <c r="AY233" s="40"/>
      <c r="AZ233" s="40"/>
      <c r="BA233" s="40"/>
      <c r="BB233" s="40"/>
      <c r="BC233" s="40"/>
      <c r="BD233" s="40"/>
      <c r="BE233" s="40"/>
      <c r="BF233" s="40"/>
      <c r="BG233" s="40"/>
      <c r="BH233" s="40"/>
      <c r="BI233" s="40"/>
      <c r="BJ233" s="40"/>
      <c r="BK233" s="40"/>
      <c r="BL233" s="40"/>
      <c r="BM233" s="40"/>
      <c r="BN233" s="40"/>
      <c r="BO233" s="40"/>
      <c r="BP233" s="40"/>
      <c r="BQ233" s="40"/>
      <c r="BR233" s="40"/>
      <c r="BS233" s="40"/>
      <c r="BT233" s="40"/>
      <c r="BU233" s="40"/>
      <c r="BV233" s="40"/>
      <c r="BW233" s="40"/>
      <c r="BX233" s="40"/>
      <c r="BY233" s="40"/>
      <c r="BZ233" s="40"/>
      <c r="CA233" s="40"/>
      <c r="CB233" s="40"/>
      <c r="CC233" s="40"/>
      <c r="CD233" s="40">
        <v>10</v>
      </c>
      <c r="CE233" s="30">
        <f t="shared" si="9"/>
        <v>0</v>
      </c>
      <c r="CF233" s="5"/>
    </row>
    <row r="234" spans="1:84" s="38" customFormat="1" x14ac:dyDescent="0.25">
      <c r="A234" s="45" t="s">
        <v>87</v>
      </c>
      <c r="B234" s="75">
        <f t="shared" si="8"/>
        <v>10</v>
      </c>
      <c r="C234" s="67">
        <v>10</v>
      </c>
      <c r="D234" s="70">
        <v>44532</v>
      </c>
      <c r="E234" s="77">
        <v>30.09</v>
      </c>
      <c r="F234" s="77">
        <f t="shared" si="10"/>
        <v>300.89999999999998</v>
      </c>
      <c r="G234" s="75">
        <v>10</v>
      </c>
      <c r="H234" s="16"/>
      <c r="I234" s="16"/>
      <c r="J234" s="175"/>
      <c r="K234" s="16"/>
      <c r="L234" s="40"/>
      <c r="M234" s="40"/>
      <c r="N234" s="40"/>
      <c r="O234" s="40"/>
      <c r="P234" s="40"/>
      <c r="Q234" s="40"/>
      <c r="R234" s="40"/>
      <c r="S234" s="40"/>
      <c r="T234" s="40"/>
      <c r="U234" s="40"/>
      <c r="V234" s="40"/>
      <c r="W234" s="40"/>
      <c r="X234" s="40"/>
      <c r="Y234" s="40"/>
      <c r="Z234" s="40"/>
      <c r="AA234" s="40"/>
      <c r="AB234" s="40"/>
      <c r="AC234" s="40"/>
      <c r="AD234" s="40"/>
      <c r="AE234" s="40"/>
      <c r="AF234" s="40"/>
      <c r="AG234" s="40"/>
      <c r="AH234" s="40"/>
      <c r="AI234" s="40"/>
      <c r="AJ234" s="40"/>
      <c r="AK234" s="40"/>
      <c r="AL234" s="40"/>
      <c r="AM234" s="40"/>
      <c r="AN234" s="40"/>
      <c r="AO234" s="40"/>
      <c r="AP234" s="40"/>
      <c r="AQ234" s="40"/>
      <c r="AR234" s="40">
        <v>10</v>
      </c>
      <c r="AS234" s="40"/>
      <c r="AT234" s="40"/>
      <c r="AU234" s="40"/>
      <c r="AV234" s="40"/>
      <c r="AW234" s="40"/>
      <c r="AX234" s="40"/>
      <c r="AY234" s="40"/>
      <c r="AZ234" s="40"/>
      <c r="BA234" s="40"/>
      <c r="BB234" s="40"/>
      <c r="BC234" s="40"/>
      <c r="BD234" s="40"/>
      <c r="BE234" s="40"/>
      <c r="BF234" s="40"/>
      <c r="BG234" s="40"/>
      <c r="BH234" s="40"/>
      <c r="BI234" s="40"/>
      <c r="BJ234" s="40"/>
      <c r="BK234" s="40"/>
      <c r="BL234" s="40"/>
      <c r="BM234" s="40"/>
      <c r="BN234" s="40"/>
      <c r="BO234" s="40"/>
      <c r="BP234" s="40"/>
      <c r="BQ234" s="40"/>
      <c r="BR234" s="40"/>
      <c r="BS234" s="40"/>
      <c r="BT234" s="40"/>
      <c r="BU234" s="40"/>
      <c r="BV234" s="40"/>
      <c r="BW234" s="40"/>
      <c r="BX234" s="40"/>
      <c r="BY234" s="40"/>
      <c r="BZ234" s="40"/>
      <c r="CA234" s="40"/>
      <c r="CB234" s="40"/>
      <c r="CC234" s="40"/>
      <c r="CD234" s="40"/>
      <c r="CE234" s="30">
        <f t="shared" si="9"/>
        <v>0</v>
      </c>
      <c r="CF234" s="5"/>
    </row>
    <row r="235" spans="1:84" s="38" customFormat="1" x14ac:dyDescent="0.25">
      <c r="A235" s="45" t="s">
        <v>87</v>
      </c>
      <c r="B235" s="75">
        <f t="shared" si="8"/>
        <v>0</v>
      </c>
      <c r="C235" s="67">
        <v>1</v>
      </c>
      <c r="D235" s="70">
        <v>44532</v>
      </c>
      <c r="E235" s="77">
        <v>33.549999999999997</v>
      </c>
      <c r="F235" s="77">
        <f t="shared" si="10"/>
        <v>0</v>
      </c>
      <c r="G235" s="75">
        <v>2</v>
      </c>
      <c r="H235" s="16"/>
      <c r="I235" s="16"/>
      <c r="J235" s="175"/>
      <c r="K235" s="16"/>
      <c r="L235" s="40"/>
      <c r="M235" s="40"/>
      <c r="N235" s="40"/>
      <c r="O235" s="40"/>
      <c r="P235" s="40"/>
      <c r="Q235" s="40"/>
      <c r="R235" s="40"/>
      <c r="S235" s="40"/>
      <c r="T235" s="40"/>
      <c r="U235" s="40"/>
      <c r="V235" s="40"/>
      <c r="W235" s="40"/>
      <c r="X235" s="40"/>
      <c r="Y235" s="40"/>
      <c r="Z235" s="40"/>
      <c r="AA235" s="40"/>
      <c r="AB235" s="40"/>
      <c r="AC235" s="40"/>
      <c r="AD235" s="40">
        <v>2</v>
      </c>
      <c r="AE235" s="40"/>
      <c r="AF235" s="40"/>
      <c r="AG235" s="40"/>
      <c r="AH235" s="40"/>
      <c r="AI235" s="40"/>
      <c r="AJ235" s="40"/>
      <c r="AK235" s="40"/>
      <c r="AL235" s="40"/>
      <c r="AM235" s="40"/>
      <c r="AN235" s="40"/>
      <c r="AO235" s="40"/>
      <c r="AP235" s="40"/>
      <c r="AQ235" s="40"/>
      <c r="AR235" s="40"/>
      <c r="AS235" s="40"/>
      <c r="AT235" s="40"/>
      <c r="AU235" s="40"/>
      <c r="AV235" s="40"/>
      <c r="AW235" s="40"/>
      <c r="AX235" s="40"/>
      <c r="AY235" s="40"/>
      <c r="AZ235" s="40"/>
      <c r="BA235" s="40"/>
      <c r="BB235" s="40"/>
      <c r="BC235" s="40"/>
      <c r="BD235" s="40"/>
      <c r="BE235" s="40"/>
      <c r="BF235" s="40"/>
      <c r="BG235" s="40"/>
      <c r="BH235" s="40"/>
      <c r="BI235" s="40"/>
      <c r="BJ235" s="40"/>
      <c r="BK235" s="40"/>
      <c r="BL235" s="40"/>
      <c r="BM235" s="40"/>
      <c r="BN235" s="40"/>
      <c r="BO235" s="40"/>
      <c r="BP235" s="40"/>
      <c r="BQ235" s="40"/>
      <c r="BR235" s="40"/>
      <c r="BS235" s="40"/>
      <c r="BT235" s="40"/>
      <c r="BU235" s="40"/>
      <c r="BV235" s="40"/>
      <c r="BW235" s="40"/>
      <c r="BX235" s="40"/>
      <c r="BY235" s="40"/>
      <c r="BZ235" s="40"/>
      <c r="CA235" s="40"/>
      <c r="CB235" s="40"/>
      <c r="CC235" s="40"/>
      <c r="CD235" s="40"/>
      <c r="CE235" s="30">
        <f t="shared" si="9"/>
        <v>0</v>
      </c>
      <c r="CF235" s="5"/>
    </row>
    <row r="236" spans="1:84" s="38" customFormat="1" x14ac:dyDescent="0.25">
      <c r="A236" s="45" t="s">
        <v>139</v>
      </c>
      <c r="B236" s="75">
        <f t="shared" si="8"/>
        <v>0</v>
      </c>
      <c r="C236" s="67">
        <v>1.1000000000000001</v>
      </c>
      <c r="D236" s="69">
        <v>44585</v>
      </c>
      <c r="E236" s="77">
        <v>23.1</v>
      </c>
      <c r="F236" s="77">
        <f t="shared" si="10"/>
        <v>0</v>
      </c>
      <c r="G236" s="75"/>
      <c r="H236" s="16"/>
      <c r="I236" s="16"/>
      <c r="J236" s="175"/>
      <c r="K236" s="16"/>
      <c r="L236" s="40"/>
      <c r="M236" s="40"/>
      <c r="N236" s="40"/>
      <c r="O236" s="40"/>
      <c r="P236" s="40"/>
      <c r="Q236" s="40"/>
      <c r="R236" s="40"/>
      <c r="S236" s="40"/>
      <c r="T236" s="40"/>
      <c r="U236" s="40"/>
      <c r="V236" s="40"/>
      <c r="W236" s="40"/>
      <c r="X236" s="40"/>
      <c r="Y236" s="40"/>
      <c r="Z236" s="40"/>
      <c r="AA236" s="40"/>
      <c r="AB236" s="40"/>
      <c r="AC236" s="40"/>
      <c r="AD236" s="40"/>
      <c r="AE236" s="40"/>
      <c r="AF236" s="40"/>
      <c r="AG236" s="40"/>
      <c r="AH236" s="40"/>
      <c r="AI236" s="40"/>
      <c r="AJ236" s="40"/>
      <c r="AK236" s="40"/>
      <c r="AL236" s="40"/>
      <c r="AM236" s="40"/>
      <c r="AN236" s="40"/>
      <c r="AO236" s="40"/>
      <c r="AP236" s="40"/>
      <c r="AQ236" s="40"/>
      <c r="AR236" s="40"/>
      <c r="AS236" s="40"/>
      <c r="AT236" s="40"/>
      <c r="AU236" s="40"/>
      <c r="AV236" s="40"/>
      <c r="AW236" s="40"/>
      <c r="AX236" s="40"/>
      <c r="AY236" s="40"/>
      <c r="AZ236" s="40"/>
      <c r="BA236" s="40"/>
      <c r="BB236" s="40"/>
      <c r="BC236" s="40"/>
      <c r="BD236" s="40">
        <v>1.1000000000000001</v>
      </c>
      <c r="BE236" s="40"/>
      <c r="BF236" s="40"/>
      <c r="BG236" s="40"/>
      <c r="BH236" s="40"/>
      <c r="BI236" s="40">
        <v>1.1000000000000001</v>
      </c>
      <c r="BJ236" s="40"/>
      <c r="BK236" s="40"/>
      <c r="BL236" s="40"/>
      <c r="BM236" s="40"/>
      <c r="BN236" s="40"/>
      <c r="BO236" s="40"/>
      <c r="BP236" s="40"/>
      <c r="BQ236" s="40"/>
      <c r="BR236" s="40"/>
      <c r="BS236" s="40"/>
      <c r="BT236" s="40"/>
      <c r="BU236" s="40"/>
      <c r="BV236" s="40"/>
      <c r="BW236" s="40"/>
      <c r="BX236" s="40"/>
      <c r="BY236" s="40"/>
      <c r="BZ236" s="40"/>
      <c r="CA236" s="40"/>
      <c r="CB236" s="40"/>
      <c r="CC236" s="40"/>
      <c r="CD236" s="40"/>
      <c r="CE236" s="30">
        <f t="shared" si="9"/>
        <v>0</v>
      </c>
      <c r="CF236" s="5"/>
    </row>
    <row r="237" spans="1:84" s="38" customFormat="1" x14ac:dyDescent="0.25">
      <c r="A237" s="45" t="s">
        <v>213</v>
      </c>
      <c r="B237" s="75">
        <f t="shared" si="8"/>
        <v>10</v>
      </c>
      <c r="C237" s="67">
        <v>10</v>
      </c>
      <c r="D237" s="70">
        <v>43318</v>
      </c>
      <c r="E237" s="77">
        <v>17.920000000000002</v>
      </c>
      <c r="F237" s="77">
        <f t="shared" si="10"/>
        <v>179.20000000000002</v>
      </c>
      <c r="G237" s="75">
        <v>10</v>
      </c>
      <c r="H237" s="16"/>
      <c r="I237" s="16"/>
      <c r="J237" s="175"/>
      <c r="K237" s="16"/>
      <c r="L237" s="40"/>
      <c r="M237" s="40"/>
      <c r="N237" s="40"/>
      <c r="O237" s="40"/>
      <c r="P237" s="40"/>
      <c r="Q237" s="40"/>
      <c r="R237" s="40"/>
      <c r="S237" s="40"/>
      <c r="T237" s="40"/>
      <c r="U237" s="40"/>
      <c r="V237" s="40"/>
      <c r="W237" s="40"/>
      <c r="X237" s="40"/>
      <c r="Y237" s="40"/>
      <c r="Z237" s="40"/>
      <c r="AA237" s="40"/>
      <c r="AB237" s="40"/>
      <c r="AC237" s="40"/>
      <c r="AD237" s="40"/>
      <c r="AE237" s="40"/>
      <c r="AF237" s="40"/>
      <c r="AG237" s="40"/>
      <c r="AH237" s="40"/>
      <c r="AI237" s="40"/>
      <c r="AJ237" s="40"/>
      <c r="AK237" s="40"/>
      <c r="AL237" s="40"/>
      <c r="AM237" s="40"/>
      <c r="AN237" s="40"/>
      <c r="AO237" s="40"/>
      <c r="AP237" s="40"/>
      <c r="AQ237" s="40"/>
      <c r="AR237" s="40"/>
      <c r="AS237" s="40"/>
      <c r="AT237" s="40"/>
      <c r="AU237" s="40"/>
      <c r="AV237" s="40"/>
      <c r="AW237" s="40"/>
      <c r="AX237" s="40"/>
      <c r="AY237" s="40"/>
      <c r="AZ237" s="40"/>
      <c r="BA237" s="40"/>
      <c r="BB237" s="40"/>
      <c r="BC237" s="40"/>
      <c r="BD237" s="40"/>
      <c r="BE237" s="40"/>
      <c r="BF237" s="40"/>
      <c r="BG237" s="40"/>
      <c r="BH237" s="40"/>
      <c r="BI237" s="40"/>
      <c r="BJ237" s="40"/>
      <c r="BK237" s="40"/>
      <c r="BL237" s="40"/>
      <c r="BM237" s="40"/>
      <c r="BN237" s="40"/>
      <c r="BO237" s="40"/>
      <c r="BP237" s="40"/>
      <c r="BQ237" s="40"/>
      <c r="BR237" s="40"/>
      <c r="BS237" s="40"/>
      <c r="BT237" s="40"/>
      <c r="BU237" s="40"/>
      <c r="BV237" s="40"/>
      <c r="BW237" s="40"/>
      <c r="BX237" s="40"/>
      <c r="BY237" s="40"/>
      <c r="BZ237" s="40"/>
      <c r="CA237" s="40"/>
      <c r="CB237" s="40"/>
      <c r="CC237" s="40"/>
      <c r="CD237" s="40">
        <v>10</v>
      </c>
      <c r="CE237" s="30">
        <f t="shared" si="9"/>
        <v>0</v>
      </c>
      <c r="CF237" s="5"/>
    </row>
    <row r="238" spans="1:84" s="38" customFormat="1" x14ac:dyDescent="0.25">
      <c r="A238" s="45" t="s">
        <v>224</v>
      </c>
      <c r="B238" s="75">
        <f t="shared" si="8"/>
        <v>20</v>
      </c>
      <c r="C238" s="67">
        <v>10</v>
      </c>
      <c r="D238" s="70">
        <v>44494</v>
      </c>
      <c r="E238" s="77">
        <v>27.51</v>
      </c>
      <c r="F238" s="77">
        <f t="shared" si="10"/>
        <v>550.20000000000005</v>
      </c>
      <c r="G238" s="75">
        <v>20</v>
      </c>
      <c r="H238" s="16"/>
      <c r="I238" s="16"/>
      <c r="J238" s="175"/>
      <c r="K238" s="172">
        <v>20</v>
      </c>
      <c r="L238" s="40"/>
      <c r="M238" s="40"/>
      <c r="N238" s="40"/>
      <c r="O238" s="40"/>
      <c r="P238" s="40"/>
      <c r="Q238" s="40"/>
      <c r="R238" s="40"/>
      <c r="S238" s="40"/>
      <c r="T238" s="40"/>
      <c r="U238" s="40"/>
      <c r="V238" s="40"/>
      <c r="W238" s="40"/>
      <c r="X238" s="40"/>
      <c r="Y238" s="40"/>
      <c r="Z238" s="40"/>
      <c r="AA238" s="40"/>
      <c r="AB238" s="40"/>
      <c r="AC238" s="40"/>
      <c r="AD238" s="40"/>
      <c r="AE238" s="40"/>
      <c r="AF238" s="40"/>
      <c r="AG238" s="40"/>
      <c r="AH238" s="40"/>
      <c r="AI238" s="40"/>
      <c r="AJ238" s="40"/>
      <c r="AK238" s="40"/>
      <c r="AL238" s="40"/>
      <c r="AM238" s="40"/>
      <c r="AN238" s="40"/>
      <c r="AO238" s="40"/>
      <c r="AP238" s="40"/>
      <c r="AQ238" s="40"/>
      <c r="AR238" s="40"/>
      <c r="AS238" s="40"/>
      <c r="AT238" s="40"/>
      <c r="AU238" s="40"/>
      <c r="AV238" s="40"/>
      <c r="AW238" s="40"/>
      <c r="AX238" s="40"/>
      <c r="AY238" s="40"/>
      <c r="AZ238" s="40"/>
      <c r="BA238" s="40"/>
      <c r="BB238" s="40"/>
      <c r="BC238" s="40"/>
      <c r="BD238" s="40"/>
      <c r="BE238" s="40"/>
      <c r="BF238" s="40"/>
      <c r="BG238" s="40"/>
      <c r="BH238" s="40"/>
      <c r="BI238" s="40"/>
      <c r="BJ238" s="40"/>
      <c r="BK238" s="40"/>
      <c r="BL238" s="40"/>
      <c r="BM238" s="40"/>
      <c r="BN238" s="40"/>
      <c r="BO238" s="40"/>
      <c r="BP238" s="40"/>
      <c r="BQ238" s="40"/>
      <c r="BR238" s="40"/>
      <c r="BS238" s="40"/>
      <c r="BT238" s="40"/>
      <c r="BU238" s="40"/>
      <c r="BV238" s="40"/>
      <c r="BW238" s="40"/>
      <c r="BX238" s="40"/>
      <c r="BY238" s="40"/>
      <c r="BZ238" s="40"/>
      <c r="CA238" s="40"/>
      <c r="CB238" s="40"/>
      <c r="CC238" s="40"/>
      <c r="CD238" s="40"/>
      <c r="CE238" s="30">
        <f t="shared" si="9"/>
        <v>0</v>
      </c>
      <c r="CF238" s="5"/>
    </row>
    <row r="239" spans="1:84" s="38" customFormat="1" x14ac:dyDescent="0.25">
      <c r="A239" s="45" t="s">
        <v>224</v>
      </c>
      <c r="B239" s="75">
        <f t="shared" si="8"/>
        <v>10</v>
      </c>
      <c r="C239" s="67">
        <v>10</v>
      </c>
      <c r="D239" s="70">
        <v>44585</v>
      </c>
      <c r="E239" s="77">
        <v>26.94</v>
      </c>
      <c r="F239" s="77">
        <f t="shared" si="10"/>
        <v>269.40000000000003</v>
      </c>
      <c r="G239" s="75"/>
      <c r="H239" s="16"/>
      <c r="I239" s="16"/>
      <c r="J239" s="175"/>
      <c r="K239" s="172">
        <v>10</v>
      </c>
      <c r="L239" s="40"/>
      <c r="M239" s="40"/>
      <c r="N239" s="40"/>
      <c r="O239" s="40"/>
      <c r="P239" s="40"/>
      <c r="Q239" s="40"/>
      <c r="R239" s="40"/>
      <c r="S239" s="40"/>
      <c r="T239" s="40"/>
      <c r="U239" s="40"/>
      <c r="V239" s="40"/>
      <c r="W239" s="40"/>
      <c r="X239" s="40"/>
      <c r="Y239" s="40"/>
      <c r="Z239" s="40"/>
      <c r="AA239" s="40"/>
      <c r="AB239" s="40"/>
      <c r="AC239" s="40"/>
      <c r="AD239" s="40"/>
      <c r="AE239" s="40"/>
      <c r="AF239" s="40"/>
      <c r="AG239" s="40"/>
      <c r="AH239" s="40"/>
      <c r="AI239" s="40"/>
      <c r="AJ239" s="40"/>
      <c r="AK239" s="40"/>
      <c r="AL239" s="40"/>
      <c r="AM239" s="40"/>
      <c r="AN239" s="40"/>
      <c r="AO239" s="40"/>
      <c r="AP239" s="40"/>
      <c r="AQ239" s="40"/>
      <c r="AR239" s="40"/>
      <c r="AS239" s="40"/>
      <c r="AT239" s="40"/>
      <c r="AU239" s="40"/>
      <c r="AV239" s="40"/>
      <c r="AW239" s="40"/>
      <c r="AX239" s="40"/>
      <c r="AY239" s="40"/>
      <c r="AZ239" s="40"/>
      <c r="BA239" s="40"/>
      <c r="BB239" s="40"/>
      <c r="BC239" s="40"/>
      <c r="BD239" s="40">
        <v>10</v>
      </c>
      <c r="BE239" s="40"/>
      <c r="BF239" s="40"/>
      <c r="BG239" s="40"/>
      <c r="BH239" s="40"/>
      <c r="BI239" s="40"/>
      <c r="BJ239" s="40"/>
      <c r="BK239" s="40"/>
      <c r="BL239" s="40"/>
      <c r="BM239" s="40"/>
      <c r="BN239" s="40"/>
      <c r="BO239" s="40"/>
      <c r="BP239" s="40"/>
      <c r="BQ239" s="40"/>
      <c r="BR239" s="40"/>
      <c r="BS239" s="40"/>
      <c r="BT239" s="40"/>
      <c r="BU239" s="40"/>
      <c r="BV239" s="40"/>
      <c r="BW239" s="40"/>
      <c r="BX239" s="40"/>
      <c r="BY239" s="40"/>
      <c r="BZ239" s="40"/>
      <c r="CA239" s="40"/>
      <c r="CB239" s="40"/>
      <c r="CC239" s="40"/>
      <c r="CD239" s="40"/>
      <c r="CE239" s="30">
        <f t="shared" si="9"/>
        <v>0</v>
      </c>
      <c r="CF239" s="5"/>
    </row>
    <row r="240" spans="1:84" s="38" customFormat="1" x14ac:dyDescent="0.25">
      <c r="A240" s="45" t="s">
        <v>361</v>
      </c>
      <c r="B240" s="75">
        <f t="shared" si="8"/>
        <v>0</v>
      </c>
      <c r="C240" s="67">
        <v>1</v>
      </c>
      <c r="D240" s="70">
        <v>44298</v>
      </c>
      <c r="E240" s="77">
        <v>28.82</v>
      </c>
      <c r="F240" s="77">
        <f t="shared" si="10"/>
        <v>0</v>
      </c>
      <c r="G240" s="75"/>
      <c r="H240" s="16"/>
      <c r="I240" s="16"/>
      <c r="J240" s="175"/>
      <c r="K240" s="16"/>
      <c r="L240" s="40"/>
      <c r="M240" s="40"/>
      <c r="N240" s="40"/>
      <c r="O240" s="40"/>
      <c r="P240" s="40"/>
      <c r="Q240" s="40"/>
      <c r="R240" s="40"/>
      <c r="S240" s="40"/>
      <c r="T240" s="40"/>
      <c r="U240" s="40"/>
      <c r="V240" s="40"/>
      <c r="W240" s="40"/>
      <c r="X240" s="40"/>
      <c r="Y240" s="40"/>
      <c r="Z240" s="40"/>
      <c r="AA240" s="40"/>
      <c r="AB240" s="40"/>
      <c r="AC240" s="40"/>
      <c r="AD240" s="40"/>
      <c r="AE240" s="40"/>
      <c r="AF240" s="40"/>
      <c r="AG240" s="40"/>
      <c r="AH240" s="40"/>
      <c r="AI240" s="40"/>
      <c r="AJ240" s="40"/>
      <c r="AK240" s="40"/>
      <c r="AL240" s="40"/>
      <c r="AM240" s="40"/>
      <c r="AN240" s="40"/>
      <c r="AO240" s="40"/>
      <c r="AP240" s="40"/>
      <c r="AQ240" s="40"/>
      <c r="AR240" s="40"/>
      <c r="AS240" s="40"/>
      <c r="AT240" s="40"/>
      <c r="AU240" s="40"/>
      <c r="AV240" s="40"/>
      <c r="AW240" s="40"/>
      <c r="AX240" s="40"/>
      <c r="AY240" s="40"/>
      <c r="AZ240" s="40"/>
      <c r="BA240" s="40"/>
      <c r="BB240" s="40"/>
      <c r="BC240" s="40"/>
      <c r="BD240" s="40"/>
      <c r="BE240" s="40"/>
      <c r="BF240" s="40"/>
      <c r="BG240" s="40"/>
      <c r="BH240" s="40"/>
      <c r="BI240" s="40"/>
      <c r="BJ240" s="40"/>
      <c r="BK240" s="40"/>
      <c r="BL240" s="40"/>
      <c r="BM240" s="40"/>
      <c r="BN240" s="40"/>
      <c r="BO240" s="40"/>
      <c r="BP240" s="40"/>
      <c r="BQ240" s="40"/>
      <c r="BR240" s="40"/>
      <c r="BS240" s="40"/>
      <c r="BT240" s="40"/>
      <c r="BU240" s="40"/>
      <c r="BV240" s="40"/>
      <c r="BW240" s="40"/>
      <c r="BX240" s="40"/>
      <c r="BY240" s="40"/>
      <c r="BZ240" s="40"/>
      <c r="CA240" s="40"/>
      <c r="CB240" s="40"/>
      <c r="CC240" s="40"/>
      <c r="CD240" s="40"/>
      <c r="CE240" s="30">
        <f t="shared" si="9"/>
        <v>0</v>
      </c>
      <c r="CF240" s="5"/>
    </row>
    <row r="241" spans="1:84" s="38" customFormat="1" ht="13.95" customHeight="1" x14ac:dyDescent="0.25">
      <c r="A241" s="45" t="s">
        <v>161</v>
      </c>
      <c r="B241" s="75">
        <f t="shared" si="8"/>
        <v>0</v>
      </c>
      <c r="C241" s="67">
        <v>1</v>
      </c>
      <c r="D241" s="69">
        <v>44585</v>
      </c>
      <c r="E241" s="77">
        <v>32.869999999999997</v>
      </c>
      <c r="F241" s="77">
        <f t="shared" si="10"/>
        <v>0</v>
      </c>
      <c r="G241" s="75">
        <v>2</v>
      </c>
      <c r="H241" s="16"/>
      <c r="I241" s="16"/>
      <c r="J241" s="175"/>
      <c r="K241" s="16"/>
      <c r="L241" s="40"/>
      <c r="M241" s="40"/>
      <c r="N241" s="40"/>
      <c r="O241" s="40"/>
      <c r="P241" s="40"/>
      <c r="Q241" s="40"/>
      <c r="R241" s="40"/>
      <c r="S241" s="40"/>
      <c r="T241" s="40"/>
      <c r="U241" s="40"/>
      <c r="V241" s="40"/>
      <c r="W241" s="40"/>
      <c r="X241" s="40"/>
      <c r="Y241" s="40"/>
      <c r="Z241" s="40"/>
      <c r="AA241" s="40"/>
      <c r="AB241" s="40"/>
      <c r="AC241" s="40"/>
      <c r="AD241" s="40"/>
      <c r="AE241" s="40"/>
      <c r="AF241" s="40"/>
      <c r="AG241" s="40"/>
      <c r="AH241" s="40"/>
      <c r="AI241" s="40"/>
      <c r="AJ241" s="40">
        <v>3</v>
      </c>
      <c r="AK241" s="40"/>
      <c r="AL241" s="40"/>
      <c r="AM241" s="40"/>
      <c r="AN241" s="40"/>
      <c r="AO241" s="40"/>
      <c r="AP241" s="40"/>
      <c r="AQ241" s="40"/>
      <c r="AR241" s="40"/>
      <c r="AS241" s="40"/>
      <c r="AT241" s="40"/>
      <c r="AU241" s="40"/>
      <c r="AV241" s="40"/>
      <c r="AW241" s="40"/>
      <c r="AX241" s="40"/>
      <c r="AY241" s="40"/>
      <c r="AZ241" s="40"/>
      <c r="BA241" s="40"/>
      <c r="BB241" s="40"/>
      <c r="BC241" s="40"/>
      <c r="BD241" s="40">
        <v>2</v>
      </c>
      <c r="BE241" s="40"/>
      <c r="BF241" s="40"/>
      <c r="BG241" s="40"/>
      <c r="BH241" s="40"/>
      <c r="BI241" s="40">
        <v>1</v>
      </c>
      <c r="BJ241" s="40"/>
      <c r="BK241" s="40"/>
      <c r="BL241" s="40"/>
      <c r="BM241" s="40"/>
      <c r="BN241" s="40"/>
      <c r="BO241" s="40"/>
      <c r="BP241" s="40"/>
      <c r="BQ241" s="40"/>
      <c r="BR241" s="40"/>
      <c r="BS241" s="40"/>
      <c r="BT241" s="40"/>
      <c r="BU241" s="40"/>
      <c r="BV241" s="40"/>
      <c r="BW241" s="40"/>
      <c r="BX241" s="40"/>
      <c r="BY241" s="40"/>
      <c r="BZ241" s="40"/>
      <c r="CA241" s="40"/>
      <c r="CB241" s="40"/>
      <c r="CC241" s="40"/>
      <c r="CD241" s="40"/>
      <c r="CE241" s="30">
        <f t="shared" si="9"/>
        <v>0</v>
      </c>
      <c r="CF241" s="5"/>
    </row>
    <row r="242" spans="1:84" s="38" customFormat="1" x14ac:dyDescent="0.25">
      <c r="A242" s="45" t="s">
        <v>461</v>
      </c>
      <c r="B242" s="75">
        <f t="shared" si="8"/>
        <v>0</v>
      </c>
      <c r="C242" s="67">
        <v>10</v>
      </c>
      <c r="D242" s="69">
        <v>44532</v>
      </c>
      <c r="E242" s="77">
        <v>28.74</v>
      </c>
      <c r="F242" s="77">
        <f t="shared" si="10"/>
        <v>0</v>
      </c>
      <c r="G242" s="75">
        <v>20</v>
      </c>
      <c r="H242" s="16"/>
      <c r="I242" s="16"/>
      <c r="J242" s="175"/>
      <c r="K242" s="16"/>
      <c r="L242" s="40"/>
      <c r="M242" s="40"/>
      <c r="N242" s="40"/>
      <c r="O242" s="40"/>
      <c r="P242" s="40"/>
      <c r="Q242" s="40"/>
      <c r="R242" s="40"/>
      <c r="S242" s="40"/>
      <c r="T242" s="40"/>
      <c r="U242" s="40"/>
      <c r="V242" s="40"/>
      <c r="W242" s="40"/>
      <c r="X242" s="40"/>
      <c r="Y242" s="40"/>
      <c r="Z242" s="40"/>
      <c r="AA242" s="40"/>
      <c r="AB242" s="40"/>
      <c r="AC242" s="40"/>
      <c r="AD242" s="40"/>
      <c r="AE242" s="40"/>
      <c r="AF242" s="40"/>
      <c r="AG242" s="40"/>
      <c r="AH242" s="40"/>
      <c r="AI242" s="40"/>
      <c r="AJ242" s="40"/>
      <c r="AK242" s="40"/>
      <c r="AL242" s="40"/>
      <c r="AM242" s="40"/>
      <c r="AN242" s="40"/>
      <c r="AO242" s="40"/>
      <c r="AP242" s="40"/>
      <c r="AQ242" s="40"/>
      <c r="AR242" s="40"/>
      <c r="AS242" s="40"/>
      <c r="AT242" s="40">
        <v>20</v>
      </c>
      <c r="AU242" s="40"/>
      <c r="AV242" s="40"/>
      <c r="AW242" s="40"/>
      <c r="AX242" s="40"/>
      <c r="AY242" s="40"/>
      <c r="AZ242" s="40"/>
      <c r="BA242" s="40"/>
      <c r="BB242" s="40"/>
      <c r="BC242" s="40"/>
      <c r="BD242" s="40"/>
      <c r="BE242" s="40"/>
      <c r="BF242" s="40"/>
      <c r="BG242" s="40"/>
      <c r="BH242" s="40"/>
      <c r="BI242" s="40"/>
      <c r="BJ242" s="40"/>
      <c r="BK242" s="40"/>
      <c r="BL242" s="40"/>
      <c r="BM242" s="40"/>
      <c r="BN242" s="40"/>
      <c r="BO242" s="40"/>
      <c r="BP242" s="40"/>
      <c r="BQ242" s="40"/>
      <c r="BR242" s="40"/>
      <c r="BS242" s="40"/>
      <c r="BT242" s="40"/>
      <c r="BU242" s="40"/>
      <c r="BV242" s="40"/>
      <c r="BW242" s="40"/>
      <c r="BX242" s="40"/>
      <c r="BY242" s="40"/>
      <c r="BZ242" s="40"/>
      <c r="CA242" s="40"/>
      <c r="CB242" s="40"/>
      <c r="CC242" s="40"/>
      <c r="CD242" s="40"/>
      <c r="CE242" s="30">
        <f t="shared" si="9"/>
        <v>0</v>
      </c>
      <c r="CF242" s="5"/>
    </row>
    <row r="243" spans="1:84" s="38" customFormat="1" x14ac:dyDescent="0.25">
      <c r="A243" s="45" t="s">
        <v>451</v>
      </c>
      <c r="B243" s="75">
        <f t="shared" si="8"/>
        <v>0</v>
      </c>
      <c r="C243" s="67">
        <v>10</v>
      </c>
      <c r="D243" s="69">
        <v>44298</v>
      </c>
      <c r="E243" s="77">
        <v>23.35</v>
      </c>
      <c r="F243" s="77">
        <f t="shared" si="10"/>
        <v>0</v>
      </c>
      <c r="G243" s="75"/>
      <c r="H243" s="16"/>
      <c r="I243" s="16"/>
      <c r="J243" s="175"/>
      <c r="K243" s="16"/>
      <c r="L243" s="40"/>
      <c r="M243" s="40"/>
      <c r="N243" s="40"/>
      <c r="O243" s="40"/>
      <c r="P243" s="40"/>
      <c r="Q243" s="40"/>
      <c r="R243" s="40"/>
      <c r="S243" s="40"/>
      <c r="T243" s="40"/>
      <c r="U243" s="40"/>
      <c r="V243" s="40"/>
      <c r="W243" s="40"/>
      <c r="X243" s="40"/>
      <c r="Y243" s="40"/>
      <c r="Z243" s="40"/>
      <c r="AA243" s="40"/>
      <c r="AB243" s="40"/>
      <c r="AC243" s="40"/>
      <c r="AD243" s="40"/>
      <c r="AE243" s="40"/>
      <c r="AF243" s="40"/>
      <c r="AG243" s="40"/>
      <c r="AH243" s="40"/>
      <c r="AI243" s="40"/>
      <c r="AJ243" s="40"/>
      <c r="AK243" s="40"/>
      <c r="AL243" s="40"/>
      <c r="AM243" s="40"/>
      <c r="AN243" s="40"/>
      <c r="AO243" s="40"/>
      <c r="AP243" s="40"/>
      <c r="AQ243" s="40"/>
      <c r="AR243" s="40"/>
      <c r="AS243" s="40"/>
      <c r="AT243" s="40"/>
      <c r="AU243" s="40"/>
      <c r="AV243" s="40"/>
      <c r="AW243" s="40"/>
      <c r="AX243" s="40"/>
      <c r="AY243" s="40"/>
      <c r="AZ243" s="40"/>
      <c r="BA243" s="40"/>
      <c r="BB243" s="40"/>
      <c r="BC243" s="40"/>
      <c r="BD243" s="40"/>
      <c r="BE243" s="40"/>
      <c r="BF243" s="40"/>
      <c r="BG243" s="40"/>
      <c r="BH243" s="40"/>
      <c r="BI243" s="40"/>
      <c r="BJ243" s="40"/>
      <c r="BK243" s="40"/>
      <c r="BL243" s="40"/>
      <c r="BM243" s="40"/>
      <c r="BN243" s="40"/>
      <c r="BO243" s="40"/>
      <c r="BP243" s="40"/>
      <c r="BQ243" s="40"/>
      <c r="BR243" s="40"/>
      <c r="BS243" s="40"/>
      <c r="BT243" s="40"/>
      <c r="BU243" s="40"/>
      <c r="BV243" s="40"/>
      <c r="BW243" s="40"/>
      <c r="BX243" s="40"/>
      <c r="BY243" s="40"/>
      <c r="BZ243" s="40"/>
      <c r="CA243" s="40"/>
      <c r="CB243" s="40"/>
      <c r="CC243" s="40"/>
      <c r="CD243" s="40"/>
      <c r="CE243" s="30">
        <f t="shared" si="9"/>
        <v>0</v>
      </c>
      <c r="CF243" s="5"/>
    </row>
    <row r="244" spans="1:84" s="38" customFormat="1" x14ac:dyDescent="0.25">
      <c r="A244" s="45" t="s">
        <v>174</v>
      </c>
      <c r="B244" s="75">
        <f t="shared" si="8"/>
        <v>20</v>
      </c>
      <c r="C244" s="67">
        <v>10</v>
      </c>
      <c r="D244" s="69">
        <v>44593</v>
      </c>
      <c r="E244" s="77">
        <v>19.739999999999998</v>
      </c>
      <c r="F244" s="77">
        <f t="shared" si="10"/>
        <v>394.79999999999995</v>
      </c>
      <c r="G244" s="75"/>
      <c r="H244" s="16"/>
      <c r="I244" s="16"/>
      <c r="J244" s="175"/>
      <c r="K244" s="16"/>
      <c r="L244" s="40"/>
      <c r="M244" s="40"/>
      <c r="N244" s="40"/>
      <c r="O244" s="40"/>
      <c r="P244" s="40"/>
      <c r="Q244" s="40"/>
      <c r="R244" s="40"/>
      <c r="S244" s="40"/>
      <c r="T244" s="40"/>
      <c r="U244" s="40"/>
      <c r="V244" s="40"/>
      <c r="W244" s="40"/>
      <c r="X244" s="40"/>
      <c r="Y244" s="40"/>
      <c r="Z244" s="40"/>
      <c r="AA244" s="40"/>
      <c r="AB244" s="40"/>
      <c r="AC244" s="40"/>
      <c r="AD244" s="40"/>
      <c r="AE244" s="40"/>
      <c r="AF244" s="40"/>
      <c r="AG244" s="40"/>
      <c r="AH244" s="40"/>
      <c r="AI244" s="40"/>
      <c r="AJ244" s="40"/>
      <c r="AK244" s="40"/>
      <c r="AL244" s="40"/>
      <c r="AM244" s="40"/>
      <c r="AN244" s="40"/>
      <c r="AO244" s="40"/>
      <c r="AP244" s="40"/>
      <c r="AQ244" s="40"/>
      <c r="AR244" s="40"/>
      <c r="AS244" s="40"/>
      <c r="AT244" s="40"/>
      <c r="AU244" s="40"/>
      <c r="AV244" s="40"/>
      <c r="AW244" s="40"/>
      <c r="AX244" s="40"/>
      <c r="AY244" s="40"/>
      <c r="AZ244" s="40"/>
      <c r="BA244" s="40"/>
      <c r="BB244" s="40"/>
      <c r="BC244" s="40"/>
      <c r="BD244" s="40">
        <v>30</v>
      </c>
      <c r="BE244" s="40">
        <v>20</v>
      </c>
      <c r="BF244" s="40"/>
      <c r="BG244" s="40"/>
      <c r="BH244" s="40"/>
      <c r="BI244" s="40"/>
      <c r="BJ244" s="40"/>
      <c r="BK244" s="40"/>
      <c r="BL244" s="40"/>
      <c r="BM244" s="40">
        <v>30</v>
      </c>
      <c r="BN244" s="40"/>
      <c r="BO244" s="40"/>
      <c r="BP244" s="40"/>
      <c r="BQ244" s="40"/>
      <c r="BR244" s="40"/>
      <c r="BS244" s="40"/>
      <c r="BT244" s="40"/>
      <c r="BU244" s="40"/>
      <c r="BV244" s="40"/>
      <c r="BW244" s="40"/>
      <c r="BX244" s="40"/>
      <c r="BY244" s="40"/>
      <c r="BZ244" s="40"/>
      <c r="CA244" s="40"/>
      <c r="CB244" s="40"/>
      <c r="CC244" s="40"/>
      <c r="CD244" s="40"/>
      <c r="CE244" s="30">
        <f t="shared" si="9"/>
        <v>20</v>
      </c>
      <c r="CF244" s="5"/>
    </row>
    <row r="245" spans="1:84" s="38" customFormat="1" x14ac:dyDescent="0.25">
      <c r="A245" s="45" t="s">
        <v>131</v>
      </c>
      <c r="B245" s="75">
        <f t="shared" si="8"/>
        <v>0</v>
      </c>
      <c r="C245" s="67">
        <v>8</v>
      </c>
      <c r="D245" s="70">
        <v>44431</v>
      </c>
      <c r="E245" s="77">
        <v>32.020000000000003</v>
      </c>
      <c r="F245" s="77">
        <f t="shared" si="10"/>
        <v>0</v>
      </c>
      <c r="G245" s="75"/>
      <c r="H245" s="16"/>
      <c r="I245" s="16"/>
      <c r="J245" s="175"/>
      <c r="K245" s="16"/>
      <c r="L245" s="40"/>
      <c r="M245" s="40"/>
      <c r="N245" s="40"/>
      <c r="O245" s="40"/>
      <c r="P245" s="40"/>
      <c r="Q245" s="40"/>
      <c r="R245" s="40"/>
      <c r="S245" s="40"/>
      <c r="T245" s="40"/>
      <c r="U245" s="40"/>
      <c r="V245" s="40"/>
      <c r="W245" s="40"/>
      <c r="X245" s="40"/>
      <c r="Y245" s="40"/>
      <c r="Z245" s="40"/>
      <c r="AA245" s="40"/>
      <c r="AB245" s="40"/>
      <c r="AC245" s="40"/>
      <c r="AD245" s="40"/>
      <c r="AE245" s="40"/>
      <c r="AF245" s="40"/>
      <c r="AG245" s="40"/>
      <c r="AH245" s="40"/>
      <c r="AI245" s="40"/>
      <c r="AJ245" s="40"/>
      <c r="AK245" s="40"/>
      <c r="AL245" s="40"/>
      <c r="AM245" s="40"/>
      <c r="AN245" s="40"/>
      <c r="AO245" s="40"/>
      <c r="AP245" s="40"/>
      <c r="AQ245" s="40"/>
      <c r="AR245" s="40"/>
      <c r="AS245" s="40"/>
      <c r="AT245" s="40"/>
      <c r="AU245" s="40"/>
      <c r="AV245" s="40"/>
      <c r="AW245" s="40"/>
      <c r="AX245" s="40"/>
      <c r="AY245" s="40"/>
      <c r="AZ245" s="40"/>
      <c r="BA245" s="40"/>
      <c r="BB245" s="40"/>
      <c r="BC245" s="40"/>
      <c r="BD245" s="40"/>
      <c r="BE245" s="40"/>
      <c r="BF245" s="40"/>
      <c r="BG245" s="40"/>
      <c r="BH245" s="40"/>
      <c r="BI245" s="40"/>
      <c r="BJ245" s="40"/>
      <c r="BK245" s="40"/>
      <c r="BL245" s="40"/>
      <c r="BM245" s="40"/>
      <c r="BN245" s="40"/>
      <c r="BO245" s="40"/>
      <c r="BP245" s="40"/>
      <c r="BQ245" s="40"/>
      <c r="BR245" s="40"/>
      <c r="BS245" s="40"/>
      <c r="BT245" s="40"/>
      <c r="BU245" s="40"/>
      <c r="BV245" s="40"/>
      <c r="BW245" s="40"/>
      <c r="BX245" s="40"/>
      <c r="BY245" s="40"/>
      <c r="BZ245" s="40"/>
      <c r="CA245" s="40"/>
      <c r="CB245" s="40"/>
      <c r="CC245" s="40"/>
      <c r="CD245" s="40"/>
      <c r="CE245" s="30">
        <f t="shared" si="9"/>
        <v>0</v>
      </c>
      <c r="CF245" s="5"/>
    </row>
    <row r="246" spans="1:84" s="38" customFormat="1" x14ac:dyDescent="0.25">
      <c r="A246" s="45" t="s">
        <v>131</v>
      </c>
      <c r="B246" s="75">
        <f t="shared" si="8"/>
        <v>0</v>
      </c>
      <c r="C246" s="67">
        <v>0.8</v>
      </c>
      <c r="D246" s="70">
        <v>44532</v>
      </c>
      <c r="E246" s="77">
        <v>34.74</v>
      </c>
      <c r="F246" s="77">
        <f t="shared" si="10"/>
        <v>0</v>
      </c>
      <c r="G246" s="75"/>
      <c r="H246" s="16"/>
      <c r="I246" s="16"/>
      <c r="J246" s="175"/>
      <c r="K246" s="16"/>
      <c r="L246" s="40"/>
      <c r="M246" s="40"/>
      <c r="N246" s="40"/>
      <c r="O246" s="40"/>
      <c r="P246" s="40"/>
      <c r="Q246" s="40"/>
      <c r="R246" s="40"/>
      <c r="S246" s="40"/>
      <c r="T246" s="40"/>
      <c r="U246" s="40"/>
      <c r="V246" s="40"/>
      <c r="W246" s="40"/>
      <c r="X246" s="40"/>
      <c r="Y246" s="40"/>
      <c r="Z246" s="40"/>
      <c r="AA246" s="40"/>
      <c r="AB246" s="40"/>
      <c r="AC246" s="40"/>
      <c r="AD246" s="40"/>
      <c r="AE246" s="40"/>
      <c r="AF246" s="40"/>
      <c r="AG246" s="40"/>
      <c r="AH246" s="40"/>
      <c r="AI246" s="40"/>
      <c r="AJ246" s="40"/>
      <c r="AK246" s="40"/>
      <c r="AL246" s="40"/>
      <c r="AM246" s="40"/>
      <c r="AN246" s="40"/>
      <c r="AO246" s="40"/>
      <c r="AP246" s="40"/>
      <c r="AQ246" s="40"/>
      <c r="AR246" s="40"/>
      <c r="AS246" s="40"/>
      <c r="AT246" s="40"/>
      <c r="AU246" s="40"/>
      <c r="AV246" s="40"/>
      <c r="AW246" s="40"/>
      <c r="AX246" s="40"/>
      <c r="AY246" s="40"/>
      <c r="AZ246" s="40"/>
      <c r="BA246" s="40"/>
      <c r="BB246" s="40"/>
      <c r="BC246" s="40"/>
      <c r="BD246" s="40"/>
      <c r="BE246" s="40"/>
      <c r="BF246" s="40"/>
      <c r="BG246" s="40"/>
      <c r="BH246" s="40"/>
      <c r="BI246" s="40"/>
      <c r="BJ246" s="40"/>
      <c r="BK246" s="40"/>
      <c r="BL246" s="40"/>
      <c r="BM246" s="40"/>
      <c r="BN246" s="40"/>
      <c r="BO246" s="40"/>
      <c r="BP246" s="40"/>
      <c r="BQ246" s="40"/>
      <c r="BR246" s="40"/>
      <c r="BS246" s="40"/>
      <c r="BT246" s="40"/>
      <c r="BU246" s="40"/>
      <c r="BV246" s="40"/>
      <c r="BW246" s="40"/>
      <c r="BX246" s="40"/>
      <c r="BY246" s="40"/>
      <c r="BZ246" s="40"/>
      <c r="CA246" s="40"/>
      <c r="CB246" s="40"/>
      <c r="CC246" s="40"/>
      <c r="CD246" s="40"/>
      <c r="CE246" s="30">
        <f t="shared" si="9"/>
        <v>0</v>
      </c>
      <c r="CF246" s="5"/>
    </row>
    <row r="247" spans="1:84" s="38" customFormat="1" x14ac:dyDescent="0.25">
      <c r="A247" s="61" t="s">
        <v>309</v>
      </c>
      <c r="B247" s="75">
        <f t="shared" si="8"/>
        <v>0</v>
      </c>
      <c r="C247" s="67">
        <v>10</v>
      </c>
      <c r="D247" s="69">
        <v>44480</v>
      </c>
      <c r="E247" s="77">
        <v>24.22</v>
      </c>
      <c r="F247" s="77">
        <f t="shared" si="10"/>
        <v>0</v>
      </c>
      <c r="G247" s="75"/>
      <c r="H247" s="16"/>
      <c r="I247" s="16"/>
      <c r="J247" s="175"/>
      <c r="K247" s="16"/>
      <c r="L247" s="40"/>
      <c r="M247" s="40"/>
      <c r="N247" s="40"/>
      <c r="O247" s="40"/>
      <c r="P247" s="40"/>
      <c r="Q247" s="40"/>
      <c r="R247" s="40"/>
      <c r="S247" s="40"/>
      <c r="T247" s="40"/>
      <c r="U247" s="40"/>
      <c r="V247" s="40"/>
      <c r="W247" s="40"/>
      <c r="X247" s="40"/>
      <c r="Y247" s="40"/>
      <c r="Z247" s="40"/>
      <c r="AA247" s="40"/>
      <c r="AB247" s="40"/>
      <c r="AC247" s="40"/>
      <c r="AD247" s="40"/>
      <c r="AE247" s="40"/>
      <c r="AF247" s="40"/>
      <c r="AG247" s="40"/>
      <c r="AH247" s="40"/>
      <c r="AI247" s="40"/>
      <c r="AJ247" s="40"/>
      <c r="AK247" s="40"/>
      <c r="AL247" s="40"/>
      <c r="AM247" s="40"/>
      <c r="AN247" s="40"/>
      <c r="AO247" s="40"/>
      <c r="AP247" s="40"/>
      <c r="AQ247" s="40"/>
      <c r="AR247" s="40"/>
      <c r="AS247" s="40"/>
      <c r="AT247" s="40"/>
      <c r="AU247" s="40"/>
      <c r="AV247" s="40"/>
      <c r="AW247" s="40"/>
      <c r="AX247" s="40"/>
      <c r="AY247" s="40"/>
      <c r="AZ247" s="40"/>
      <c r="BA247" s="40"/>
      <c r="BB247" s="40"/>
      <c r="BC247" s="40"/>
      <c r="BD247" s="40"/>
      <c r="BE247" s="40"/>
      <c r="BF247" s="40"/>
      <c r="BG247" s="40"/>
      <c r="BH247" s="40"/>
      <c r="BI247" s="40"/>
      <c r="BJ247" s="40"/>
      <c r="BK247" s="40"/>
      <c r="BL247" s="40"/>
      <c r="BM247" s="40"/>
      <c r="BN247" s="40"/>
      <c r="BO247" s="40"/>
      <c r="BP247" s="40"/>
      <c r="BQ247" s="40"/>
      <c r="BR247" s="40"/>
      <c r="BS247" s="40"/>
      <c r="BT247" s="40"/>
      <c r="BU247" s="40"/>
      <c r="BV247" s="40"/>
      <c r="BW247" s="40"/>
      <c r="BX247" s="40"/>
      <c r="BY247" s="40"/>
      <c r="BZ247" s="40"/>
      <c r="CA247" s="40"/>
      <c r="CB247" s="40"/>
      <c r="CC247" s="40"/>
      <c r="CD247" s="40"/>
      <c r="CE247" s="30">
        <f t="shared" si="9"/>
        <v>0</v>
      </c>
      <c r="CF247" s="5"/>
    </row>
    <row r="248" spans="1:84" s="38" customFormat="1" x14ac:dyDescent="0.25">
      <c r="A248" s="61" t="s">
        <v>475</v>
      </c>
      <c r="B248" s="75">
        <f t="shared" si="8"/>
        <v>0</v>
      </c>
      <c r="C248" s="67">
        <v>1</v>
      </c>
      <c r="D248" s="69">
        <v>44396</v>
      </c>
      <c r="E248" s="77">
        <v>79.8</v>
      </c>
      <c r="F248" s="77">
        <f t="shared" si="10"/>
        <v>0</v>
      </c>
      <c r="G248" s="75"/>
      <c r="H248" s="16"/>
      <c r="I248" s="16"/>
      <c r="J248" s="175"/>
      <c r="K248" s="16"/>
      <c r="L248" s="40"/>
      <c r="M248" s="40"/>
      <c r="N248" s="40"/>
      <c r="O248" s="40"/>
      <c r="P248" s="40"/>
      <c r="Q248" s="40"/>
      <c r="R248" s="40"/>
      <c r="S248" s="40"/>
      <c r="T248" s="40"/>
      <c r="U248" s="40"/>
      <c r="V248" s="40"/>
      <c r="W248" s="40"/>
      <c r="X248" s="40"/>
      <c r="Y248" s="40"/>
      <c r="Z248" s="40"/>
      <c r="AA248" s="40"/>
      <c r="AB248" s="40"/>
      <c r="AC248" s="40"/>
      <c r="AD248" s="40"/>
      <c r="AE248" s="40"/>
      <c r="AF248" s="40"/>
      <c r="AG248" s="40"/>
      <c r="AH248" s="40"/>
      <c r="AI248" s="40"/>
      <c r="AJ248" s="40"/>
      <c r="AK248" s="40"/>
      <c r="AL248" s="40"/>
      <c r="AM248" s="40"/>
      <c r="AN248" s="40"/>
      <c r="AO248" s="40"/>
      <c r="AP248" s="40"/>
      <c r="AQ248" s="40"/>
      <c r="AR248" s="40"/>
      <c r="AS248" s="40"/>
      <c r="AT248" s="40"/>
      <c r="AU248" s="40"/>
      <c r="AV248" s="40"/>
      <c r="AW248" s="40"/>
      <c r="AX248" s="40"/>
      <c r="AY248" s="40"/>
      <c r="AZ248" s="40"/>
      <c r="BA248" s="40"/>
      <c r="BB248" s="40"/>
      <c r="BC248" s="40"/>
      <c r="BD248" s="40"/>
      <c r="BE248" s="40"/>
      <c r="BF248" s="40"/>
      <c r="BG248" s="40"/>
      <c r="BH248" s="40"/>
      <c r="BI248" s="40"/>
      <c r="BJ248" s="40"/>
      <c r="BK248" s="40"/>
      <c r="BL248" s="40"/>
      <c r="BM248" s="40"/>
      <c r="BN248" s="40"/>
      <c r="BO248" s="40"/>
      <c r="BP248" s="40"/>
      <c r="BQ248" s="40"/>
      <c r="BR248" s="40"/>
      <c r="BS248" s="40"/>
      <c r="BT248" s="40"/>
      <c r="BU248" s="40"/>
      <c r="BV248" s="40"/>
      <c r="BW248" s="40"/>
      <c r="BX248" s="40"/>
      <c r="BY248" s="40"/>
      <c r="BZ248" s="40"/>
      <c r="CA248" s="40"/>
      <c r="CB248" s="40"/>
      <c r="CC248" s="40"/>
      <c r="CD248" s="40"/>
      <c r="CE248" s="30">
        <f t="shared" si="9"/>
        <v>0</v>
      </c>
      <c r="CF248" s="5"/>
    </row>
    <row r="249" spans="1:84" s="38" customFormat="1" x14ac:dyDescent="0.25">
      <c r="A249" s="61" t="s">
        <v>442</v>
      </c>
      <c r="B249" s="75">
        <f t="shared" si="8"/>
        <v>0</v>
      </c>
      <c r="C249" s="67">
        <v>10</v>
      </c>
      <c r="D249" s="69">
        <v>44249</v>
      </c>
      <c r="E249" s="77">
        <v>27.78</v>
      </c>
      <c r="F249" s="77">
        <f t="shared" si="10"/>
        <v>0</v>
      </c>
      <c r="G249" s="75"/>
      <c r="H249" s="16"/>
      <c r="I249" s="16"/>
      <c r="J249" s="175"/>
      <c r="K249" s="16"/>
      <c r="L249" s="40"/>
      <c r="M249" s="40"/>
      <c r="N249" s="40"/>
      <c r="O249" s="40"/>
      <c r="P249" s="40"/>
      <c r="Q249" s="40"/>
      <c r="R249" s="40"/>
      <c r="S249" s="40"/>
      <c r="T249" s="40"/>
      <c r="U249" s="40"/>
      <c r="V249" s="40"/>
      <c r="W249" s="40"/>
      <c r="X249" s="40"/>
      <c r="Y249" s="40"/>
      <c r="Z249" s="40"/>
      <c r="AA249" s="40"/>
      <c r="AB249" s="40"/>
      <c r="AC249" s="40"/>
      <c r="AD249" s="40"/>
      <c r="AE249" s="40"/>
      <c r="AF249" s="40"/>
      <c r="AG249" s="40"/>
      <c r="AH249" s="40"/>
      <c r="AI249" s="40"/>
      <c r="AJ249" s="40"/>
      <c r="AK249" s="40"/>
      <c r="AL249" s="40"/>
      <c r="AM249" s="40"/>
      <c r="AN249" s="40"/>
      <c r="AO249" s="40"/>
      <c r="AP249" s="40"/>
      <c r="AQ249" s="40"/>
      <c r="AR249" s="40"/>
      <c r="AS249" s="40"/>
      <c r="AT249" s="40"/>
      <c r="AU249" s="40"/>
      <c r="AV249" s="40"/>
      <c r="AW249" s="40"/>
      <c r="AX249" s="40"/>
      <c r="AY249" s="40"/>
      <c r="AZ249" s="40"/>
      <c r="BA249" s="40"/>
      <c r="BB249" s="40"/>
      <c r="BC249" s="40"/>
      <c r="BD249" s="40"/>
      <c r="BE249" s="40"/>
      <c r="BF249" s="40"/>
      <c r="BG249" s="40"/>
      <c r="BH249" s="40"/>
      <c r="BI249" s="40"/>
      <c r="BJ249" s="40"/>
      <c r="BK249" s="40"/>
      <c r="BL249" s="40"/>
      <c r="BM249" s="40"/>
      <c r="BN249" s="40"/>
      <c r="BO249" s="40"/>
      <c r="BP249" s="40"/>
      <c r="BQ249" s="40"/>
      <c r="BR249" s="40"/>
      <c r="BS249" s="40"/>
      <c r="BT249" s="40"/>
      <c r="BU249" s="40"/>
      <c r="BV249" s="40"/>
      <c r="BW249" s="40"/>
      <c r="BX249" s="40"/>
      <c r="BY249" s="40"/>
      <c r="BZ249" s="40"/>
      <c r="CA249" s="40"/>
      <c r="CB249" s="40"/>
      <c r="CC249" s="40"/>
      <c r="CD249" s="40"/>
      <c r="CE249" s="30">
        <f t="shared" si="9"/>
        <v>0</v>
      </c>
      <c r="CF249" s="5"/>
    </row>
    <row r="250" spans="1:84" s="38" customFormat="1" ht="12" customHeight="1" x14ac:dyDescent="0.25">
      <c r="A250" s="24" t="s">
        <v>24</v>
      </c>
      <c r="B250" s="75">
        <f t="shared" si="8"/>
        <v>0</v>
      </c>
      <c r="C250" s="67">
        <v>10</v>
      </c>
      <c r="D250" s="69">
        <v>44466</v>
      </c>
      <c r="E250" s="114">
        <v>17.82</v>
      </c>
      <c r="F250" s="77">
        <f t="shared" si="10"/>
        <v>0</v>
      </c>
      <c r="G250" s="75"/>
      <c r="H250" s="16"/>
      <c r="I250" s="16"/>
      <c r="J250" s="175"/>
      <c r="K250" s="16"/>
      <c r="L250" s="40"/>
      <c r="M250" s="40"/>
      <c r="N250" s="40"/>
      <c r="O250" s="40"/>
      <c r="P250" s="40"/>
      <c r="Q250" s="40"/>
      <c r="R250" s="40"/>
      <c r="S250" s="40"/>
      <c r="T250" s="40"/>
      <c r="U250" s="40"/>
      <c r="V250" s="40"/>
      <c r="W250" s="40"/>
      <c r="X250" s="40"/>
      <c r="Y250" s="40"/>
      <c r="Z250" s="40"/>
      <c r="AA250" s="40"/>
      <c r="AB250" s="40"/>
      <c r="AC250" s="40"/>
      <c r="AD250" s="40"/>
      <c r="AE250" s="40"/>
      <c r="AF250" s="40"/>
      <c r="AG250" s="40"/>
      <c r="AH250" s="40"/>
      <c r="AI250" s="40"/>
      <c r="AJ250" s="40"/>
      <c r="AK250" s="40"/>
      <c r="AL250" s="40"/>
      <c r="AM250" s="40"/>
      <c r="AN250" s="40"/>
      <c r="AO250" s="40"/>
      <c r="AP250" s="40"/>
      <c r="AQ250" s="40"/>
      <c r="AR250" s="40"/>
      <c r="AS250" s="40"/>
      <c r="AT250" s="40"/>
      <c r="AU250" s="40"/>
      <c r="AV250" s="40"/>
      <c r="AW250" s="40"/>
      <c r="AX250" s="40"/>
      <c r="AY250" s="40"/>
      <c r="AZ250" s="40"/>
      <c r="BA250" s="40"/>
      <c r="BB250" s="40"/>
      <c r="BC250" s="40"/>
      <c r="BD250" s="40"/>
      <c r="BE250" s="40"/>
      <c r="BF250" s="40"/>
      <c r="BG250" s="40"/>
      <c r="BH250" s="40"/>
      <c r="BI250" s="40"/>
      <c r="BJ250" s="40"/>
      <c r="BK250" s="40"/>
      <c r="BL250" s="40"/>
      <c r="BM250" s="40"/>
      <c r="BN250" s="40"/>
      <c r="BO250" s="40"/>
      <c r="BP250" s="40"/>
      <c r="BQ250" s="40"/>
      <c r="BR250" s="40"/>
      <c r="BS250" s="40"/>
      <c r="BT250" s="40"/>
      <c r="BU250" s="40"/>
      <c r="BV250" s="40"/>
      <c r="BW250" s="40"/>
      <c r="BX250" s="40"/>
      <c r="BY250" s="40"/>
      <c r="BZ250" s="40"/>
      <c r="CA250" s="40"/>
      <c r="CB250" s="40"/>
      <c r="CC250" s="40"/>
      <c r="CD250" s="40"/>
      <c r="CE250" s="30">
        <f t="shared" si="9"/>
        <v>0</v>
      </c>
      <c r="CF250" s="5"/>
    </row>
    <row r="251" spans="1:84" s="38" customFormat="1" x14ac:dyDescent="0.25">
      <c r="A251" s="61" t="s">
        <v>18</v>
      </c>
      <c r="B251" s="75">
        <f t="shared" si="8"/>
        <v>60</v>
      </c>
      <c r="C251" s="67">
        <v>10</v>
      </c>
      <c r="D251" s="69">
        <v>44585</v>
      </c>
      <c r="E251" s="77">
        <v>35.159999999999997</v>
      </c>
      <c r="F251" s="77">
        <f t="shared" si="10"/>
        <v>2109.6</v>
      </c>
      <c r="G251" s="75"/>
      <c r="H251" s="16"/>
      <c r="I251" s="16"/>
      <c r="J251" s="175"/>
      <c r="K251" s="16"/>
      <c r="L251" s="40"/>
      <c r="M251" s="40"/>
      <c r="N251" s="40"/>
      <c r="O251" s="40"/>
      <c r="P251" s="40"/>
      <c r="Q251" s="40"/>
      <c r="R251" s="40"/>
      <c r="S251" s="40"/>
      <c r="T251" s="40"/>
      <c r="U251" s="40"/>
      <c r="V251" s="40"/>
      <c r="W251" s="40"/>
      <c r="X251" s="40"/>
      <c r="Y251" s="40"/>
      <c r="Z251" s="40"/>
      <c r="AA251" s="40"/>
      <c r="AB251" s="40"/>
      <c r="AC251" s="40"/>
      <c r="AD251" s="40"/>
      <c r="AE251" s="40"/>
      <c r="AF251" s="40"/>
      <c r="AG251" s="40"/>
      <c r="AH251" s="40"/>
      <c r="AI251" s="40"/>
      <c r="AJ251" s="40"/>
      <c r="AK251" s="40"/>
      <c r="AL251" s="40"/>
      <c r="AM251" s="40"/>
      <c r="AN251" s="40">
        <v>10</v>
      </c>
      <c r="AO251" s="40"/>
      <c r="AP251" s="40"/>
      <c r="AQ251" s="40"/>
      <c r="AR251" s="40"/>
      <c r="AS251" s="40"/>
      <c r="AT251" s="40"/>
      <c r="AU251" s="40"/>
      <c r="AV251" s="40"/>
      <c r="AW251" s="40"/>
      <c r="AX251" s="40"/>
      <c r="AY251" s="40"/>
      <c r="AZ251" s="40"/>
      <c r="BA251" s="40"/>
      <c r="BB251" s="40"/>
      <c r="BC251" s="40"/>
      <c r="BD251" s="40">
        <v>80</v>
      </c>
      <c r="BE251" s="40"/>
      <c r="BF251" s="40"/>
      <c r="BG251" s="40"/>
      <c r="BH251" s="40"/>
      <c r="BI251" s="40">
        <v>20</v>
      </c>
      <c r="BJ251" s="40"/>
      <c r="BK251" s="40"/>
      <c r="BL251" s="40"/>
      <c r="BM251" s="40"/>
      <c r="BN251" s="40"/>
      <c r="BO251" s="40"/>
      <c r="BP251" s="40"/>
      <c r="BQ251" s="40"/>
      <c r="BR251" s="40"/>
      <c r="BS251" s="40"/>
      <c r="BT251" s="40"/>
      <c r="BU251" s="40"/>
      <c r="BV251" s="40"/>
      <c r="BW251" s="40"/>
      <c r="BX251" s="40"/>
      <c r="BY251" s="40"/>
      <c r="BZ251" s="40"/>
      <c r="CA251" s="40"/>
      <c r="CB251" s="40"/>
      <c r="CC251" s="40"/>
      <c r="CD251" s="40">
        <v>10</v>
      </c>
      <c r="CE251" s="30">
        <f t="shared" si="9"/>
        <v>40</v>
      </c>
      <c r="CF251" s="5"/>
    </row>
    <row r="252" spans="1:84" s="38" customFormat="1" x14ac:dyDescent="0.25">
      <c r="A252" s="61" t="s">
        <v>18</v>
      </c>
      <c r="B252" s="75">
        <f t="shared" si="8"/>
        <v>0</v>
      </c>
      <c r="C252" s="67">
        <v>10</v>
      </c>
      <c r="D252" s="69">
        <v>44543</v>
      </c>
      <c r="E252" s="77">
        <v>35.86</v>
      </c>
      <c r="F252" s="77">
        <f t="shared" si="10"/>
        <v>0</v>
      </c>
      <c r="G252" s="75"/>
      <c r="H252" s="16"/>
      <c r="I252" s="16"/>
      <c r="J252" s="175"/>
      <c r="K252" s="16"/>
      <c r="L252" s="40"/>
      <c r="M252" s="40"/>
      <c r="N252" s="40"/>
      <c r="O252" s="40"/>
      <c r="P252" s="40"/>
      <c r="Q252" s="40"/>
      <c r="R252" s="40"/>
      <c r="S252" s="40"/>
      <c r="T252" s="40"/>
      <c r="U252" s="40"/>
      <c r="V252" s="40"/>
      <c r="W252" s="40"/>
      <c r="X252" s="40"/>
      <c r="Y252" s="40"/>
      <c r="Z252" s="40"/>
      <c r="AA252" s="40"/>
      <c r="AB252" s="40"/>
      <c r="AC252" s="40"/>
      <c r="AD252" s="40"/>
      <c r="AE252" s="40"/>
      <c r="AF252" s="40"/>
      <c r="AG252" s="40"/>
      <c r="AH252" s="40"/>
      <c r="AI252" s="40"/>
      <c r="AJ252" s="40"/>
      <c r="AK252" s="40"/>
      <c r="AL252" s="40"/>
      <c r="AM252" s="40"/>
      <c r="AN252" s="40"/>
      <c r="AO252" s="40"/>
      <c r="AP252" s="40"/>
      <c r="AQ252" s="40"/>
      <c r="AR252" s="40"/>
      <c r="AS252" s="40"/>
      <c r="AT252" s="40"/>
      <c r="AU252" s="40"/>
      <c r="AV252" s="40"/>
      <c r="AW252" s="40"/>
      <c r="AX252" s="40"/>
      <c r="AY252" s="40"/>
      <c r="AZ252" s="40"/>
      <c r="BA252" s="40"/>
      <c r="BB252" s="40"/>
      <c r="BC252" s="40"/>
      <c r="BD252" s="40"/>
      <c r="BE252" s="40"/>
      <c r="BF252" s="40"/>
      <c r="BG252" s="40"/>
      <c r="BH252" s="40"/>
      <c r="BI252" s="40"/>
      <c r="BJ252" s="40"/>
      <c r="BK252" s="40"/>
      <c r="BL252" s="40"/>
      <c r="BM252" s="40"/>
      <c r="BN252" s="40"/>
      <c r="BO252" s="40"/>
      <c r="BP252" s="40"/>
      <c r="BQ252" s="40"/>
      <c r="BR252" s="40"/>
      <c r="BS252" s="40"/>
      <c r="BT252" s="40"/>
      <c r="BU252" s="40"/>
      <c r="BV252" s="40"/>
      <c r="BW252" s="40"/>
      <c r="BX252" s="40"/>
      <c r="BY252" s="40"/>
      <c r="BZ252" s="40"/>
      <c r="CA252" s="40"/>
      <c r="CB252" s="40"/>
      <c r="CC252" s="40"/>
      <c r="CD252" s="40"/>
      <c r="CE252" s="30">
        <f t="shared" si="9"/>
        <v>0</v>
      </c>
      <c r="CF252" s="5"/>
    </row>
    <row r="253" spans="1:84" s="38" customFormat="1" x14ac:dyDescent="0.25">
      <c r="A253" s="61" t="s">
        <v>61</v>
      </c>
      <c r="B253" s="75">
        <f t="shared" si="8"/>
        <v>10</v>
      </c>
      <c r="C253" s="67">
        <v>10</v>
      </c>
      <c r="D253" s="70">
        <v>44466</v>
      </c>
      <c r="E253" s="77">
        <v>30.23</v>
      </c>
      <c r="F253" s="77">
        <f t="shared" si="10"/>
        <v>302.3</v>
      </c>
      <c r="G253" s="75">
        <v>10</v>
      </c>
      <c r="H253" s="16"/>
      <c r="I253" s="16"/>
      <c r="J253" s="175"/>
      <c r="K253" s="16"/>
      <c r="L253" s="40"/>
      <c r="M253" s="40"/>
      <c r="N253" s="40"/>
      <c r="O253" s="40"/>
      <c r="P253" s="40"/>
      <c r="Q253" s="40"/>
      <c r="R253" s="40"/>
      <c r="S253" s="40"/>
      <c r="T253" s="40"/>
      <c r="U253" s="40"/>
      <c r="V253" s="40"/>
      <c r="W253" s="40"/>
      <c r="X253" s="40"/>
      <c r="Y253" s="40"/>
      <c r="Z253" s="40"/>
      <c r="AA253" s="40"/>
      <c r="AB253" s="40"/>
      <c r="AC253" s="40"/>
      <c r="AD253" s="40"/>
      <c r="AE253" s="40"/>
      <c r="AF253" s="40"/>
      <c r="AG253" s="40"/>
      <c r="AH253" s="40"/>
      <c r="AI253" s="40"/>
      <c r="AJ253" s="40"/>
      <c r="AK253" s="40">
        <v>10</v>
      </c>
      <c r="AL253" s="40"/>
      <c r="AM253" s="40"/>
      <c r="AN253" s="40"/>
      <c r="AO253" s="40"/>
      <c r="AP253" s="40"/>
      <c r="AQ253" s="40"/>
      <c r="AR253" s="40"/>
      <c r="AS253" s="40"/>
      <c r="AT253" s="40"/>
      <c r="AU253" s="40"/>
      <c r="AV253" s="40"/>
      <c r="AW253" s="40"/>
      <c r="AX253" s="40"/>
      <c r="AY253" s="40"/>
      <c r="AZ253" s="40"/>
      <c r="BA253" s="40"/>
      <c r="BB253" s="40"/>
      <c r="BC253" s="40"/>
      <c r="BD253" s="40"/>
      <c r="BE253" s="40"/>
      <c r="BF253" s="40"/>
      <c r="BG253" s="40"/>
      <c r="BH253" s="40"/>
      <c r="BI253" s="40"/>
      <c r="BJ253" s="40"/>
      <c r="BK253" s="40"/>
      <c r="BL253" s="40"/>
      <c r="BM253" s="40"/>
      <c r="BN253" s="40"/>
      <c r="BO253" s="40"/>
      <c r="BP253" s="40"/>
      <c r="BQ253" s="40"/>
      <c r="BR253" s="40"/>
      <c r="BS253" s="40"/>
      <c r="BT253" s="40"/>
      <c r="BU253" s="40"/>
      <c r="BV253" s="40"/>
      <c r="BW253" s="40"/>
      <c r="BX253" s="40"/>
      <c r="BY253" s="40"/>
      <c r="BZ253" s="40"/>
      <c r="CA253" s="40"/>
      <c r="CB253" s="40"/>
      <c r="CC253" s="40"/>
      <c r="CD253" s="40"/>
      <c r="CE253" s="30">
        <f t="shared" si="9"/>
        <v>0</v>
      </c>
      <c r="CF253" s="5"/>
    </row>
    <row r="254" spans="1:84" s="38" customFormat="1" x14ac:dyDescent="0.25">
      <c r="A254" s="61" t="s">
        <v>61</v>
      </c>
      <c r="B254" s="75">
        <f t="shared" si="8"/>
        <v>0</v>
      </c>
      <c r="C254" s="67">
        <v>1</v>
      </c>
      <c r="D254" s="70">
        <v>44557</v>
      </c>
      <c r="E254" s="77">
        <v>33.85</v>
      </c>
      <c r="F254" s="77">
        <f t="shared" si="10"/>
        <v>0</v>
      </c>
      <c r="G254" s="75"/>
      <c r="H254" s="16"/>
      <c r="I254" s="16"/>
      <c r="J254" s="175"/>
      <c r="K254" s="16"/>
      <c r="L254" s="40"/>
      <c r="M254" s="40"/>
      <c r="N254" s="40"/>
      <c r="O254" s="40"/>
      <c r="P254" s="40"/>
      <c r="Q254" s="40"/>
      <c r="R254" s="40"/>
      <c r="S254" s="40"/>
      <c r="T254" s="40"/>
      <c r="U254" s="40"/>
      <c r="V254" s="40"/>
      <c r="W254" s="40"/>
      <c r="X254" s="40"/>
      <c r="Y254" s="40"/>
      <c r="Z254" s="40"/>
      <c r="AA254" s="40"/>
      <c r="AB254" s="40"/>
      <c r="AC254" s="40"/>
      <c r="AD254" s="40"/>
      <c r="AE254" s="40"/>
      <c r="AF254" s="40"/>
      <c r="AG254" s="40"/>
      <c r="AH254" s="40"/>
      <c r="AI254" s="40"/>
      <c r="AJ254" s="40"/>
      <c r="AK254" s="40"/>
      <c r="AL254" s="40"/>
      <c r="AM254" s="40"/>
      <c r="AN254" s="40"/>
      <c r="AO254" s="40"/>
      <c r="AP254" s="40"/>
      <c r="AQ254" s="40"/>
      <c r="AR254" s="40"/>
      <c r="AS254" s="40"/>
      <c r="AT254" s="40"/>
      <c r="AU254" s="40"/>
      <c r="AV254" s="40"/>
      <c r="AW254" s="40"/>
      <c r="AX254" s="40"/>
      <c r="AY254" s="40"/>
      <c r="AZ254" s="40"/>
      <c r="BA254" s="40"/>
      <c r="BB254" s="40"/>
      <c r="BC254" s="40"/>
      <c r="BD254" s="40"/>
      <c r="BE254" s="40"/>
      <c r="BF254" s="40"/>
      <c r="BG254" s="40"/>
      <c r="BH254" s="40"/>
      <c r="BI254" s="40"/>
      <c r="BJ254" s="40"/>
      <c r="BK254" s="40"/>
      <c r="BL254" s="40"/>
      <c r="BM254" s="40"/>
      <c r="BN254" s="40"/>
      <c r="BO254" s="40"/>
      <c r="BP254" s="40"/>
      <c r="BQ254" s="40"/>
      <c r="BR254" s="40"/>
      <c r="BS254" s="40"/>
      <c r="BT254" s="40"/>
      <c r="BU254" s="40"/>
      <c r="BV254" s="40"/>
      <c r="BW254" s="40"/>
      <c r="BX254" s="40"/>
      <c r="BY254" s="40"/>
      <c r="BZ254" s="40"/>
      <c r="CA254" s="40"/>
      <c r="CB254" s="40"/>
      <c r="CC254" s="40"/>
      <c r="CD254" s="40"/>
      <c r="CE254" s="30">
        <f t="shared" si="9"/>
        <v>0</v>
      </c>
      <c r="CF254" s="5"/>
    </row>
    <row r="255" spans="1:84" s="38" customFormat="1" x14ac:dyDescent="0.25">
      <c r="A255" s="61" t="s">
        <v>198</v>
      </c>
      <c r="B255" s="75">
        <f t="shared" si="8"/>
        <v>0</v>
      </c>
      <c r="C255" s="67">
        <v>10</v>
      </c>
      <c r="D255" s="70"/>
      <c r="E255" s="77">
        <v>26.33</v>
      </c>
      <c r="F255" s="77">
        <f t="shared" si="10"/>
        <v>0</v>
      </c>
      <c r="G255" s="75"/>
      <c r="H255" s="16"/>
      <c r="I255" s="16"/>
      <c r="J255" s="175"/>
      <c r="K255" s="16"/>
      <c r="L255" s="40"/>
      <c r="M255" s="40"/>
      <c r="N255" s="40"/>
      <c r="O255" s="40"/>
      <c r="P255" s="40"/>
      <c r="Q255" s="40"/>
      <c r="R255" s="40"/>
      <c r="S255" s="40"/>
      <c r="T255" s="40"/>
      <c r="U255" s="40"/>
      <c r="V255" s="40"/>
      <c r="W255" s="40"/>
      <c r="X255" s="40"/>
      <c r="Y255" s="40"/>
      <c r="Z255" s="40"/>
      <c r="AA255" s="40"/>
      <c r="AB255" s="40"/>
      <c r="AC255" s="40"/>
      <c r="AD255" s="40"/>
      <c r="AE255" s="40"/>
      <c r="AF255" s="40"/>
      <c r="AG255" s="40"/>
      <c r="AH255" s="40"/>
      <c r="AI255" s="40"/>
      <c r="AJ255" s="40"/>
      <c r="AK255" s="40"/>
      <c r="AL255" s="40"/>
      <c r="AM255" s="40"/>
      <c r="AN255" s="40"/>
      <c r="AO255" s="40"/>
      <c r="AP255" s="40"/>
      <c r="AQ255" s="40"/>
      <c r="AR255" s="40"/>
      <c r="AS255" s="40"/>
      <c r="AT255" s="40"/>
      <c r="AU255" s="40"/>
      <c r="AV255" s="40"/>
      <c r="AW255" s="40"/>
      <c r="AX255" s="40"/>
      <c r="AY255" s="40"/>
      <c r="AZ255" s="40"/>
      <c r="BA255" s="40"/>
      <c r="BB255" s="40"/>
      <c r="BC255" s="40"/>
      <c r="BD255" s="40"/>
      <c r="BE255" s="40"/>
      <c r="BF255" s="40"/>
      <c r="BG255" s="40"/>
      <c r="BH255" s="40"/>
      <c r="BI255" s="40"/>
      <c r="BJ255" s="40"/>
      <c r="BK255" s="40"/>
      <c r="BL255" s="40"/>
      <c r="BM255" s="40"/>
      <c r="BN255" s="40"/>
      <c r="BO255" s="40"/>
      <c r="BP255" s="40"/>
      <c r="BQ255" s="40"/>
      <c r="BR255" s="40"/>
      <c r="BS255" s="40"/>
      <c r="BT255" s="40"/>
      <c r="BU255" s="40"/>
      <c r="BV255" s="40"/>
      <c r="BW255" s="40"/>
      <c r="BX255" s="40"/>
      <c r="BY255" s="40"/>
      <c r="BZ255" s="40"/>
      <c r="CA255" s="40"/>
      <c r="CB255" s="40"/>
      <c r="CC255" s="40"/>
      <c r="CD255" s="40"/>
      <c r="CE255" s="30">
        <f t="shared" si="9"/>
        <v>0</v>
      </c>
      <c r="CF255" s="5"/>
    </row>
    <row r="256" spans="1:84" s="38" customFormat="1" x14ac:dyDescent="0.25">
      <c r="A256" s="61" t="s">
        <v>366</v>
      </c>
      <c r="B256" s="75">
        <f t="shared" si="8"/>
        <v>0</v>
      </c>
      <c r="C256" s="67">
        <v>1</v>
      </c>
      <c r="D256" s="70">
        <v>44410</v>
      </c>
      <c r="E256" s="77">
        <v>26.43</v>
      </c>
      <c r="F256" s="77">
        <f t="shared" si="10"/>
        <v>0</v>
      </c>
      <c r="G256" s="75"/>
      <c r="H256" s="16"/>
      <c r="I256" s="16"/>
      <c r="J256" s="175"/>
      <c r="K256" s="16"/>
      <c r="L256" s="40"/>
      <c r="M256" s="40"/>
      <c r="N256" s="40"/>
      <c r="O256" s="40"/>
      <c r="P256" s="40"/>
      <c r="Q256" s="40"/>
      <c r="R256" s="40"/>
      <c r="S256" s="40"/>
      <c r="T256" s="40"/>
      <c r="U256" s="40"/>
      <c r="V256" s="40"/>
      <c r="W256" s="40"/>
      <c r="X256" s="40"/>
      <c r="Y256" s="40"/>
      <c r="Z256" s="40"/>
      <c r="AA256" s="40"/>
      <c r="AB256" s="40"/>
      <c r="AC256" s="40"/>
      <c r="AD256" s="40"/>
      <c r="AE256" s="40"/>
      <c r="AF256" s="40"/>
      <c r="AG256" s="40"/>
      <c r="AH256" s="40"/>
      <c r="AI256" s="40"/>
      <c r="AJ256" s="40"/>
      <c r="AK256" s="40"/>
      <c r="AL256" s="40"/>
      <c r="AM256" s="40"/>
      <c r="AN256" s="40"/>
      <c r="AO256" s="40"/>
      <c r="AP256" s="40"/>
      <c r="AQ256" s="40"/>
      <c r="AR256" s="40"/>
      <c r="AS256" s="40"/>
      <c r="AT256" s="40"/>
      <c r="AU256" s="40"/>
      <c r="AV256" s="40"/>
      <c r="AW256" s="40"/>
      <c r="AX256" s="40"/>
      <c r="AY256" s="40"/>
      <c r="AZ256" s="40"/>
      <c r="BA256" s="40"/>
      <c r="BB256" s="40"/>
      <c r="BC256" s="40"/>
      <c r="BD256" s="40"/>
      <c r="BE256" s="40"/>
      <c r="BF256" s="40"/>
      <c r="BG256" s="40"/>
      <c r="BH256" s="40"/>
      <c r="BI256" s="40"/>
      <c r="BJ256" s="40"/>
      <c r="BK256" s="40"/>
      <c r="BL256" s="40"/>
      <c r="BM256" s="40"/>
      <c r="BN256" s="40"/>
      <c r="BO256" s="40"/>
      <c r="BP256" s="40"/>
      <c r="BQ256" s="40"/>
      <c r="BR256" s="40"/>
      <c r="BS256" s="40"/>
      <c r="BT256" s="40"/>
      <c r="BU256" s="40"/>
      <c r="BV256" s="40"/>
      <c r="BW256" s="40"/>
      <c r="BX256" s="40"/>
      <c r="BY256" s="40"/>
      <c r="BZ256" s="40"/>
      <c r="CA256" s="40"/>
      <c r="CB256" s="40"/>
      <c r="CC256" s="40"/>
      <c r="CD256" s="40"/>
      <c r="CE256" s="30">
        <f t="shared" si="9"/>
        <v>0</v>
      </c>
      <c r="CF256" s="5"/>
    </row>
    <row r="257" spans="1:107" s="38" customFormat="1" x14ac:dyDescent="0.25">
      <c r="A257" s="61" t="s">
        <v>201</v>
      </c>
      <c r="B257" s="75">
        <f t="shared" si="8"/>
        <v>0</v>
      </c>
      <c r="C257" s="67">
        <v>11</v>
      </c>
      <c r="D257" s="70">
        <v>44445</v>
      </c>
      <c r="E257" s="77">
        <v>22.57</v>
      </c>
      <c r="F257" s="77">
        <f t="shared" si="10"/>
        <v>0</v>
      </c>
      <c r="G257" s="75"/>
      <c r="H257" s="16"/>
      <c r="I257" s="16"/>
      <c r="J257" s="175"/>
      <c r="K257" s="16"/>
      <c r="L257" s="40"/>
      <c r="M257" s="40"/>
      <c r="N257" s="40"/>
      <c r="O257" s="40"/>
      <c r="P257" s="40"/>
      <c r="Q257" s="40"/>
      <c r="R257" s="40"/>
      <c r="S257" s="40"/>
      <c r="T257" s="40"/>
      <c r="U257" s="40"/>
      <c r="V257" s="40"/>
      <c r="W257" s="40"/>
      <c r="X257" s="40"/>
      <c r="Y257" s="40"/>
      <c r="Z257" s="40"/>
      <c r="AA257" s="40"/>
      <c r="AB257" s="40"/>
      <c r="AC257" s="40"/>
      <c r="AD257" s="40"/>
      <c r="AE257" s="40"/>
      <c r="AF257" s="40"/>
      <c r="AG257" s="40"/>
      <c r="AH257" s="40"/>
      <c r="AI257" s="40"/>
      <c r="AJ257" s="40"/>
      <c r="AK257" s="40"/>
      <c r="AL257" s="40"/>
      <c r="AM257" s="40"/>
      <c r="AN257" s="40"/>
      <c r="AO257" s="40"/>
      <c r="AP257" s="40"/>
      <c r="AQ257" s="40"/>
      <c r="AR257" s="40"/>
      <c r="AS257" s="40"/>
      <c r="AT257" s="40"/>
      <c r="AU257" s="40"/>
      <c r="AV257" s="40"/>
      <c r="AW257" s="40"/>
      <c r="AX257" s="40"/>
      <c r="AY257" s="40"/>
      <c r="AZ257" s="40"/>
      <c r="BA257" s="40"/>
      <c r="BB257" s="40"/>
      <c r="BC257" s="40"/>
      <c r="BD257" s="40"/>
      <c r="BE257" s="40"/>
      <c r="BF257" s="40"/>
      <c r="BG257" s="40"/>
      <c r="BH257" s="40"/>
      <c r="BI257" s="40"/>
      <c r="BJ257" s="40"/>
      <c r="BK257" s="40"/>
      <c r="BL257" s="40"/>
      <c r="BM257" s="40"/>
      <c r="BN257" s="40"/>
      <c r="BO257" s="40"/>
      <c r="BP257" s="40"/>
      <c r="BQ257" s="40"/>
      <c r="BR257" s="40"/>
      <c r="BS257" s="40"/>
      <c r="BT257" s="40"/>
      <c r="BU257" s="40"/>
      <c r="BV257" s="40"/>
      <c r="BW257" s="40"/>
      <c r="BX257" s="40"/>
      <c r="BY257" s="40"/>
      <c r="BZ257" s="40"/>
      <c r="CA257" s="40"/>
      <c r="CB257" s="40"/>
      <c r="CC257" s="40"/>
      <c r="CD257" s="40"/>
      <c r="CE257" s="30">
        <f t="shared" si="9"/>
        <v>0</v>
      </c>
      <c r="CF257" s="5"/>
    </row>
    <row r="258" spans="1:107" s="38" customFormat="1" x14ac:dyDescent="0.25">
      <c r="A258" s="45" t="s">
        <v>107</v>
      </c>
      <c r="B258" s="75">
        <f t="shared" si="8"/>
        <v>10</v>
      </c>
      <c r="C258" s="67">
        <v>10</v>
      </c>
      <c r="D258" s="69">
        <v>44543</v>
      </c>
      <c r="E258" s="77">
        <v>25.99</v>
      </c>
      <c r="F258" s="77">
        <f t="shared" si="10"/>
        <v>259.89999999999998</v>
      </c>
      <c r="G258" s="75">
        <v>10</v>
      </c>
      <c r="H258" s="16"/>
      <c r="I258" s="16"/>
      <c r="J258" s="175"/>
      <c r="K258" s="16"/>
      <c r="L258" s="40"/>
      <c r="M258" s="40"/>
      <c r="N258" s="40"/>
      <c r="O258" s="40"/>
      <c r="P258" s="40"/>
      <c r="Q258" s="40"/>
      <c r="R258" s="40"/>
      <c r="S258" s="40"/>
      <c r="T258" s="40"/>
      <c r="U258" s="40"/>
      <c r="V258" s="40"/>
      <c r="W258" s="40">
        <v>10</v>
      </c>
      <c r="X258" s="40"/>
      <c r="Y258" s="40"/>
      <c r="Z258" s="40"/>
      <c r="AA258" s="40"/>
      <c r="AB258" s="40"/>
      <c r="AC258" s="40"/>
      <c r="AD258" s="40"/>
      <c r="AE258" s="40"/>
      <c r="AF258" s="40"/>
      <c r="AG258" s="40"/>
      <c r="AH258" s="40"/>
      <c r="AI258" s="40"/>
      <c r="AJ258" s="40"/>
      <c r="AK258" s="40"/>
      <c r="AL258" s="40"/>
      <c r="AM258" s="40"/>
      <c r="AN258" s="40"/>
      <c r="AO258" s="40"/>
      <c r="AP258" s="40"/>
      <c r="AQ258" s="40"/>
      <c r="AR258" s="40"/>
      <c r="AS258" s="40"/>
      <c r="AT258" s="40"/>
      <c r="AU258" s="40"/>
      <c r="AV258" s="40"/>
      <c r="AW258" s="40"/>
      <c r="AX258" s="40"/>
      <c r="AY258" s="40"/>
      <c r="AZ258" s="40"/>
      <c r="BA258" s="40"/>
      <c r="BB258" s="40"/>
      <c r="BC258" s="40"/>
      <c r="BD258" s="40"/>
      <c r="BE258" s="40"/>
      <c r="BF258" s="40"/>
      <c r="BG258" s="40"/>
      <c r="BH258" s="40"/>
      <c r="BI258" s="40"/>
      <c r="BJ258" s="40"/>
      <c r="BK258" s="40"/>
      <c r="BL258" s="40"/>
      <c r="BM258" s="40"/>
      <c r="BN258" s="40"/>
      <c r="BO258" s="40"/>
      <c r="BP258" s="40"/>
      <c r="BQ258" s="40"/>
      <c r="BR258" s="40"/>
      <c r="BS258" s="40"/>
      <c r="BT258" s="40"/>
      <c r="BU258" s="40"/>
      <c r="BV258" s="40"/>
      <c r="BW258" s="40"/>
      <c r="BX258" s="40"/>
      <c r="BY258" s="40"/>
      <c r="BZ258" s="40"/>
      <c r="CA258" s="40"/>
      <c r="CB258" s="40"/>
      <c r="CC258" s="40"/>
      <c r="CD258" s="40"/>
      <c r="CE258" s="30">
        <f t="shared" si="9"/>
        <v>0</v>
      </c>
      <c r="CF258" s="5"/>
    </row>
    <row r="259" spans="1:107" s="38" customFormat="1" x14ac:dyDescent="0.25">
      <c r="A259" s="45" t="s">
        <v>107</v>
      </c>
      <c r="B259" s="75">
        <f t="shared" si="8"/>
        <v>2</v>
      </c>
      <c r="C259" s="67">
        <v>1</v>
      </c>
      <c r="D259" s="69">
        <v>44585</v>
      </c>
      <c r="E259" s="77">
        <v>28.13</v>
      </c>
      <c r="F259" s="77">
        <f t="shared" si="10"/>
        <v>56.26</v>
      </c>
      <c r="G259" s="75"/>
      <c r="H259" s="16"/>
      <c r="I259" s="16"/>
      <c r="J259" s="175"/>
      <c r="K259" s="16"/>
      <c r="L259" s="40"/>
      <c r="M259" s="40"/>
      <c r="N259" s="40"/>
      <c r="O259" s="40"/>
      <c r="P259" s="40"/>
      <c r="Q259" s="40"/>
      <c r="R259" s="40"/>
      <c r="S259" s="40"/>
      <c r="T259" s="40"/>
      <c r="U259" s="40"/>
      <c r="V259" s="40"/>
      <c r="W259" s="40"/>
      <c r="X259" s="40"/>
      <c r="Y259" s="40"/>
      <c r="Z259" s="40"/>
      <c r="AA259" s="40"/>
      <c r="AB259" s="40"/>
      <c r="AC259" s="40"/>
      <c r="AD259" s="40"/>
      <c r="AE259" s="40"/>
      <c r="AF259" s="40"/>
      <c r="AG259" s="40"/>
      <c r="AH259" s="40"/>
      <c r="AI259" s="40"/>
      <c r="AJ259" s="40"/>
      <c r="AK259" s="40"/>
      <c r="AL259" s="40"/>
      <c r="AM259" s="40"/>
      <c r="AN259" s="40"/>
      <c r="AO259" s="40"/>
      <c r="AP259" s="40"/>
      <c r="AQ259" s="40"/>
      <c r="AR259" s="40"/>
      <c r="AS259" s="40"/>
      <c r="AT259" s="40"/>
      <c r="AU259" s="40"/>
      <c r="AV259" s="40"/>
      <c r="AW259" s="40"/>
      <c r="AX259" s="40"/>
      <c r="AY259" s="40"/>
      <c r="AZ259" s="40"/>
      <c r="BA259" s="40"/>
      <c r="BB259" s="40"/>
      <c r="BC259" s="40"/>
      <c r="BD259" s="40">
        <v>2</v>
      </c>
      <c r="BE259" s="40"/>
      <c r="BF259" s="40"/>
      <c r="BG259" s="40"/>
      <c r="BH259" s="40"/>
      <c r="BI259" s="40"/>
      <c r="BJ259" s="40"/>
      <c r="BK259" s="40"/>
      <c r="BL259" s="40"/>
      <c r="BM259" s="40"/>
      <c r="BN259" s="40"/>
      <c r="BO259" s="40"/>
      <c r="BP259" s="40"/>
      <c r="BQ259" s="40"/>
      <c r="BR259" s="40"/>
      <c r="BS259" s="40"/>
      <c r="BT259" s="40"/>
      <c r="BU259" s="40"/>
      <c r="BV259" s="40"/>
      <c r="BW259" s="40"/>
      <c r="BX259" s="40"/>
      <c r="BY259" s="40"/>
      <c r="BZ259" s="40"/>
      <c r="CA259" s="40"/>
      <c r="CB259" s="40"/>
      <c r="CC259" s="40"/>
      <c r="CD259" s="40"/>
      <c r="CE259" s="30">
        <f t="shared" si="9"/>
        <v>2</v>
      </c>
      <c r="CF259" s="5"/>
    </row>
    <row r="260" spans="1:107" s="38" customFormat="1" x14ac:dyDescent="0.25">
      <c r="A260" s="45" t="s">
        <v>107</v>
      </c>
      <c r="B260" s="75">
        <f t="shared" si="8"/>
        <v>40</v>
      </c>
      <c r="C260" s="67">
        <v>10</v>
      </c>
      <c r="D260" s="69">
        <v>44557</v>
      </c>
      <c r="E260" s="77">
        <v>26.06</v>
      </c>
      <c r="F260" s="77">
        <f t="shared" si="10"/>
        <v>1042.3999999999999</v>
      </c>
      <c r="G260" s="75">
        <v>40</v>
      </c>
      <c r="H260" s="16"/>
      <c r="I260" s="16"/>
      <c r="J260" s="175"/>
      <c r="K260" s="16"/>
      <c r="L260" s="40"/>
      <c r="M260" s="40"/>
      <c r="N260" s="40"/>
      <c r="O260" s="40"/>
      <c r="P260" s="40"/>
      <c r="Q260" s="40"/>
      <c r="R260" s="40"/>
      <c r="S260" s="40"/>
      <c r="T260" s="40"/>
      <c r="U260" s="40"/>
      <c r="V260" s="40"/>
      <c r="W260" s="40">
        <v>40</v>
      </c>
      <c r="X260" s="40"/>
      <c r="Y260" s="40"/>
      <c r="Z260" s="40"/>
      <c r="AA260" s="40"/>
      <c r="AB260" s="40"/>
      <c r="AC260" s="40"/>
      <c r="AD260" s="40"/>
      <c r="AE260" s="40"/>
      <c r="AF260" s="40"/>
      <c r="AG260" s="40"/>
      <c r="AH260" s="40"/>
      <c r="AI260" s="40"/>
      <c r="AJ260" s="40"/>
      <c r="AK260" s="40"/>
      <c r="AL260" s="40"/>
      <c r="AM260" s="40"/>
      <c r="AN260" s="40"/>
      <c r="AO260" s="40"/>
      <c r="AP260" s="40"/>
      <c r="AQ260" s="40"/>
      <c r="AR260" s="40"/>
      <c r="AS260" s="40"/>
      <c r="AT260" s="40"/>
      <c r="AU260" s="40"/>
      <c r="AV260" s="40"/>
      <c r="AW260" s="40"/>
      <c r="AX260" s="40"/>
      <c r="AY260" s="40"/>
      <c r="AZ260" s="40"/>
      <c r="BA260" s="40"/>
      <c r="BB260" s="40"/>
      <c r="BC260" s="40"/>
      <c r="BD260" s="40"/>
      <c r="BE260" s="40"/>
      <c r="BF260" s="40"/>
      <c r="BG260" s="40"/>
      <c r="BH260" s="40"/>
      <c r="BI260" s="40"/>
      <c r="BJ260" s="40"/>
      <c r="BK260" s="40"/>
      <c r="BL260" s="40"/>
      <c r="BM260" s="40"/>
      <c r="BN260" s="40"/>
      <c r="BO260" s="40"/>
      <c r="BP260" s="40"/>
      <c r="BQ260" s="40"/>
      <c r="BR260" s="40"/>
      <c r="BS260" s="40"/>
      <c r="BT260" s="40"/>
      <c r="BU260" s="40"/>
      <c r="BV260" s="40"/>
      <c r="BW260" s="40"/>
      <c r="BX260" s="40"/>
      <c r="BY260" s="40"/>
      <c r="BZ260" s="40"/>
      <c r="CA260" s="40"/>
      <c r="CB260" s="40"/>
      <c r="CC260" s="40"/>
      <c r="CD260" s="40"/>
      <c r="CE260" s="30">
        <f t="shared" si="9"/>
        <v>0</v>
      </c>
      <c r="CF260" s="5"/>
    </row>
    <row r="261" spans="1:107" s="38" customFormat="1" x14ac:dyDescent="0.25">
      <c r="A261" s="45" t="s">
        <v>205</v>
      </c>
      <c r="B261" s="75">
        <f t="shared" si="8"/>
        <v>0</v>
      </c>
      <c r="C261" s="67">
        <v>1</v>
      </c>
      <c r="D261" s="69">
        <v>44532</v>
      </c>
      <c r="E261" s="77">
        <v>71.36</v>
      </c>
      <c r="F261" s="77">
        <f t="shared" si="10"/>
        <v>0</v>
      </c>
      <c r="G261" s="75"/>
      <c r="H261" s="16"/>
      <c r="I261" s="16"/>
      <c r="J261" s="175"/>
      <c r="K261" s="16"/>
      <c r="L261" s="40"/>
      <c r="M261" s="40"/>
      <c r="N261" s="40"/>
      <c r="O261" s="40"/>
      <c r="P261" s="40"/>
      <c r="Q261" s="40"/>
      <c r="R261" s="40"/>
      <c r="S261" s="40"/>
      <c r="T261" s="40"/>
      <c r="U261" s="40"/>
      <c r="V261" s="40"/>
      <c r="W261" s="40"/>
      <c r="X261" s="40"/>
      <c r="Y261" s="40"/>
      <c r="Z261" s="40"/>
      <c r="AA261" s="40"/>
      <c r="AB261" s="40"/>
      <c r="AC261" s="40"/>
      <c r="AD261" s="40"/>
      <c r="AE261" s="40"/>
      <c r="AF261" s="40"/>
      <c r="AG261" s="40"/>
      <c r="AH261" s="40"/>
      <c r="AI261" s="40"/>
      <c r="AJ261" s="40"/>
      <c r="AK261" s="40"/>
      <c r="AL261" s="40"/>
      <c r="AM261" s="40"/>
      <c r="AN261" s="40"/>
      <c r="AO261" s="40"/>
      <c r="AP261" s="40"/>
      <c r="AQ261" s="40"/>
      <c r="AR261" s="40"/>
      <c r="AS261" s="40"/>
      <c r="AT261" s="40"/>
      <c r="AU261" s="40"/>
      <c r="AV261" s="40"/>
      <c r="AW261" s="40"/>
      <c r="AX261" s="40"/>
      <c r="AY261" s="40"/>
      <c r="AZ261" s="40"/>
      <c r="BA261" s="40"/>
      <c r="BB261" s="40"/>
      <c r="BC261" s="40"/>
      <c r="BD261" s="40"/>
      <c r="BE261" s="40"/>
      <c r="BF261" s="40"/>
      <c r="BG261" s="40"/>
      <c r="BH261" s="40"/>
      <c r="BI261" s="40"/>
      <c r="BJ261" s="40"/>
      <c r="BK261" s="40"/>
      <c r="BL261" s="40"/>
      <c r="BM261" s="40"/>
      <c r="BN261" s="40"/>
      <c r="BO261" s="40"/>
      <c r="BP261" s="40"/>
      <c r="BQ261" s="40"/>
      <c r="BR261" s="40"/>
      <c r="BS261" s="40"/>
      <c r="BT261" s="40"/>
      <c r="BU261" s="40"/>
      <c r="BV261" s="40"/>
      <c r="BW261" s="40"/>
      <c r="BX261" s="40"/>
      <c r="BY261" s="40"/>
      <c r="BZ261" s="40"/>
      <c r="CA261" s="40"/>
      <c r="CB261" s="40"/>
      <c r="CC261" s="40"/>
      <c r="CD261" s="40"/>
      <c r="CE261" s="30">
        <f t="shared" si="9"/>
        <v>0</v>
      </c>
      <c r="CF261" s="5"/>
    </row>
    <row r="262" spans="1:107" s="38" customFormat="1" x14ac:dyDescent="0.25">
      <c r="A262" s="45" t="s">
        <v>447</v>
      </c>
      <c r="B262" s="75">
        <f t="shared" si="8"/>
        <v>0</v>
      </c>
      <c r="C262" s="67">
        <v>8</v>
      </c>
      <c r="D262" s="70">
        <v>44452</v>
      </c>
      <c r="E262" s="77">
        <v>19.14</v>
      </c>
      <c r="F262" s="77">
        <f t="shared" si="10"/>
        <v>0</v>
      </c>
      <c r="G262" s="75"/>
      <c r="H262" s="16"/>
      <c r="I262" s="16"/>
      <c r="J262" s="175"/>
      <c r="K262" s="16"/>
      <c r="L262" s="40"/>
      <c r="M262" s="40"/>
      <c r="N262" s="40"/>
      <c r="O262" s="40"/>
      <c r="P262" s="40"/>
      <c r="Q262" s="40"/>
      <c r="R262" s="40"/>
      <c r="S262" s="40"/>
      <c r="T262" s="40"/>
      <c r="U262" s="40"/>
      <c r="V262" s="40"/>
      <c r="W262" s="40"/>
      <c r="X262" s="40"/>
      <c r="Y262" s="40"/>
      <c r="Z262" s="40"/>
      <c r="AA262" s="40"/>
      <c r="AB262" s="40"/>
      <c r="AC262" s="40"/>
      <c r="AD262" s="40"/>
      <c r="AE262" s="40"/>
      <c r="AF262" s="40"/>
      <c r="AG262" s="40"/>
      <c r="AH262" s="40"/>
      <c r="AI262" s="40"/>
      <c r="AJ262" s="40"/>
      <c r="AK262" s="40"/>
      <c r="AL262" s="40"/>
      <c r="AM262" s="40"/>
      <c r="AN262" s="40"/>
      <c r="AO262" s="40"/>
      <c r="AP262" s="40"/>
      <c r="AQ262" s="40"/>
      <c r="AR262" s="40"/>
      <c r="AS262" s="40"/>
      <c r="AT262" s="40"/>
      <c r="AU262" s="40"/>
      <c r="AV262" s="40"/>
      <c r="AW262" s="40"/>
      <c r="AX262" s="40"/>
      <c r="AY262" s="40"/>
      <c r="AZ262" s="40"/>
      <c r="BA262" s="40"/>
      <c r="BB262" s="40"/>
      <c r="BC262" s="40"/>
      <c r="BD262" s="40"/>
      <c r="BE262" s="40"/>
      <c r="BF262" s="40"/>
      <c r="BG262" s="40"/>
      <c r="BH262" s="40"/>
      <c r="BI262" s="40"/>
      <c r="BJ262" s="40"/>
      <c r="BK262" s="40"/>
      <c r="BL262" s="40"/>
      <c r="BM262" s="40"/>
      <c r="BN262" s="40"/>
      <c r="BO262" s="40"/>
      <c r="BP262" s="40"/>
      <c r="BQ262" s="40"/>
      <c r="BR262" s="40"/>
      <c r="BS262" s="40"/>
      <c r="BT262" s="40"/>
      <c r="BU262" s="40"/>
      <c r="BV262" s="40"/>
      <c r="BW262" s="40"/>
      <c r="BX262" s="40"/>
      <c r="BY262" s="40"/>
      <c r="BZ262" s="40"/>
      <c r="CA262" s="40"/>
      <c r="CB262" s="40"/>
      <c r="CC262" s="40"/>
      <c r="CD262" s="40"/>
      <c r="CE262" s="30">
        <f t="shared" si="9"/>
        <v>0</v>
      </c>
      <c r="CF262" s="5"/>
    </row>
    <row r="263" spans="1:107" s="38" customFormat="1" x14ac:dyDescent="0.25">
      <c r="A263" s="45" t="s">
        <v>115</v>
      </c>
      <c r="B263" s="75">
        <f t="shared" si="8"/>
        <v>0</v>
      </c>
      <c r="C263" s="67">
        <v>1</v>
      </c>
      <c r="D263" s="70">
        <v>44410</v>
      </c>
      <c r="E263" s="77">
        <v>21.53</v>
      </c>
      <c r="F263" s="77">
        <f t="shared" si="10"/>
        <v>0</v>
      </c>
      <c r="G263" s="75"/>
      <c r="H263" s="16"/>
      <c r="I263" s="16"/>
      <c r="J263" s="175"/>
      <c r="K263" s="16"/>
      <c r="L263" s="40"/>
      <c r="M263" s="40"/>
      <c r="N263" s="40"/>
      <c r="O263" s="40"/>
      <c r="P263" s="40"/>
      <c r="Q263" s="40"/>
      <c r="R263" s="40"/>
      <c r="S263" s="40"/>
      <c r="T263" s="40"/>
      <c r="U263" s="40"/>
      <c r="V263" s="40"/>
      <c r="W263" s="40"/>
      <c r="X263" s="40"/>
      <c r="Y263" s="40"/>
      <c r="Z263" s="40"/>
      <c r="AA263" s="40"/>
      <c r="AB263" s="40"/>
      <c r="AC263" s="40"/>
      <c r="AD263" s="40"/>
      <c r="AE263" s="40"/>
      <c r="AF263" s="40"/>
      <c r="AG263" s="40"/>
      <c r="AH263" s="40"/>
      <c r="AI263" s="40"/>
      <c r="AJ263" s="40"/>
      <c r="AK263" s="40"/>
      <c r="AL263" s="40"/>
      <c r="AM263" s="40"/>
      <c r="AN263" s="40"/>
      <c r="AO263" s="40"/>
      <c r="AP263" s="40"/>
      <c r="AQ263" s="40"/>
      <c r="AR263" s="40"/>
      <c r="AS263" s="40"/>
      <c r="AT263" s="40"/>
      <c r="AU263" s="40"/>
      <c r="AV263" s="40"/>
      <c r="AW263" s="40"/>
      <c r="AX263" s="40"/>
      <c r="AY263" s="40"/>
      <c r="AZ263" s="40"/>
      <c r="BA263" s="40"/>
      <c r="BB263" s="40"/>
      <c r="BC263" s="40"/>
      <c r="BD263" s="40"/>
      <c r="BE263" s="40"/>
      <c r="BF263" s="40"/>
      <c r="BG263" s="40"/>
      <c r="BH263" s="40"/>
      <c r="BI263" s="40"/>
      <c r="BJ263" s="40"/>
      <c r="BK263" s="40"/>
      <c r="BL263" s="40"/>
      <c r="BM263" s="40"/>
      <c r="BN263" s="40"/>
      <c r="BO263" s="40"/>
      <c r="BP263" s="40"/>
      <c r="BQ263" s="40"/>
      <c r="BR263" s="40"/>
      <c r="BS263" s="40"/>
      <c r="BT263" s="40"/>
      <c r="BU263" s="40"/>
      <c r="BV263" s="40"/>
      <c r="BW263" s="40"/>
      <c r="BX263" s="40"/>
      <c r="BY263" s="40"/>
      <c r="BZ263" s="40"/>
      <c r="CA263" s="40"/>
      <c r="CB263" s="40"/>
      <c r="CC263" s="40"/>
      <c r="CD263" s="40"/>
      <c r="CE263" s="30">
        <f t="shared" si="9"/>
        <v>0</v>
      </c>
      <c r="CF263" s="5"/>
    </row>
    <row r="264" spans="1:107" s="38" customFormat="1" x14ac:dyDescent="0.25">
      <c r="A264" s="45" t="s">
        <v>296</v>
      </c>
      <c r="B264" s="75">
        <f t="shared" si="8"/>
        <v>0</v>
      </c>
      <c r="C264" s="67">
        <v>10</v>
      </c>
      <c r="D264" s="69">
        <v>44557</v>
      </c>
      <c r="E264" s="77">
        <v>22.3</v>
      </c>
      <c r="F264" s="77">
        <f t="shared" si="10"/>
        <v>0</v>
      </c>
      <c r="G264" s="75"/>
      <c r="H264" s="16"/>
      <c r="I264" s="16"/>
      <c r="J264" s="175"/>
      <c r="K264" s="16"/>
      <c r="L264" s="40"/>
      <c r="M264" s="40"/>
      <c r="N264" s="40"/>
      <c r="O264" s="40"/>
      <c r="P264" s="40"/>
      <c r="Q264" s="40"/>
      <c r="R264" s="40"/>
      <c r="S264" s="40"/>
      <c r="T264" s="40"/>
      <c r="U264" s="40"/>
      <c r="V264" s="40"/>
      <c r="W264" s="40"/>
      <c r="X264" s="40"/>
      <c r="Y264" s="40"/>
      <c r="Z264" s="40"/>
      <c r="AA264" s="40"/>
      <c r="AB264" s="40"/>
      <c r="AC264" s="40"/>
      <c r="AD264" s="40"/>
      <c r="AE264" s="40"/>
      <c r="AF264" s="40"/>
      <c r="AG264" s="40"/>
      <c r="AH264" s="40"/>
      <c r="AI264" s="40"/>
      <c r="AJ264" s="40"/>
      <c r="AK264" s="40"/>
      <c r="AL264" s="40"/>
      <c r="AM264" s="40"/>
      <c r="AN264" s="40"/>
      <c r="AO264" s="40"/>
      <c r="AP264" s="40"/>
      <c r="AQ264" s="40"/>
      <c r="AR264" s="40"/>
      <c r="AS264" s="40"/>
      <c r="AT264" s="40"/>
      <c r="AU264" s="40"/>
      <c r="AV264" s="40"/>
      <c r="AW264" s="40"/>
      <c r="AX264" s="40"/>
      <c r="AY264" s="40"/>
      <c r="AZ264" s="40"/>
      <c r="BA264" s="40"/>
      <c r="BB264" s="40"/>
      <c r="BC264" s="40"/>
      <c r="BD264" s="40"/>
      <c r="BE264" s="40"/>
      <c r="BF264" s="40"/>
      <c r="BG264" s="40"/>
      <c r="BH264" s="40"/>
      <c r="BI264" s="40"/>
      <c r="BJ264" s="40"/>
      <c r="BK264" s="40"/>
      <c r="BL264" s="40"/>
      <c r="BM264" s="40"/>
      <c r="BN264" s="40"/>
      <c r="BO264" s="40"/>
      <c r="BP264" s="40"/>
      <c r="BQ264" s="40"/>
      <c r="BR264" s="40"/>
      <c r="BS264" s="40"/>
      <c r="BT264" s="40"/>
      <c r="BU264" s="40"/>
      <c r="BV264" s="40"/>
      <c r="BW264" s="40"/>
      <c r="BX264" s="40"/>
      <c r="BY264" s="40"/>
      <c r="BZ264" s="40"/>
      <c r="CA264" s="40"/>
      <c r="CB264" s="40"/>
      <c r="CC264" s="40"/>
      <c r="CD264" s="40"/>
      <c r="CE264" s="30">
        <f t="shared" si="9"/>
        <v>0</v>
      </c>
      <c r="CF264" s="5"/>
    </row>
    <row r="265" spans="1:107" s="38" customFormat="1" x14ac:dyDescent="0.25">
      <c r="A265" s="61" t="s">
        <v>20</v>
      </c>
      <c r="B265" s="75">
        <f t="shared" ref="B265:B285" si="11">SUMIF(G$3:CD$3,"прих",G265:CD265)-SUMIF(G$3:CD$3,"отгр",G265:CD265)</f>
        <v>30</v>
      </c>
      <c r="C265" s="67">
        <v>10</v>
      </c>
      <c r="D265" s="69">
        <v>44494</v>
      </c>
      <c r="E265" s="77">
        <v>27.08</v>
      </c>
      <c r="F265" s="77">
        <f t="shared" si="10"/>
        <v>812.4</v>
      </c>
      <c r="G265" s="75">
        <v>30</v>
      </c>
      <c r="H265" s="16"/>
      <c r="I265" s="16"/>
      <c r="J265" s="175"/>
      <c r="K265" s="16"/>
      <c r="L265" s="40"/>
      <c r="M265" s="40"/>
      <c r="N265" s="40"/>
      <c r="O265" s="40"/>
      <c r="P265" s="40"/>
      <c r="Q265" s="40"/>
      <c r="R265" s="40">
        <v>30</v>
      </c>
      <c r="S265" s="40"/>
      <c r="T265" s="40"/>
      <c r="U265" s="40"/>
      <c r="V265" s="40"/>
      <c r="W265" s="40"/>
      <c r="X265" s="40"/>
      <c r="Y265" s="40"/>
      <c r="Z265" s="40"/>
      <c r="AA265" s="40"/>
      <c r="AB265" s="40"/>
      <c r="AC265" s="40"/>
      <c r="AD265" s="40"/>
      <c r="AE265" s="40"/>
      <c r="AF265" s="40"/>
      <c r="AG265" s="40"/>
      <c r="AH265" s="40"/>
      <c r="AI265" s="40"/>
      <c r="AJ265" s="40"/>
      <c r="AK265" s="40"/>
      <c r="AL265" s="40"/>
      <c r="AM265" s="40"/>
      <c r="AN265" s="40"/>
      <c r="AO265" s="40"/>
      <c r="AP265" s="40"/>
      <c r="AQ265" s="40"/>
      <c r="AR265" s="40"/>
      <c r="AS265" s="40"/>
      <c r="AT265" s="40"/>
      <c r="AU265" s="40"/>
      <c r="AV265" s="40"/>
      <c r="AW265" s="40"/>
      <c r="AX265" s="40"/>
      <c r="AY265" s="40"/>
      <c r="AZ265" s="40"/>
      <c r="BA265" s="40"/>
      <c r="BB265" s="40"/>
      <c r="BC265" s="40"/>
      <c r="BD265" s="40"/>
      <c r="BE265" s="40"/>
      <c r="BF265" s="40"/>
      <c r="BG265" s="40"/>
      <c r="BH265" s="40"/>
      <c r="BI265" s="40"/>
      <c r="BJ265" s="40"/>
      <c r="BK265" s="40"/>
      <c r="BL265" s="40"/>
      <c r="BM265" s="40"/>
      <c r="BN265" s="40"/>
      <c r="BO265" s="40"/>
      <c r="BP265" s="40"/>
      <c r="BQ265" s="40"/>
      <c r="BR265" s="40"/>
      <c r="BS265" s="40"/>
      <c r="BT265" s="40"/>
      <c r="BU265" s="40"/>
      <c r="BV265" s="40"/>
      <c r="BW265" s="40"/>
      <c r="BX265" s="40"/>
      <c r="BY265" s="40"/>
      <c r="BZ265" s="40"/>
      <c r="CA265" s="40"/>
      <c r="CB265" s="40"/>
      <c r="CC265" s="40"/>
      <c r="CD265" s="40"/>
      <c r="CE265" s="30">
        <f t="shared" ref="CE265:CE329" si="12">$B265-SUMIF($G$3:$GS$3,"",$G265:$GS265)</f>
        <v>0</v>
      </c>
      <c r="CF265" s="5"/>
    </row>
    <row r="266" spans="1:107" s="38" customFormat="1" x14ac:dyDescent="0.25">
      <c r="A266" s="61" t="s">
        <v>177</v>
      </c>
      <c r="B266" s="75">
        <f t="shared" si="11"/>
        <v>0</v>
      </c>
      <c r="C266" s="67">
        <v>1</v>
      </c>
      <c r="D266" s="69">
        <v>44585</v>
      </c>
      <c r="E266" s="77">
        <v>26.45</v>
      </c>
      <c r="F266" s="77">
        <f t="shared" si="10"/>
        <v>0</v>
      </c>
      <c r="G266" s="75"/>
      <c r="H266" s="16"/>
      <c r="I266" s="16"/>
      <c r="J266" s="175"/>
      <c r="K266" s="16"/>
      <c r="L266" s="40"/>
      <c r="M266" s="40"/>
      <c r="N266" s="40"/>
      <c r="O266" s="40"/>
      <c r="P266" s="40"/>
      <c r="Q266" s="40"/>
      <c r="R266" s="40"/>
      <c r="S266" s="40"/>
      <c r="T266" s="40"/>
      <c r="U266" s="40"/>
      <c r="V266" s="40"/>
      <c r="W266" s="40"/>
      <c r="X266" s="40"/>
      <c r="Y266" s="40"/>
      <c r="Z266" s="40"/>
      <c r="AA266" s="40"/>
      <c r="AB266" s="40"/>
      <c r="AC266" s="40"/>
      <c r="AD266" s="40"/>
      <c r="AE266" s="40"/>
      <c r="AF266" s="40"/>
      <c r="AG266" s="40"/>
      <c r="AH266" s="40"/>
      <c r="AI266" s="40"/>
      <c r="AJ266" s="40"/>
      <c r="AK266" s="40"/>
      <c r="AL266" s="40"/>
      <c r="AM266" s="40"/>
      <c r="AN266" s="40"/>
      <c r="AO266" s="40"/>
      <c r="AP266" s="40"/>
      <c r="AQ266" s="40"/>
      <c r="AR266" s="40"/>
      <c r="AS266" s="40"/>
      <c r="AT266" s="40"/>
      <c r="AU266" s="40"/>
      <c r="AV266" s="40"/>
      <c r="AW266" s="40"/>
      <c r="AX266" s="40"/>
      <c r="AY266" s="40"/>
      <c r="AZ266" s="40"/>
      <c r="BA266" s="40"/>
      <c r="BB266" s="40"/>
      <c r="BC266" s="40"/>
      <c r="BD266" s="40">
        <v>2</v>
      </c>
      <c r="BE266" s="40"/>
      <c r="BF266" s="40"/>
      <c r="BG266" s="40"/>
      <c r="BH266" s="40"/>
      <c r="BI266" s="40"/>
      <c r="BJ266" s="40"/>
      <c r="BK266" s="40"/>
      <c r="BL266" s="40"/>
      <c r="BM266" s="40"/>
      <c r="BN266" s="40">
        <v>2</v>
      </c>
      <c r="BO266" s="40"/>
      <c r="BP266" s="40"/>
      <c r="BQ266" s="40"/>
      <c r="BR266" s="40"/>
      <c r="BS266" s="40"/>
      <c r="BT266" s="40"/>
      <c r="BU266" s="40"/>
      <c r="BV266" s="40"/>
      <c r="BW266" s="40"/>
      <c r="BX266" s="40"/>
      <c r="BY266" s="40"/>
      <c r="BZ266" s="40"/>
      <c r="CA266" s="40"/>
      <c r="CB266" s="40"/>
      <c r="CC266" s="40"/>
      <c r="CD266" s="40"/>
      <c r="CE266" s="30">
        <f t="shared" si="12"/>
        <v>0</v>
      </c>
      <c r="CF266" s="5"/>
    </row>
    <row r="267" spans="1:107" s="38" customFormat="1" x14ac:dyDescent="0.25">
      <c r="A267" s="61" t="s">
        <v>135</v>
      </c>
      <c r="B267" s="75">
        <f t="shared" si="11"/>
        <v>10</v>
      </c>
      <c r="C267" s="67">
        <v>10</v>
      </c>
      <c r="D267" s="69">
        <v>44543</v>
      </c>
      <c r="E267" s="77">
        <v>24.84</v>
      </c>
      <c r="F267" s="77">
        <f t="shared" si="10"/>
        <v>248.4</v>
      </c>
      <c r="G267" s="75">
        <v>10</v>
      </c>
      <c r="H267" s="172">
        <v>10</v>
      </c>
      <c r="I267" s="172"/>
      <c r="J267" s="175"/>
      <c r="K267" s="16"/>
      <c r="L267" s="40"/>
      <c r="M267" s="40"/>
      <c r="N267" s="40"/>
      <c r="O267" s="40"/>
      <c r="P267" s="40"/>
      <c r="Q267" s="40"/>
      <c r="R267" s="40"/>
      <c r="S267" s="40"/>
      <c r="T267" s="40"/>
      <c r="U267" s="40"/>
      <c r="V267" s="40"/>
      <c r="W267" s="40"/>
      <c r="X267" s="40"/>
      <c r="Y267" s="40"/>
      <c r="Z267" s="40"/>
      <c r="AA267" s="40"/>
      <c r="AB267" s="40"/>
      <c r="AC267" s="40"/>
      <c r="AD267" s="40"/>
      <c r="AE267" s="40"/>
      <c r="AF267" s="40"/>
      <c r="AG267" s="40"/>
      <c r="AH267" s="40"/>
      <c r="AI267" s="40"/>
      <c r="AJ267" s="40"/>
      <c r="AK267" s="40"/>
      <c r="AL267" s="40"/>
      <c r="AM267" s="40"/>
      <c r="AN267" s="40"/>
      <c r="AO267" s="40"/>
      <c r="AP267" s="40"/>
      <c r="AQ267" s="40"/>
      <c r="AR267" s="40"/>
      <c r="AS267" s="40"/>
      <c r="AT267" s="40"/>
      <c r="AU267" s="40"/>
      <c r="AV267" s="40"/>
      <c r="AW267" s="40"/>
      <c r="AX267" s="40"/>
      <c r="AY267" s="40"/>
      <c r="AZ267" s="40"/>
      <c r="BA267" s="40"/>
      <c r="BB267" s="40"/>
      <c r="BC267" s="40"/>
      <c r="BD267" s="40"/>
      <c r="BE267" s="40"/>
      <c r="BF267" s="40"/>
      <c r="BG267" s="40"/>
      <c r="BH267" s="40"/>
      <c r="BI267" s="40"/>
      <c r="BJ267" s="40"/>
      <c r="BK267" s="40"/>
      <c r="BL267" s="40"/>
      <c r="BM267" s="40"/>
      <c r="BN267" s="40"/>
      <c r="BO267" s="40"/>
      <c r="BP267" s="40"/>
      <c r="BQ267" s="40"/>
      <c r="BR267" s="40"/>
      <c r="BS267" s="40"/>
      <c r="BT267" s="40"/>
      <c r="BU267" s="40"/>
      <c r="BV267" s="40"/>
      <c r="BW267" s="40"/>
      <c r="BX267" s="40"/>
      <c r="BY267" s="40"/>
      <c r="BZ267" s="40"/>
      <c r="CA267" s="40"/>
      <c r="CB267" s="40"/>
      <c r="CC267" s="40"/>
      <c r="CD267" s="40"/>
      <c r="CE267" s="30">
        <f t="shared" si="12"/>
        <v>0</v>
      </c>
      <c r="CF267" s="5"/>
    </row>
    <row r="268" spans="1:107" s="38" customFormat="1" x14ac:dyDescent="0.25">
      <c r="A268" s="61" t="s">
        <v>71</v>
      </c>
      <c r="B268" s="75">
        <f t="shared" si="11"/>
        <v>20</v>
      </c>
      <c r="C268" s="67">
        <v>10</v>
      </c>
      <c r="D268" s="69">
        <v>44382</v>
      </c>
      <c r="E268" s="77">
        <v>18.38</v>
      </c>
      <c r="F268" s="77">
        <f t="shared" si="10"/>
        <v>367.59999999999997</v>
      </c>
      <c r="G268" s="75">
        <v>20</v>
      </c>
      <c r="H268" s="16"/>
      <c r="I268" s="16"/>
      <c r="J268" s="175"/>
      <c r="K268" s="16"/>
      <c r="L268" s="40"/>
      <c r="M268" s="40"/>
      <c r="N268" s="40"/>
      <c r="O268" s="40"/>
      <c r="P268" s="40"/>
      <c r="Q268" s="40"/>
      <c r="R268" s="40">
        <v>10</v>
      </c>
      <c r="S268" s="40"/>
      <c r="T268" s="40"/>
      <c r="U268" s="40"/>
      <c r="V268" s="40"/>
      <c r="W268" s="40"/>
      <c r="X268" s="40"/>
      <c r="Y268" s="40"/>
      <c r="Z268" s="40"/>
      <c r="AA268" s="40"/>
      <c r="AB268" s="40"/>
      <c r="AC268" s="40"/>
      <c r="AD268" s="40"/>
      <c r="AE268" s="40"/>
      <c r="AF268" s="40"/>
      <c r="AG268" s="40"/>
      <c r="AH268" s="40"/>
      <c r="AI268" s="40"/>
      <c r="AJ268" s="40"/>
      <c r="AK268" s="40"/>
      <c r="AL268" s="40"/>
      <c r="AM268" s="40"/>
      <c r="AN268" s="40">
        <v>10</v>
      </c>
      <c r="AO268" s="40"/>
      <c r="AP268" s="40"/>
      <c r="AQ268" s="40"/>
      <c r="AR268" s="40"/>
      <c r="AS268" s="40"/>
      <c r="AT268" s="40"/>
      <c r="AU268" s="40"/>
      <c r="AV268" s="40"/>
      <c r="AW268" s="40"/>
      <c r="AX268" s="40"/>
      <c r="AY268" s="40"/>
      <c r="AZ268" s="40"/>
      <c r="BA268" s="40"/>
      <c r="BB268" s="40"/>
      <c r="BC268" s="40"/>
      <c r="BD268" s="40"/>
      <c r="BE268" s="40"/>
      <c r="BF268" s="40"/>
      <c r="BG268" s="40"/>
      <c r="BH268" s="40"/>
      <c r="BI268" s="40"/>
      <c r="BJ268" s="40"/>
      <c r="BK268" s="40"/>
      <c r="BL268" s="40"/>
      <c r="BM268" s="40"/>
      <c r="BN268" s="40"/>
      <c r="BO268" s="40"/>
      <c r="BP268" s="40"/>
      <c r="BQ268" s="40"/>
      <c r="BR268" s="40"/>
      <c r="BS268" s="40"/>
      <c r="BT268" s="40"/>
      <c r="BU268" s="40"/>
      <c r="BV268" s="40"/>
      <c r="BW268" s="40"/>
      <c r="BX268" s="40"/>
      <c r="BY268" s="40"/>
      <c r="BZ268" s="40"/>
      <c r="CA268" s="40"/>
      <c r="CB268" s="40"/>
      <c r="CC268" s="40"/>
      <c r="CD268" s="40"/>
      <c r="CE268" s="30">
        <f t="shared" si="12"/>
        <v>0</v>
      </c>
      <c r="CF268" s="5"/>
    </row>
    <row r="269" spans="1:107" x14ac:dyDescent="0.25">
      <c r="A269" s="61" t="s">
        <v>145</v>
      </c>
      <c r="B269" s="75">
        <f t="shared" si="11"/>
        <v>1.8</v>
      </c>
      <c r="C269" s="67">
        <v>0.9</v>
      </c>
      <c r="D269" s="70">
        <v>44585</v>
      </c>
      <c r="E269" s="77">
        <v>43.1</v>
      </c>
      <c r="F269" s="77">
        <f t="shared" si="10"/>
        <v>77.58</v>
      </c>
      <c r="G269" s="75">
        <v>1.8</v>
      </c>
      <c r="H269" s="16"/>
      <c r="I269" s="16"/>
      <c r="J269" s="175"/>
      <c r="K269" s="16"/>
      <c r="L269" s="40"/>
      <c r="M269" s="40"/>
      <c r="N269" s="40"/>
      <c r="O269" s="40"/>
      <c r="P269" s="40"/>
      <c r="Q269" s="40"/>
      <c r="R269" s="40"/>
      <c r="S269" s="40"/>
      <c r="T269" s="40"/>
      <c r="U269" s="40"/>
      <c r="V269" s="40"/>
      <c r="W269" s="40"/>
      <c r="X269" s="40"/>
      <c r="Y269" s="40"/>
      <c r="Z269" s="40"/>
      <c r="AA269" s="40"/>
      <c r="AB269" s="40"/>
      <c r="AC269" s="40"/>
      <c r="AD269" s="40">
        <v>1.8</v>
      </c>
      <c r="AE269" s="40">
        <v>1.8</v>
      </c>
      <c r="AF269" s="40"/>
      <c r="AG269" s="40"/>
      <c r="AH269" s="40"/>
      <c r="AI269" s="40"/>
      <c r="AJ269" s="40"/>
      <c r="AK269" s="40"/>
      <c r="AL269" s="40"/>
      <c r="AM269" s="40"/>
      <c r="AN269" s="40"/>
      <c r="AO269" s="40"/>
      <c r="AP269" s="40"/>
      <c r="AQ269" s="40"/>
      <c r="AR269" s="40"/>
      <c r="AS269" s="40"/>
      <c r="AT269" s="40"/>
      <c r="AU269" s="40"/>
      <c r="AV269" s="40"/>
      <c r="AW269" s="40"/>
      <c r="AX269" s="40"/>
      <c r="AY269" s="40"/>
      <c r="AZ269" s="40"/>
      <c r="BA269" s="40"/>
      <c r="BB269" s="40"/>
      <c r="BC269" s="40"/>
      <c r="BD269" s="40">
        <v>1.8</v>
      </c>
      <c r="BE269" s="40"/>
      <c r="BF269" s="40"/>
      <c r="BG269" s="40"/>
      <c r="BH269" s="40"/>
      <c r="BI269" s="40"/>
      <c r="BJ269" s="40"/>
      <c r="BK269" s="40"/>
      <c r="BL269" s="40"/>
      <c r="BM269" s="40"/>
      <c r="BN269" s="40"/>
      <c r="BO269" s="40"/>
      <c r="BP269" s="40"/>
      <c r="BQ269" s="40"/>
      <c r="BR269" s="40"/>
      <c r="BS269" s="40"/>
      <c r="BT269" s="40"/>
      <c r="BU269" s="40"/>
      <c r="BV269" s="40"/>
      <c r="BW269" s="40"/>
      <c r="BX269" s="40"/>
      <c r="BY269" s="40"/>
      <c r="BZ269" s="40"/>
      <c r="CA269" s="40"/>
      <c r="CB269" s="40"/>
      <c r="CC269" s="40"/>
      <c r="CD269" s="40"/>
      <c r="CE269" s="30">
        <f t="shared" si="12"/>
        <v>0</v>
      </c>
      <c r="CF269" s="5"/>
      <c r="CG269" s="7"/>
      <c r="CH269" s="7"/>
      <c r="CI269" s="7"/>
      <c r="CJ269" s="7"/>
      <c r="CK269" s="7"/>
      <c r="CL269" s="7"/>
      <c r="CM269" s="7"/>
      <c r="CN269" s="7"/>
      <c r="CO269" s="7"/>
      <c r="CP269" s="7"/>
      <c r="CQ269" s="7"/>
      <c r="CR269" s="7"/>
      <c r="CS269" s="7"/>
      <c r="CT269" s="7"/>
      <c r="CU269" s="7"/>
      <c r="CV269" s="7"/>
      <c r="CW269" s="7"/>
      <c r="CX269" s="7"/>
      <c r="CY269" s="7"/>
      <c r="CZ269" s="7"/>
      <c r="DA269" s="7"/>
      <c r="DB269" s="7"/>
      <c r="DC269" s="7"/>
    </row>
    <row r="270" spans="1:107" x14ac:dyDescent="0.25">
      <c r="A270" s="45" t="s">
        <v>65</v>
      </c>
      <c r="B270" s="75">
        <f t="shared" si="11"/>
        <v>0</v>
      </c>
      <c r="C270" s="67">
        <v>10</v>
      </c>
      <c r="D270" s="70">
        <v>44543</v>
      </c>
      <c r="E270" s="77">
        <v>26.12</v>
      </c>
      <c r="F270" s="77">
        <f t="shared" si="10"/>
        <v>0</v>
      </c>
      <c r="G270" s="75"/>
      <c r="H270" s="16"/>
      <c r="I270" s="16"/>
      <c r="J270" s="175"/>
      <c r="K270" s="16"/>
      <c r="L270" s="40"/>
      <c r="M270" s="40"/>
      <c r="N270" s="40"/>
      <c r="O270" s="40"/>
      <c r="P270" s="40"/>
      <c r="Q270" s="40"/>
      <c r="R270" s="40"/>
      <c r="S270" s="40"/>
      <c r="T270" s="40"/>
      <c r="U270" s="40"/>
      <c r="V270" s="40"/>
      <c r="W270" s="40"/>
      <c r="X270" s="40"/>
      <c r="Y270" s="40"/>
      <c r="Z270" s="40"/>
      <c r="AA270" s="40"/>
      <c r="AB270" s="40"/>
      <c r="AC270" s="40"/>
      <c r="AD270" s="40"/>
      <c r="AE270" s="40"/>
      <c r="AF270" s="40"/>
      <c r="AG270" s="40"/>
      <c r="AH270" s="40"/>
      <c r="AI270" s="40"/>
      <c r="AJ270" s="40"/>
      <c r="AK270" s="40"/>
      <c r="AL270" s="40"/>
      <c r="AM270" s="40"/>
      <c r="AN270" s="40"/>
      <c r="AO270" s="40"/>
      <c r="AP270" s="40"/>
      <c r="AQ270" s="40"/>
      <c r="AR270" s="40"/>
      <c r="AS270" s="40"/>
      <c r="AT270" s="40"/>
      <c r="AU270" s="40"/>
      <c r="AV270" s="40"/>
      <c r="AW270" s="40"/>
      <c r="AX270" s="40"/>
      <c r="AY270" s="40"/>
      <c r="AZ270" s="40"/>
      <c r="BA270" s="40"/>
      <c r="BB270" s="40"/>
      <c r="BC270" s="40"/>
      <c r="BD270" s="40"/>
      <c r="BE270" s="40"/>
      <c r="BF270" s="40"/>
      <c r="BG270" s="40"/>
      <c r="BH270" s="40"/>
      <c r="BI270" s="40"/>
      <c r="BJ270" s="40"/>
      <c r="BK270" s="40"/>
      <c r="BL270" s="40"/>
      <c r="BM270" s="40"/>
      <c r="BN270" s="40"/>
      <c r="BO270" s="40"/>
      <c r="BP270" s="40"/>
      <c r="BQ270" s="40"/>
      <c r="BR270" s="40"/>
      <c r="BS270" s="40"/>
      <c r="BT270" s="40"/>
      <c r="BU270" s="40"/>
      <c r="BV270" s="40"/>
      <c r="BW270" s="40"/>
      <c r="BX270" s="40"/>
      <c r="BY270" s="40"/>
      <c r="BZ270" s="40"/>
      <c r="CA270" s="40"/>
      <c r="CB270" s="40"/>
      <c r="CC270" s="40"/>
      <c r="CD270" s="40"/>
      <c r="CE270" s="30">
        <f t="shared" si="12"/>
        <v>0</v>
      </c>
      <c r="CF270" s="5"/>
      <c r="CG270" s="7"/>
      <c r="CH270" s="7"/>
      <c r="CI270" s="7"/>
      <c r="CJ270" s="7"/>
      <c r="CK270" s="7"/>
      <c r="CL270" s="7"/>
      <c r="CM270" s="7"/>
      <c r="CN270" s="7"/>
      <c r="CO270" s="7"/>
      <c r="CP270" s="7"/>
      <c r="CQ270" s="7"/>
      <c r="CR270" s="7"/>
      <c r="CS270" s="7"/>
      <c r="CT270" s="7"/>
      <c r="CU270" s="7"/>
      <c r="CV270" s="7"/>
      <c r="CW270" s="7"/>
      <c r="CX270" s="7"/>
      <c r="CY270" s="7"/>
      <c r="CZ270" s="7"/>
      <c r="DA270" s="7"/>
      <c r="DB270" s="7"/>
      <c r="DC270" s="7"/>
    </row>
    <row r="271" spans="1:107" x14ac:dyDescent="0.25">
      <c r="A271" s="45" t="s">
        <v>245</v>
      </c>
      <c r="B271" s="75">
        <f t="shared" si="11"/>
        <v>0</v>
      </c>
      <c r="C271" s="67">
        <v>10</v>
      </c>
      <c r="D271" s="69">
        <v>44522</v>
      </c>
      <c r="E271" s="77">
        <v>29.85</v>
      </c>
      <c r="F271" s="77">
        <f t="shared" si="10"/>
        <v>0</v>
      </c>
      <c r="G271" s="75"/>
      <c r="H271" s="16"/>
      <c r="I271" s="16"/>
      <c r="J271" s="175"/>
      <c r="K271" s="16"/>
      <c r="L271" s="40"/>
      <c r="M271" s="40"/>
      <c r="N271" s="40"/>
      <c r="O271" s="40"/>
      <c r="P271" s="40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0"/>
      <c r="AN271" s="40"/>
      <c r="AO271" s="40"/>
      <c r="AP271" s="40"/>
      <c r="AQ271" s="40"/>
      <c r="AR271" s="40"/>
      <c r="AS271" s="40"/>
      <c r="AT271" s="40"/>
      <c r="AU271" s="40"/>
      <c r="AV271" s="40"/>
      <c r="AW271" s="40"/>
      <c r="AX271" s="40"/>
      <c r="AY271" s="40"/>
      <c r="AZ271" s="40"/>
      <c r="BA271" s="40"/>
      <c r="BB271" s="40"/>
      <c r="BC271" s="40"/>
      <c r="BD271" s="40"/>
      <c r="BE271" s="40"/>
      <c r="BF271" s="40"/>
      <c r="BG271" s="40"/>
      <c r="BH271" s="40"/>
      <c r="BI271" s="40"/>
      <c r="BJ271" s="40"/>
      <c r="BK271" s="40"/>
      <c r="BL271" s="40"/>
      <c r="BM271" s="40"/>
      <c r="BN271" s="40"/>
      <c r="BO271" s="40"/>
      <c r="BP271" s="40"/>
      <c r="BQ271" s="40"/>
      <c r="BR271" s="40"/>
      <c r="BS271" s="40"/>
      <c r="BT271" s="40"/>
      <c r="BU271" s="40"/>
      <c r="BV271" s="40"/>
      <c r="BW271" s="40"/>
      <c r="BX271" s="40"/>
      <c r="BY271" s="40"/>
      <c r="BZ271" s="40"/>
      <c r="CA271" s="40"/>
      <c r="CB271" s="40"/>
      <c r="CC271" s="40"/>
      <c r="CD271" s="40"/>
      <c r="CE271" s="30">
        <f t="shared" si="12"/>
        <v>0</v>
      </c>
      <c r="CF271" s="5"/>
      <c r="CG271" s="7"/>
      <c r="CH271" s="7"/>
      <c r="CI271" s="7"/>
      <c r="CJ271" s="7"/>
      <c r="CK271" s="7"/>
      <c r="CL271" s="7"/>
      <c r="CM271" s="7"/>
      <c r="CN271" s="7"/>
      <c r="CO271" s="7"/>
      <c r="CP271" s="7"/>
      <c r="CQ271" s="7"/>
      <c r="CR271" s="7"/>
      <c r="CS271" s="7"/>
      <c r="CT271" s="7"/>
      <c r="CU271" s="7"/>
      <c r="CV271" s="7"/>
      <c r="CW271" s="7"/>
      <c r="CX271" s="7"/>
      <c r="CY271" s="7"/>
      <c r="CZ271" s="7"/>
      <c r="DA271" s="7"/>
      <c r="DB271" s="7"/>
      <c r="DC271" s="7"/>
    </row>
    <row r="272" spans="1:107" x14ac:dyDescent="0.25">
      <c r="A272" s="45" t="s">
        <v>118</v>
      </c>
      <c r="B272" s="75">
        <f t="shared" si="11"/>
        <v>0</v>
      </c>
      <c r="C272" s="67">
        <v>10</v>
      </c>
      <c r="D272" s="69">
        <v>44557</v>
      </c>
      <c r="E272" s="77">
        <v>17.16</v>
      </c>
      <c r="F272" s="77">
        <f t="shared" ref="F272:F336" si="13">E272*B272</f>
        <v>0</v>
      </c>
      <c r="G272" s="75"/>
      <c r="H272" s="16"/>
      <c r="I272" s="16"/>
      <c r="J272" s="175"/>
      <c r="K272" s="16"/>
      <c r="L272" s="40"/>
      <c r="M272" s="40"/>
      <c r="N272" s="40"/>
      <c r="O272" s="40"/>
      <c r="P272" s="40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0"/>
      <c r="AN272" s="40"/>
      <c r="AO272" s="40"/>
      <c r="AP272" s="40"/>
      <c r="AQ272" s="40"/>
      <c r="AR272" s="40"/>
      <c r="AS272" s="40"/>
      <c r="AT272" s="40"/>
      <c r="AU272" s="40"/>
      <c r="AV272" s="40"/>
      <c r="AW272" s="40"/>
      <c r="AX272" s="40"/>
      <c r="AY272" s="40"/>
      <c r="AZ272" s="40"/>
      <c r="BA272" s="40"/>
      <c r="BB272" s="40"/>
      <c r="BC272" s="40"/>
      <c r="BD272" s="40"/>
      <c r="BE272" s="40"/>
      <c r="BF272" s="40"/>
      <c r="BG272" s="40"/>
      <c r="BH272" s="40"/>
      <c r="BI272" s="40"/>
      <c r="BJ272" s="40"/>
      <c r="BK272" s="40"/>
      <c r="BL272" s="40"/>
      <c r="BM272" s="40"/>
      <c r="BN272" s="40"/>
      <c r="BO272" s="40"/>
      <c r="BP272" s="40"/>
      <c r="BQ272" s="40"/>
      <c r="BR272" s="40"/>
      <c r="BS272" s="40"/>
      <c r="BT272" s="40"/>
      <c r="BU272" s="40"/>
      <c r="BV272" s="40"/>
      <c r="BW272" s="40"/>
      <c r="BX272" s="40"/>
      <c r="BY272" s="40"/>
      <c r="BZ272" s="40"/>
      <c r="CA272" s="40"/>
      <c r="CB272" s="40"/>
      <c r="CC272" s="40"/>
      <c r="CD272" s="40"/>
      <c r="CE272" s="30">
        <f t="shared" si="12"/>
        <v>0</v>
      </c>
      <c r="CF272" s="5"/>
      <c r="CG272" s="7"/>
      <c r="CH272" s="7"/>
      <c r="CI272" s="7"/>
      <c r="CJ272" s="7"/>
      <c r="CK272" s="7"/>
      <c r="CL272" s="7"/>
      <c r="CM272" s="7"/>
      <c r="CN272" s="7"/>
      <c r="CO272" s="7"/>
      <c r="CP272" s="7"/>
      <c r="CQ272" s="7"/>
      <c r="CR272" s="7"/>
      <c r="CS272" s="7"/>
      <c r="CT272" s="7"/>
      <c r="CU272" s="7"/>
      <c r="CV272" s="7"/>
      <c r="CW272" s="7"/>
      <c r="CX272" s="7"/>
      <c r="CY272" s="7"/>
      <c r="CZ272" s="7"/>
      <c r="DA272" s="7"/>
      <c r="DB272" s="7"/>
      <c r="DC272" s="7"/>
    </row>
    <row r="273" spans="1:107" s="38" customFormat="1" ht="12.75" customHeight="1" x14ac:dyDescent="0.25">
      <c r="A273" s="61" t="s">
        <v>19</v>
      </c>
      <c r="B273" s="75">
        <f t="shared" si="11"/>
        <v>50</v>
      </c>
      <c r="C273" s="67">
        <v>10</v>
      </c>
      <c r="D273" s="70">
        <v>44557</v>
      </c>
      <c r="E273" s="77">
        <v>23.99</v>
      </c>
      <c r="F273" s="77">
        <f t="shared" si="13"/>
        <v>1199.5</v>
      </c>
      <c r="G273" s="75">
        <v>20</v>
      </c>
      <c r="H273" s="16"/>
      <c r="I273" s="16"/>
      <c r="J273" s="175"/>
      <c r="K273" s="16"/>
      <c r="L273" s="40"/>
      <c r="M273" s="40"/>
      <c r="N273" s="40"/>
      <c r="O273" s="40"/>
      <c r="P273" s="40">
        <v>50</v>
      </c>
      <c r="Q273" s="40"/>
      <c r="R273" s="40"/>
      <c r="S273" s="40"/>
      <c r="T273" s="40"/>
      <c r="U273" s="40"/>
      <c r="V273" s="40"/>
      <c r="W273" s="40"/>
      <c r="X273" s="40"/>
      <c r="Y273" s="40"/>
      <c r="Z273" s="40"/>
      <c r="AA273" s="40"/>
      <c r="AB273" s="40"/>
      <c r="AC273" s="40"/>
      <c r="AD273" s="40"/>
      <c r="AE273" s="40"/>
      <c r="AF273" s="40"/>
      <c r="AG273" s="40"/>
      <c r="AH273" s="40"/>
      <c r="AI273" s="40"/>
      <c r="AJ273" s="40"/>
      <c r="AK273" s="40"/>
      <c r="AL273" s="40"/>
      <c r="AM273" s="40"/>
      <c r="AN273" s="40"/>
      <c r="AO273" s="40"/>
      <c r="AP273" s="40"/>
      <c r="AQ273" s="40"/>
      <c r="AR273" s="40"/>
      <c r="AS273" s="40"/>
      <c r="AT273" s="40"/>
      <c r="AU273" s="40"/>
      <c r="AV273" s="40"/>
      <c r="AW273" s="40"/>
      <c r="AX273" s="40"/>
      <c r="AY273" s="40"/>
      <c r="AZ273" s="40"/>
      <c r="BA273" s="40"/>
      <c r="BB273" s="40"/>
      <c r="BC273" s="40"/>
      <c r="BD273" s="40">
        <v>30</v>
      </c>
      <c r="BE273" s="40"/>
      <c r="BF273" s="40"/>
      <c r="BG273" s="40"/>
      <c r="BH273" s="40"/>
      <c r="BI273" s="40"/>
      <c r="BJ273" s="40"/>
      <c r="BK273" s="40"/>
      <c r="BL273" s="40"/>
      <c r="BM273" s="40"/>
      <c r="BN273" s="40"/>
      <c r="BO273" s="40"/>
      <c r="BP273" s="40"/>
      <c r="BQ273" s="40"/>
      <c r="BR273" s="40"/>
      <c r="BS273" s="40"/>
      <c r="BT273" s="40"/>
      <c r="BU273" s="40"/>
      <c r="BV273" s="40"/>
      <c r="BW273" s="40"/>
      <c r="BX273" s="40"/>
      <c r="BY273" s="40"/>
      <c r="BZ273" s="40"/>
      <c r="CA273" s="40"/>
      <c r="CB273" s="40"/>
      <c r="CC273" s="40"/>
      <c r="CD273" s="40"/>
      <c r="CE273" s="30">
        <f t="shared" si="12"/>
        <v>0</v>
      </c>
      <c r="CF273" s="5"/>
    </row>
    <row r="274" spans="1:107" s="38" customFormat="1" ht="12.75" customHeight="1" x14ac:dyDescent="0.25">
      <c r="A274" s="61" t="s">
        <v>19</v>
      </c>
      <c r="B274" s="75">
        <f t="shared" si="11"/>
        <v>70</v>
      </c>
      <c r="C274" s="67">
        <v>10</v>
      </c>
      <c r="D274" s="70">
        <v>44564</v>
      </c>
      <c r="E274" s="77">
        <v>23.96</v>
      </c>
      <c r="F274" s="77">
        <f t="shared" si="13"/>
        <v>1677.2</v>
      </c>
      <c r="G274" s="75"/>
      <c r="H274" s="16"/>
      <c r="I274" s="16"/>
      <c r="J274" s="175"/>
      <c r="K274" s="16"/>
      <c r="L274" s="40"/>
      <c r="M274" s="40"/>
      <c r="N274" s="40"/>
      <c r="O274" s="40"/>
      <c r="P274" s="40">
        <v>70</v>
      </c>
      <c r="Q274" s="40"/>
      <c r="R274" s="40"/>
      <c r="S274" s="40"/>
      <c r="T274" s="40"/>
      <c r="U274" s="40"/>
      <c r="V274" s="40"/>
      <c r="W274" s="40"/>
      <c r="X274" s="40"/>
      <c r="Y274" s="40"/>
      <c r="Z274" s="40"/>
      <c r="AA274" s="40"/>
      <c r="AB274" s="40"/>
      <c r="AC274" s="40"/>
      <c r="AD274" s="40"/>
      <c r="AE274" s="40"/>
      <c r="AF274" s="40"/>
      <c r="AG274" s="40"/>
      <c r="AH274" s="40"/>
      <c r="AI274" s="40"/>
      <c r="AJ274" s="40"/>
      <c r="AK274" s="40"/>
      <c r="AL274" s="40"/>
      <c r="AM274" s="40"/>
      <c r="AN274" s="40"/>
      <c r="AO274" s="40"/>
      <c r="AP274" s="40"/>
      <c r="AQ274" s="40"/>
      <c r="AR274" s="40"/>
      <c r="AS274" s="40"/>
      <c r="AT274" s="40"/>
      <c r="AU274" s="40"/>
      <c r="AV274" s="40"/>
      <c r="AW274" s="40">
        <v>70</v>
      </c>
      <c r="AX274" s="40"/>
      <c r="AY274" s="40"/>
      <c r="AZ274" s="40"/>
      <c r="BA274" s="40"/>
      <c r="BB274" s="40"/>
      <c r="BC274" s="40"/>
      <c r="BD274" s="40"/>
      <c r="BE274" s="40"/>
      <c r="BF274" s="40"/>
      <c r="BG274" s="40"/>
      <c r="BH274" s="40"/>
      <c r="BI274" s="40"/>
      <c r="BJ274" s="40"/>
      <c r="BK274" s="40"/>
      <c r="BL274" s="40"/>
      <c r="BM274" s="40"/>
      <c r="BN274" s="40"/>
      <c r="BO274" s="40"/>
      <c r="BP274" s="40"/>
      <c r="BQ274" s="40"/>
      <c r="BR274" s="40"/>
      <c r="BS274" s="40"/>
      <c r="BT274" s="40"/>
      <c r="BU274" s="40"/>
      <c r="BV274" s="40"/>
      <c r="BW274" s="40"/>
      <c r="BX274" s="40"/>
      <c r="BY274" s="40"/>
      <c r="BZ274" s="40"/>
      <c r="CA274" s="40"/>
      <c r="CB274" s="40"/>
      <c r="CC274" s="40"/>
      <c r="CD274" s="40"/>
      <c r="CE274" s="30">
        <f t="shared" si="12"/>
        <v>0</v>
      </c>
      <c r="CF274" s="5"/>
    </row>
    <row r="275" spans="1:107" s="38" customFormat="1" ht="12.75" customHeight="1" x14ac:dyDescent="0.25">
      <c r="A275" s="61" t="s">
        <v>19</v>
      </c>
      <c r="B275" s="75">
        <f t="shared" si="11"/>
        <v>30</v>
      </c>
      <c r="C275" s="67">
        <v>10</v>
      </c>
      <c r="D275" s="70">
        <v>44593</v>
      </c>
      <c r="E275" s="77">
        <v>23.43</v>
      </c>
      <c r="F275" s="77">
        <f t="shared" si="13"/>
        <v>702.9</v>
      </c>
      <c r="G275" s="75"/>
      <c r="H275" s="16"/>
      <c r="I275" s="16"/>
      <c r="J275" s="175"/>
      <c r="K275" s="16"/>
      <c r="L275" s="40"/>
      <c r="M275" s="40"/>
      <c r="N275" s="40"/>
      <c r="O275" s="40"/>
      <c r="P275" s="40">
        <v>30</v>
      </c>
      <c r="Q275" s="40"/>
      <c r="R275" s="40"/>
      <c r="S275" s="40"/>
      <c r="T275" s="40"/>
      <c r="U275" s="40"/>
      <c r="V275" s="40"/>
      <c r="W275" s="40"/>
      <c r="X275" s="40"/>
      <c r="Y275" s="40"/>
      <c r="Z275" s="40"/>
      <c r="AA275" s="40"/>
      <c r="AB275" s="40"/>
      <c r="AC275" s="40"/>
      <c r="AD275" s="40"/>
      <c r="AE275" s="40"/>
      <c r="AF275" s="40"/>
      <c r="AG275" s="40"/>
      <c r="AH275" s="40"/>
      <c r="AI275" s="40"/>
      <c r="AJ275" s="40"/>
      <c r="AK275" s="40"/>
      <c r="AL275" s="40"/>
      <c r="AM275" s="40"/>
      <c r="AN275" s="40"/>
      <c r="AO275" s="40"/>
      <c r="AP275" s="40"/>
      <c r="AQ275" s="40"/>
      <c r="AR275" s="40"/>
      <c r="AS275" s="40"/>
      <c r="AT275" s="40"/>
      <c r="AU275" s="40"/>
      <c r="AV275" s="40"/>
      <c r="AW275" s="40"/>
      <c r="AX275" s="40"/>
      <c r="AY275" s="40"/>
      <c r="AZ275" s="40"/>
      <c r="BA275" s="40"/>
      <c r="BB275" s="40"/>
      <c r="BC275" s="40"/>
      <c r="BD275" s="40"/>
      <c r="BE275" s="40">
        <v>30</v>
      </c>
      <c r="BF275" s="40"/>
      <c r="BG275" s="40"/>
      <c r="BH275" s="40"/>
      <c r="BI275" s="40"/>
      <c r="BJ275" s="40"/>
      <c r="BK275" s="40"/>
      <c r="BL275" s="40"/>
      <c r="BM275" s="40"/>
      <c r="BN275" s="40"/>
      <c r="BO275" s="40"/>
      <c r="BP275" s="40"/>
      <c r="BQ275" s="40"/>
      <c r="BR275" s="40"/>
      <c r="BS275" s="40"/>
      <c r="BT275" s="40"/>
      <c r="BU275" s="40"/>
      <c r="BV275" s="40"/>
      <c r="BW275" s="40"/>
      <c r="BX275" s="40"/>
      <c r="BY275" s="40"/>
      <c r="BZ275" s="40"/>
      <c r="CA275" s="40"/>
      <c r="CB275" s="40"/>
      <c r="CC275" s="40"/>
      <c r="CD275" s="40"/>
      <c r="CE275" s="30">
        <f t="shared" si="12"/>
        <v>0</v>
      </c>
      <c r="CF275" s="5"/>
    </row>
    <row r="276" spans="1:107" s="38" customFormat="1" ht="12.75" customHeight="1" x14ac:dyDescent="0.25">
      <c r="A276" s="61" t="s">
        <v>263</v>
      </c>
      <c r="B276" s="75">
        <f t="shared" si="11"/>
        <v>370</v>
      </c>
      <c r="C276" s="67">
        <v>10</v>
      </c>
      <c r="D276" s="70" t="s">
        <v>589</v>
      </c>
      <c r="E276" s="77">
        <v>30.84</v>
      </c>
      <c r="F276" s="77">
        <f t="shared" si="13"/>
        <v>11410.8</v>
      </c>
      <c r="G276" s="75">
        <v>110</v>
      </c>
      <c r="H276" s="16"/>
      <c r="I276" s="16"/>
      <c r="J276" s="175"/>
      <c r="K276" s="16"/>
      <c r="L276" s="40"/>
      <c r="M276" s="40"/>
      <c r="N276" s="40"/>
      <c r="O276" s="40"/>
      <c r="P276" s="40"/>
      <c r="Q276" s="40">
        <v>90</v>
      </c>
      <c r="R276" s="40">
        <v>290</v>
      </c>
      <c r="S276" s="40"/>
      <c r="T276" s="40"/>
      <c r="U276" s="40">
        <v>40</v>
      </c>
      <c r="V276" s="40"/>
      <c r="W276" s="40"/>
      <c r="X276" s="40"/>
      <c r="Y276" s="40"/>
      <c r="Z276" s="40"/>
      <c r="AA276" s="40"/>
      <c r="AB276" s="40"/>
      <c r="AC276" s="40"/>
      <c r="AD276" s="40"/>
      <c r="AE276" s="40"/>
      <c r="AF276" s="40"/>
      <c r="AG276" s="40"/>
      <c r="AH276" s="40"/>
      <c r="AI276" s="40"/>
      <c r="AJ276" s="40"/>
      <c r="AK276" s="40"/>
      <c r="AL276" s="40"/>
      <c r="AM276" s="40"/>
      <c r="AN276" s="40"/>
      <c r="AO276" s="40"/>
      <c r="AP276" s="40"/>
      <c r="AQ276" s="40"/>
      <c r="AR276" s="40"/>
      <c r="AS276" s="40"/>
      <c r="AT276" s="40"/>
      <c r="AU276" s="40"/>
      <c r="AV276" s="40"/>
      <c r="AW276" s="40"/>
      <c r="AX276" s="40"/>
      <c r="AY276" s="40"/>
      <c r="AZ276" s="40"/>
      <c r="BA276" s="40"/>
      <c r="BB276" s="40"/>
      <c r="BC276" s="40"/>
      <c r="BD276" s="40">
        <v>290</v>
      </c>
      <c r="BE276" s="40">
        <v>100</v>
      </c>
      <c r="BF276" s="40"/>
      <c r="BG276" s="40"/>
      <c r="BH276" s="40"/>
      <c r="BI276" s="40"/>
      <c r="BJ276" s="40"/>
      <c r="BK276" s="40"/>
      <c r="BL276" s="40"/>
      <c r="BM276" s="40"/>
      <c r="BN276" s="40"/>
      <c r="BO276" s="40"/>
      <c r="BP276" s="40"/>
      <c r="BQ276" s="40"/>
      <c r="BR276" s="40"/>
      <c r="BS276" s="40"/>
      <c r="BT276" s="40"/>
      <c r="BU276" s="40"/>
      <c r="BV276" s="40"/>
      <c r="BW276" s="40"/>
      <c r="BX276" s="40"/>
      <c r="BY276" s="40"/>
      <c r="BZ276" s="40"/>
      <c r="CA276" s="40"/>
      <c r="CB276" s="40"/>
      <c r="CC276" s="40"/>
      <c r="CD276" s="40"/>
      <c r="CE276" s="30">
        <f t="shared" si="12"/>
        <v>80</v>
      </c>
      <c r="CF276" s="5"/>
    </row>
    <row r="277" spans="1:107" s="38" customFormat="1" ht="12.75" customHeight="1" x14ac:dyDescent="0.25">
      <c r="A277" s="61" t="s">
        <v>263</v>
      </c>
      <c r="B277" s="75">
        <f t="shared" si="11"/>
        <v>130</v>
      </c>
      <c r="C277" s="67">
        <v>10</v>
      </c>
      <c r="D277" s="69">
        <v>44564</v>
      </c>
      <c r="E277" s="77">
        <v>31.51</v>
      </c>
      <c r="F277" s="77">
        <f t="shared" si="13"/>
        <v>4096.3</v>
      </c>
      <c r="G277" s="75"/>
      <c r="H277" s="16"/>
      <c r="I277" s="16"/>
      <c r="J277" s="175"/>
      <c r="K277" s="16"/>
      <c r="L277" s="40"/>
      <c r="M277" s="40"/>
      <c r="N277" s="40"/>
      <c r="O277" s="40"/>
      <c r="P277" s="40"/>
      <c r="Q277" s="40">
        <v>60</v>
      </c>
      <c r="R277" s="40">
        <v>130</v>
      </c>
      <c r="S277" s="40"/>
      <c r="T277" s="40"/>
      <c r="U277" s="40"/>
      <c r="V277" s="40"/>
      <c r="W277" s="40"/>
      <c r="X277" s="40"/>
      <c r="Y277" s="40"/>
      <c r="Z277" s="40"/>
      <c r="AA277" s="40"/>
      <c r="AB277" s="40"/>
      <c r="AC277" s="40"/>
      <c r="AD277" s="40"/>
      <c r="AE277" s="40"/>
      <c r="AF277" s="40"/>
      <c r="AG277" s="40"/>
      <c r="AH277" s="40"/>
      <c r="AI277" s="40"/>
      <c r="AJ277" s="40"/>
      <c r="AK277" s="40"/>
      <c r="AL277" s="40"/>
      <c r="AM277" s="40"/>
      <c r="AN277" s="40"/>
      <c r="AO277" s="40"/>
      <c r="AP277" s="40"/>
      <c r="AQ277" s="40"/>
      <c r="AR277" s="40"/>
      <c r="AS277" s="40"/>
      <c r="AT277" s="40"/>
      <c r="AU277" s="40"/>
      <c r="AV277" s="40"/>
      <c r="AW277" s="40">
        <v>190</v>
      </c>
      <c r="AX277" s="40"/>
      <c r="AY277" s="40"/>
      <c r="AZ277" s="40"/>
      <c r="BA277" s="40"/>
      <c r="BB277" s="40"/>
      <c r="BC277" s="40"/>
      <c r="BD277" s="40"/>
      <c r="BE277" s="40"/>
      <c r="BF277" s="40"/>
      <c r="BG277" s="40"/>
      <c r="BH277" s="40"/>
      <c r="BI277" s="40"/>
      <c r="BJ277" s="40"/>
      <c r="BK277" s="40"/>
      <c r="BL277" s="40"/>
      <c r="BM277" s="40"/>
      <c r="BN277" s="40"/>
      <c r="BO277" s="40"/>
      <c r="BP277" s="40"/>
      <c r="BQ277" s="40"/>
      <c r="BR277" s="40"/>
      <c r="BS277" s="40"/>
      <c r="BT277" s="40"/>
      <c r="BU277" s="40"/>
      <c r="BV277" s="40"/>
      <c r="BW277" s="40"/>
      <c r="BX277" s="40"/>
      <c r="BY277" s="40"/>
      <c r="BZ277" s="40"/>
      <c r="CA277" s="40"/>
      <c r="CB277" s="40"/>
      <c r="CC277" s="40"/>
      <c r="CD277" s="40"/>
      <c r="CE277" s="30">
        <f t="shared" si="12"/>
        <v>0</v>
      </c>
      <c r="CF277" s="5"/>
    </row>
    <row r="278" spans="1:107" s="38" customFormat="1" ht="12.75" customHeight="1" x14ac:dyDescent="0.25">
      <c r="A278" s="61" t="s">
        <v>214</v>
      </c>
      <c r="B278" s="75">
        <f t="shared" si="11"/>
        <v>0</v>
      </c>
      <c r="C278" s="67">
        <v>1</v>
      </c>
      <c r="D278" s="69">
        <v>44396</v>
      </c>
      <c r="E278" s="77">
        <v>19.53</v>
      </c>
      <c r="F278" s="77">
        <f t="shared" si="13"/>
        <v>0</v>
      </c>
      <c r="G278" s="75"/>
      <c r="H278" s="16"/>
      <c r="I278" s="16"/>
      <c r="J278" s="175"/>
      <c r="K278" s="16"/>
      <c r="L278" s="40"/>
      <c r="M278" s="40"/>
      <c r="N278" s="40"/>
      <c r="O278" s="40"/>
      <c r="P278" s="40"/>
      <c r="Q278" s="40"/>
      <c r="R278" s="40"/>
      <c r="S278" s="40"/>
      <c r="T278" s="40"/>
      <c r="U278" s="40"/>
      <c r="V278" s="40"/>
      <c r="W278" s="40"/>
      <c r="X278" s="40"/>
      <c r="Y278" s="40"/>
      <c r="Z278" s="40"/>
      <c r="AA278" s="40"/>
      <c r="AB278" s="40"/>
      <c r="AC278" s="40"/>
      <c r="AD278" s="40"/>
      <c r="AE278" s="40"/>
      <c r="AF278" s="40"/>
      <c r="AG278" s="40"/>
      <c r="AH278" s="40"/>
      <c r="AI278" s="40"/>
      <c r="AJ278" s="40"/>
      <c r="AK278" s="40"/>
      <c r="AL278" s="40"/>
      <c r="AM278" s="40"/>
      <c r="AN278" s="40"/>
      <c r="AO278" s="40"/>
      <c r="AP278" s="40"/>
      <c r="AQ278" s="40"/>
      <c r="AR278" s="40"/>
      <c r="AS278" s="40"/>
      <c r="AT278" s="40"/>
      <c r="AU278" s="40"/>
      <c r="AV278" s="40"/>
      <c r="AW278" s="40"/>
      <c r="AX278" s="40"/>
      <c r="AY278" s="40"/>
      <c r="AZ278" s="40"/>
      <c r="BA278" s="40"/>
      <c r="BB278" s="40"/>
      <c r="BC278" s="40"/>
      <c r="BD278" s="40"/>
      <c r="BE278" s="40"/>
      <c r="BF278" s="40"/>
      <c r="BG278" s="40"/>
      <c r="BH278" s="40"/>
      <c r="BI278" s="40"/>
      <c r="BJ278" s="40"/>
      <c r="BK278" s="40"/>
      <c r="BL278" s="40"/>
      <c r="BM278" s="40"/>
      <c r="BN278" s="40"/>
      <c r="BO278" s="40"/>
      <c r="BP278" s="40"/>
      <c r="BQ278" s="40"/>
      <c r="BR278" s="40"/>
      <c r="BS278" s="40"/>
      <c r="BT278" s="40"/>
      <c r="BU278" s="40"/>
      <c r="BV278" s="40"/>
      <c r="BW278" s="40"/>
      <c r="BX278" s="40"/>
      <c r="BY278" s="40"/>
      <c r="BZ278" s="40"/>
      <c r="CA278" s="40"/>
      <c r="CB278" s="40"/>
      <c r="CC278" s="40"/>
      <c r="CD278" s="40"/>
      <c r="CE278" s="30">
        <f t="shared" si="12"/>
        <v>0</v>
      </c>
      <c r="CF278" s="5"/>
    </row>
    <row r="279" spans="1:107" ht="12.75" customHeight="1" x14ac:dyDescent="0.25">
      <c r="A279" s="45" t="s">
        <v>119</v>
      </c>
      <c r="B279" s="75">
        <f t="shared" si="11"/>
        <v>0</v>
      </c>
      <c r="C279" s="67">
        <v>1</v>
      </c>
      <c r="D279" s="70">
        <v>44522</v>
      </c>
      <c r="E279" s="77">
        <v>24.17</v>
      </c>
      <c r="F279" s="77">
        <f t="shared" si="13"/>
        <v>0</v>
      </c>
      <c r="G279" s="75"/>
      <c r="H279" s="16"/>
      <c r="I279" s="16"/>
      <c r="J279" s="175"/>
      <c r="K279" s="16"/>
      <c r="L279" s="40"/>
      <c r="M279" s="40"/>
      <c r="N279" s="40"/>
      <c r="O279" s="40"/>
      <c r="P279" s="40"/>
      <c r="Q279" s="40"/>
      <c r="R279" s="40"/>
      <c r="S279" s="40"/>
      <c r="T279" s="40"/>
      <c r="U279" s="40"/>
      <c r="V279" s="40"/>
      <c r="W279" s="40"/>
      <c r="X279" s="40"/>
      <c r="Y279" s="40"/>
      <c r="Z279" s="40"/>
      <c r="AA279" s="40"/>
      <c r="AB279" s="40"/>
      <c r="AC279" s="40"/>
      <c r="AD279" s="40"/>
      <c r="AE279" s="40"/>
      <c r="AF279" s="40"/>
      <c r="AG279" s="40"/>
      <c r="AH279" s="40"/>
      <c r="AI279" s="40"/>
      <c r="AJ279" s="40"/>
      <c r="AK279" s="40"/>
      <c r="AL279" s="40"/>
      <c r="AM279" s="40"/>
      <c r="AN279" s="40"/>
      <c r="AO279" s="40"/>
      <c r="AP279" s="40"/>
      <c r="AQ279" s="40"/>
      <c r="AR279" s="40"/>
      <c r="AS279" s="40"/>
      <c r="AT279" s="40"/>
      <c r="AU279" s="40"/>
      <c r="AV279" s="40"/>
      <c r="AW279" s="40"/>
      <c r="AX279" s="40"/>
      <c r="AY279" s="40"/>
      <c r="AZ279" s="40"/>
      <c r="BA279" s="40"/>
      <c r="BB279" s="40"/>
      <c r="BC279" s="40"/>
      <c r="BD279" s="40"/>
      <c r="BE279" s="40"/>
      <c r="BF279" s="40"/>
      <c r="BG279" s="40"/>
      <c r="BH279" s="40"/>
      <c r="BI279" s="40"/>
      <c r="BJ279" s="40"/>
      <c r="BK279" s="40"/>
      <c r="BL279" s="40"/>
      <c r="BM279" s="40"/>
      <c r="BN279" s="40"/>
      <c r="BO279" s="40"/>
      <c r="BP279" s="40"/>
      <c r="BQ279" s="40"/>
      <c r="BR279" s="40"/>
      <c r="BS279" s="40"/>
      <c r="BT279" s="40"/>
      <c r="BU279" s="40"/>
      <c r="BV279" s="40"/>
      <c r="BW279" s="40"/>
      <c r="BX279" s="40"/>
      <c r="BY279" s="40"/>
      <c r="BZ279" s="40"/>
      <c r="CA279" s="40"/>
      <c r="CB279" s="40"/>
      <c r="CC279" s="40"/>
      <c r="CD279" s="40"/>
      <c r="CE279" s="30">
        <f t="shared" si="12"/>
        <v>0</v>
      </c>
      <c r="CF279" s="5"/>
      <c r="CG279" s="7"/>
      <c r="CH279" s="7"/>
      <c r="CI279" s="7"/>
      <c r="CJ279" s="7"/>
      <c r="CK279" s="7"/>
      <c r="CL279" s="7"/>
      <c r="CM279" s="7"/>
      <c r="CN279" s="7"/>
      <c r="CO279" s="7"/>
      <c r="CP279" s="7"/>
      <c r="CQ279" s="7"/>
      <c r="CR279" s="7"/>
      <c r="CS279" s="7"/>
      <c r="CT279" s="7"/>
      <c r="CU279" s="7"/>
      <c r="CV279" s="7"/>
      <c r="CW279" s="7"/>
      <c r="CX279" s="7"/>
      <c r="CY279" s="7"/>
      <c r="CZ279" s="7"/>
      <c r="DA279" s="7"/>
      <c r="DB279" s="7"/>
      <c r="DC279" s="7"/>
    </row>
    <row r="280" spans="1:107" ht="12.75" customHeight="1" x14ac:dyDescent="0.25">
      <c r="A280" s="45" t="s">
        <v>246</v>
      </c>
      <c r="B280" s="75">
        <f t="shared" si="11"/>
        <v>0</v>
      </c>
      <c r="C280" s="67">
        <v>1</v>
      </c>
      <c r="D280" s="69">
        <v>44340</v>
      </c>
      <c r="E280" s="77">
        <v>42.63</v>
      </c>
      <c r="F280" s="77">
        <f t="shared" si="13"/>
        <v>0</v>
      </c>
      <c r="G280" s="75"/>
      <c r="H280" s="16"/>
      <c r="I280" s="16"/>
      <c r="J280" s="175"/>
      <c r="K280" s="16"/>
      <c r="L280" s="40"/>
      <c r="M280" s="40"/>
      <c r="N280" s="40"/>
      <c r="O280" s="40"/>
      <c r="P280" s="40"/>
      <c r="Q280" s="40"/>
      <c r="R280" s="40"/>
      <c r="S280" s="40"/>
      <c r="T280" s="40"/>
      <c r="U280" s="40"/>
      <c r="V280" s="40"/>
      <c r="W280" s="40"/>
      <c r="X280" s="40"/>
      <c r="Y280" s="40"/>
      <c r="Z280" s="40"/>
      <c r="AA280" s="40"/>
      <c r="AB280" s="40"/>
      <c r="AC280" s="40"/>
      <c r="AD280" s="40"/>
      <c r="AE280" s="40"/>
      <c r="AF280" s="40"/>
      <c r="AG280" s="40"/>
      <c r="AH280" s="40"/>
      <c r="AI280" s="40"/>
      <c r="AJ280" s="40"/>
      <c r="AK280" s="40"/>
      <c r="AL280" s="40"/>
      <c r="AM280" s="40"/>
      <c r="AN280" s="40"/>
      <c r="AO280" s="40"/>
      <c r="AP280" s="40"/>
      <c r="AQ280" s="40"/>
      <c r="AR280" s="40"/>
      <c r="AS280" s="40"/>
      <c r="AT280" s="40"/>
      <c r="AU280" s="40"/>
      <c r="AV280" s="40"/>
      <c r="AW280" s="40"/>
      <c r="AX280" s="40"/>
      <c r="AY280" s="40"/>
      <c r="AZ280" s="40"/>
      <c r="BA280" s="40"/>
      <c r="BB280" s="40"/>
      <c r="BC280" s="40"/>
      <c r="BD280" s="40"/>
      <c r="BE280" s="40"/>
      <c r="BF280" s="40"/>
      <c r="BG280" s="40"/>
      <c r="BH280" s="40"/>
      <c r="BI280" s="40"/>
      <c r="BJ280" s="40"/>
      <c r="BK280" s="40"/>
      <c r="BL280" s="40"/>
      <c r="BM280" s="40"/>
      <c r="BN280" s="40"/>
      <c r="BO280" s="40"/>
      <c r="BP280" s="40"/>
      <c r="BQ280" s="40"/>
      <c r="BR280" s="40"/>
      <c r="BS280" s="40"/>
      <c r="BT280" s="40"/>
      <c r="BU280" s="40"/>
      <c r="BV280" s="40"/>
      <c r="BW280" s="40"/>
      <c r="BX280" s="40"/>
      <c r="BY280" s="40"/>
      <c r="BZ280" s="40"/>
      <c r="CA280" s="40"/>
      <c r="CB280" s="40"/>
      <c r="CC280" s="40"/>
      <c r="CD280" s="40"/>
      <c r="CE280" s="30">
        <f t="shared" si="12"/>
        <v>0</v>
      </c>
      <c r="CF280" s="5"/>
      <c r="CG280" s="7"/>
      <c r="CH280" s="7"/>
      <c r="CI280" s="7"/>
      <c r="CJ280" s="7"/>
      <c r="CK280" s="7"/>
      <c r="CL280" s="7"/>
      <c r="CM280" s="7"/>
      <c r="CN280" s="7"/>
      <c r="CO280" s="7"/>
      <c r="CP280" s="7"/>
      <c r="CQ280" s="7"/>
      <c r="CR280" s="7"/>
      <c r="CS280" s="7"/>
      <c r="CT280" s="7"/>
      <c r="CU280" s="7"/>
      <c r="CV280" s="7"/>
      <c r="CW280" s="7"/>
      <c r="CX280" s="7"/>
      <c r="CY280" s="7"/>
      <c r="CZ280" s="7"/>
      <c r="DA280" s="7"/>
      <c r="DB280" s="7"/>
      <c r="DC280" s="7"/>
    </row>
    <row r="281" spans="1:107" ht="12.75" customHeight="1" x14ac:dyDescent="0.25">
      <c r="A281" s="45" t="s">
        <v>158</v>
      </c>
      <c r="B281" s="75">
        <f t="shared" si="11"/>
        <v>0.6</v>
      </c>
      <c r="C281" s="67">
        <v>0.9</v>
      </c>
      <c r="D281" s="69">
        <v>44494</v>
      </c>
      <c r="E281" s="77">
        <v>39.299999999999997</v>
      </c>
      <c r="F281" s="77">
        <f t="shared" si="13"/>
        <v>23.58</v>
      </c>
      <c r="G281" s="75">
        <v>0.6</v>
      </c>
      <c r="H281" s="16"/>
      <c r="I281" s="16"/>
      <c r="J281" s="175"/>
      <c r="K281" s="16"/>
      <c r="L281" s="40"/>
      <c r="M281" s="40"/>
      <c r="N281" s="40"/>
      <c r="O281" s="40"/>
      <c r="P281" s="40"/>
      <c r="Q281" s="40"/>
      <c r="R281" s="40"/>
      <c r="S281" s="40"/>
      <c r="T281" s="40"/>
      <c r="U281" s="40"/>
      <c r="V281" s="40"/>
      <c r="W281" s="40"/>
      <c r="X281" s="40"/>
      <c r="Y281" s="40"/>
      <c r="Z281" s="40"/>
      <c r="AA281" s="40"/>
      <c r="AB281" s="40"/>
      <c r="AC281" s="40"/>
      <c r="AD281" s="40"/>
      <c r="AE281" s="40"/>
      <c r="AF281" s="40"/>
      <c r="AG281" s="40"/>
      <c r="AH281" s="40"/>
      <c r="AI281" s="40"/>
      <c r="AJ281" s="40"/>
      <c r="AK281" s="40"/>
      <c r="AL281" s="40"/>
      <c r="AM281" s="40"/>
      <c r="AN281" s="40"/>
      <c r="AO281" s="40"/>
      <c r="AP281" s="40"/>
      <c r="AQ281" s="40"/>
      <c r="AR281" s="40"/>
      <c r="AS281" s="40"/>
      <c r="AT281" s="40"/>
      <c r="AU281" s="40"/>
      <c r="AV281" s="40"/>
      <c r="AW281" s="40"/>
      <c r="AX281" s="40"/>
      <c r="AY281" s="40"/>
      <c r="AZ281" s="40"/>
      <c r="BA281" s="40"/>
      <c r="BB281" s="40"/>
      <c r="BC281" s="40"/>
      <c r="BD281" s="40"/>
      <c r="BE281" s="40"/>
      <c r="BF281" s="40"/>
      <c r="BG281" s="40"/>
      <c r="BH281" s="40"/>
      <c r="BI281" s="40"/>
      <c r="BJ281" s="40"/>
      <c r="BK281" s="40"/>
      <c r="BL281" s="40"/>
      <c r="BM281" s="40"/>
      <c r="BN281" s="40"/>
      <c r="BO281" s="40"/>
      <c r="BP281" s="40"/>
      <c r="BQ281" s="40"/>
      <c r="BR281" s="40"/>
      <c r="BS281" s="40"/>
      <c r="BT281" s="40"/>
      <c r="BU281" s="40"/>
      <c r="BV281" s="40"/>
      <c r="BW281" s="40"/>
      <c r="BX281" s="40"/>
      <c r="BY281" s="40"/>
      <c r="BZ281" s="40"/>
      <c r="CA281" s="40"/>
      <c r="CB281" s="40"/>
      <c r="CC281" s="40"/>
      <c r="CD281" s="40">
        <v>0.6</v>
      </c>
      <c r="CE281" s="30">
        <f t="shared" si="12"/>
        <v>0</v>
      </c>
      <c r="CF281" s="5"/>
      <c r="CG281" s="7"/>
      <c r="CH281" s="7"/>
      <c r="CI281" s="7"/>
      <c r="CJ281" s="7"/>
      <c r="CK281" s="7"/>
      <c r="CL281" s="7"/>
      <c r="CM281" s="7"/>
      <c r="CN281" s="7"/>
      <c r="CO281" s="7"/>
      <c r="CP281" s="7"/>
      <c r="CQ281" s="7"/>
      <c r="CR281" s="7"/>
      <c r="CS281" s="7"/>
      <c r="CT281" s="7"/>
      <c r="CU281" s="7"/>
      <c r="CV281" s="7"/>
      <c r="CW281" s="7"/>
      <c r="CX281" s="7"/>
      <c r="CY281" s="7"/>
      <c r="CZ281" s="7"/>
      <c r="DA281" s="7"/>
      <c r="DB281" s="7"/>
      <c r="DC281" s="7"/>
    </row>
    <row r="282" spans="1:107" ht="12.75" customHeight="1" x14ac:dyDescent="0.25">
      <c r="A282" s="45" t="s">
        <v>116</v>
      </c>
      <c r="B282" s="75">
        <f t="shared" si="11"/>
        <v>0</v>
      </c>
      <c r="C282" s="67">
        <v>1</v>
      </c>
      <c r="D282" s="69">
        <v>44410</v>
      </c>
      <c r="E282" s="77">
        <v>49.12</v>
      </c>
      <c r="F282" s="77">
        <f t="shared" si="13"/>
        <v>0</v>
      </c>
      <c r="G282" s="75"/>
      <c r="H282" s="16"/>
      <c r="I282" s="16"/>
      <c r="J282" s="175"/>
      <c r="K282" s="16"/>
      <c r="L282" s="40"/>
      <c r="M282" s="40"/>
      <c r="N282" s="40"/>
      <c r="O282" s="40"/>
      <c r="P282" s="40"/>
      <c r="Q282" s="40"/>
      <c r="R282" s="40"/>
      <c r="S282" s="40"/>
      <c r="T282" s="40"/>
      <c r="U282" s="40"/>
      <c r="V282" s="40"/>
      <c r="W282" s="40"/>
      <c r="X282" s="40"/>
      <c r="Y282" s="40"/>
      <c r="Z282" s="40"/>
      <c r="AA282" s="40"/>
      <c r="AB282" s="40"/>
      <c r="AC282" s="40"/>
      <c r="AD282" s="40"/>
      <c r="AE282" s="40"/>
      <c r="AF282" s="40"/>
      <c r="AG282" s="40"/>
      <c r="AH282" s="40"/>
      <c r="AI282" s="40"/>
      <c r="AJ282" s="40"/>
      <c r="AK282" s="40"/>
      <c r="AL282" s="40"/>
      <c r="AM282" s="40"/>
      <c r="AN282" s="40"/>
      <c r="AO282" s="40"/>
      <c r="AP282" s="40"/>
      <c r="AQ282" s="40"/>
      <c r="AR282" s="40"/>
      <c r="AS282" s="40"/>
      <c r="AT282" s="40"/>
      <c r="AU282" s="40"/>
      <c r="AV282" s="40"/>
      <c r="AW282" s="40"/>
      <c r="AX282" s="40"/>
      <c r="AY282" s="40"/>
      <c r="AZ282" s="40"/>
      <c r="BA282" s="40"/>
      <c r="BB282" s="40"/>
      <c r="BC282" s="40"/>
      <c r="BD282" s="40"/>
      <c r="BE282" s="40"/>
      <c r="BF282" s="40"/>
      <c r="BG282" s="40"/>
      <c r="BH282" s="40"/>
      <c r="BI282" s="40"/>
      <c r="BJ282" s="40"/>
      <c r="BK282" s="40"/>
      <c r="BL282" s="40"/>
      <c r="BM282" s="40"/>
      <c r="BN282" s="40"/>
      <c r="BO282" s="40"/>
      <c r="BP282" s="40"/>
      <c r="BQ282" s="40"/>
      <c r="BR282" s="40"/>
      <c r="BS282" s="40"/>
      <c r="BT282" s="40"/>
      <c r="BU282" s="40"/>
      <c r="BV282" s="40"/>
      <c r="BW282" s="40"/>
      <c r="BX282" s="40"/>
      <c r="BY282" s="40"/>
      <c r="BZ282" s="40"/>
      <c r="CA282" s="40"/>
      <c r="CB282" s="40"/>
      <c r="CC282" s="40"/>
      <c r="CD282" s="40"/>
      <c r="CE282" s="30">
        <f t="shared" si="12"/>
        <v>0</v>
      </c>
      <c r="CF282" s="5"/>
      <c r="CG282" s="7"/>
      <c r="CH282" s="7"/>
      <c r="CI282" s="7"/>
      <c r="CJ282" s="7"/>
      <c r="CK282" s="7"/>
      <c r="CL282" s="7"/>
      <c r="CM282" s="7"/>
      <c r="CN282" s="7"/>
      <c r="CO282" s="7"/>
      <c r="CP282" s="7"/>
      <c r="CQ282" s="7"/>
      <c r="CR282" s="7"/>
      <c r="CS282" s="7"/>
      <c r="CT282" s="7"/>
      <c r="CU282" s="7"/>
      <c r="CV282" s="7"/>
      <c r="CW282" s="7"/>
      <c r="CX282" s="7"/>
      <c r="CY282" s="7"/>
      <c r="CZ282" s="7"/>
      <c r="DA282" s="7"/>
      <c r="DB282" s="7"/>
      <c r="DC282" s="7"/>
    </row>
    <row r="283" spans="1:107" ht="12.75" customHeight="1" x14ac:dyDescent="0.25">
      <c r="A283" s="45" t="s">
        <v>144</v>
      </c>
      <c r="B283" s="75">
        <f t="shared" si="11"/>
        <v>10</v>
      </c>
      <c r="C283" s="67">
        <v>10</v>
      </c>
      <c r="D283" s="69">
        <v>44593</v>
      </c>
      <c r="E283" s="77">
        <v>56.03</v>
      </c>
      <c r="F283" s="77">
        <f t="shared" si="13"/>
        <v>560.29999999999995</v>
      </c>
      <c r="G283" s="75">
        <v>10</v>
      </c>
      <c r="H283" s="16"/>
      <c r="I283" s="16"/>
      <c r="J283" s="175"/>
      <c r="K283" s="16"/>
      <c r="L283" s="40"/>
      <c r="M283" s="40"/>
      <c r="N283" s="40"/>
      <c r="O283" s="40"/>
      <c r="P283" s="40"/>
      <c r="Q283" s="40"/>
      <c r="R283" s="40"/>
      <c r="S283" s="40"/>
      <c r="T283" s="40">
        <v>10</v>
      </c>
      <c r="U283" s="40"/>
      <c r="V283" s="40"/>
      <c r="W283" s="40"/>
      <c r="X283" s="40"/>
      <c r="Y283" s="40"/>
      <c r="Z283" s="40"/>
      <c r="AA283" s="40"/>
      <c r="AB283" s="40"/>
      <c r="AC283" s="40"/>
      <c r="AD283" s="40"/>
      <c r="AE283" s="40"/>
      <c r="AF283" s="40"/>
      <c r="AG283" s="40"/>
      <c r="AH283" s="40"/>
      <c r="AI283" s="40"/>
      <c r="AJ283" s="40"/>
      <c r="AK283" s="40"/>
      <c r="AL283" s="40"/>
      <c r="AM283" s="40"/>
      <c r="AN283" s="40"/>
      <c r="AO283" s="40"/>
      <c r="AP283" s="40"/>
      <c r="AQ283" s="40"/>
      <c r="AR283" s="40"/>
      <c r="AS283" s="40"/>
      <c r="AT283" s="40"/>
      <c r="AU283" s="40"/>
      <c r="AV283" s="40"/>
      <c r="AW283" s="40"/>
      <c r="AX283" s="40"/>
      <c r="AY283" s="40"/>
      <c r="AZ283" s="40"/>
      <c r="BA283" s="40"/>
      <c r="BB283" s="40"/>
      <c r="BC283" s="40"/>
      <c r="BD283" s="40"/>
      <c r="BE283" s="40">
        <v>10</v>
      </c>
      <c r="BF283" s="40"/>
      <c r="BG283" s="40"/>
      <c r="BH283" s="40"/>
      <c r="BI283" s="40"/>
      <c r="BJ283" s="40"/>
      <c r="BK283" s="40"/>
      <c r="BL283" s="40"/>
      <c r="BM283" s="40"/>
      <c r="BN283" s="40"/>
      <c r="BO283" s="40"/>
      <c r="BP283" s="40"/>
      <c r="BQ283" s="40"/>
      <c r="BR283" s="40"/>
      <c r="BS283" s="40"/>
      <c r="BT283" s="40"/>
      <c r="BU283" s="40"/>
      <c r="BV283" s="40"/>
      <c r="BW283" s="40"/>
      <c r="BX283" s="40"/>
      <c r="BY283" s="40"/>
      <c r="BZ283" s="40"/>
      <c r="CA283" s="40"/>
      <c r="CB283" s="40"/>
      <c r="CC283" s="40"/>
      <c r="CD283" s="40"/>
      <c r="CE283" s="30">
        <f t="shared" si="12"/>
        <v>10</v>
      </c>
      <c r="CF283" s="5"/>
      <c r="CG283" s="7"/>
      <c r="CH283" s="7"/>
      <c r="CI283" s="7"/>
      <c r="CJ283" s="7"/>
      <c r="CK283" s="7"/>
      <c r="CL283" s="7"/>
      <c r="CM283" s="7"/>
      <c r="CN283" s="7"/>
      <c r="CO283" s="7"/>
      <c r="CP283" s="7"/>
      <c r="CQ283" s="7"/>
      <c r="CR283" s="7"/>
      <c r="CS283" s="7"/>
      <c r="CT283" s="7"/>
      <c r="CU283" s="7"/>
      <c r="CV283" s="7"/>
      <c r="CW283" s="7"/>
      <c r="CX283" s="7"/>
      <c r="CY283" s="7"/>
      <c r="CZ283" s="7"/>
      <c r="DA283" s="7"/>
      <c r="DB283" s="7"/>
      <c r="DC283" s="7"/>
    </row>
    <row r="284" spans="1:107" ht="12.75" customHeight="1" x14ac:dyDescent="0.25">
      <c r="A284" s="45" t="s">
        <v>144</v>
      </c>
      <c r="B284" s="75">
        <f t="shared" si="11"/>
        <v>0</v>
      </c>
      <c r="C284" s="67">
        <v>1</v>
      </c>
      <c r="D284" s="69">
        <v>44396</v>
      </c>
      <c r="E284" s="77">
        <v>59.03</v>
      </c>
      <c r="F284" s="77">
        <f t="shared" si="13"/>
        <v>0</v>
      </c>
      <c r="G284" s="75"/>
      <c r="H284" s="16"/>
      <c r="I284" s="16"/>
      <c r="J284" s="175"/>
      <c r="K284" s="16"/>
      <c r="L284" s="40"/>
      <c r="M284" s="40"/>
      <c r="N284" s="40"/>
      <c r="O284" s="40"/>
      <c r="P284" s="40"/>
      <c r="Q284" s="40"/>
      <c r="R284" s="40"/>
      <c r="S284" s="40"/>
      <c r="T284" s="40"/>
      <c r="U284" s="40"/>
      <c r="V284" s="40"/>
      <c r="W284" s="40"/>
      <c r="X284" s="40"/>
      <c r="Y284" s="40"/>
      <c r="Z284" s="40"/>
      <c r="AA284" s="40"/>
      <c r="AB284" s="40"/>
      <c r="AC284" s="40"/>
      <c r="AD284" s="40"/>
      <c r="AE284" s="40"/>
      <c r="AF284" s="40"/>
      <c r="AG284" s="40"/>
      <c r="AH284" s="40"/>
      <c r="AI284" s="40"/>
      <c r="AJ284" s="40"/>
      <c r="AK284" s="40"/>
      <c r="AL284" s="40"/>
      <c r="AM284" s="40"/>
      <c r="AN284" s="40"/>
      <c r="AO284" s="40"/>
      <c r="AP284" s="40"/>
      <c r="AQ284" s="40"/>
      <c r="AR284" s="40"/>
      <c r="AS284" s="40"/>
      <c r="AT284" s="40"/>
      <c r="AU284" s="40"/>
      <c r="AV284" s="40"/>
      <c r="AW284" s="40"/>
      <c r="AX284" s="40"/>
      <c r="AY284" s="40"/>
      <c r="AZ284" s="40"/>
      <c r="BA284" s="40"/>
      <c r="BB284" s="40"/>
      <c r="BC284" s="40"/>
      <c r="BD284" s="40"/>
      <c r="BE284" s="40"/>
      <c r="BF284" s="40"/>
      <c r="BG284" s="40"/>
      <c r="BH284" s="40"/>
      <c r="BI284" s="40"/>
      <c r="BJ284" s="40"/>
      <c r="BK284" s="40"/>
      <c r="BL284" s="40"/>
      <c r="BM284" s="40"/>
      <c r="BN284" s="40"/>
      <c r="BO284" s="40"/>
      <c r="BP284" s="40"/>
      <c r="BQ284" s="40"/>
      <c r="BR284" s="40"/>
      <c r="BS284" s="40"/>
      <c r="BT284" s="40"/>
      <c r="BU284" s="40"/>
      <c r="BV284" s="40"/>
      <c r="BW284" s="40"/>
      <c r="BX284" s="40"/>
      <c r="BY284" s="40"/>
      <c r="BZ284" s="40"/>
      <c r="CA284" s="40"/>
      <c r="CB284" s="40"/>
      <c r="CC284" s="40"/>
      <c r="CD284" s="40"/>
      <c r="CE284" s="30">
        <f t="shared" si="12"/>
        <v>0</v>
      </c>
      <c r="CF284" s="5"/>
      <c r="CG284" s="7"/>
      <c r="CH284" s="7"/>
      <c r="CI284" s="7"/>
      <c r="CJ284" s="7"/>
      <c r="CK284" s="7"/>
      <c r="CL284" s="7"/>
      <c r="CM284" s="7"/>
      <c r="CN284" s="7"/>
      <c r="CO284" s="7"/>
      <c r="CP284" s="7"/>
      <c r="CQ284" s="7"/>
      <c r="CR284" s="7"/>
      <c r="CS284" s="7"/>
      <c r="CT284" s="7"/>
      <c r="CU284" s="7"/>
      <c r="CV284" s="7"/>
      <c r="CW284" s="7"/>
      <c r="CX284" s="7"/>
      <c r="CY284" s="7"/>
      <c r="CZ284" s="7"/>
      <c r="DA284" s="7"/>
      <c r="DB284" s="7"/>
      <c r="DC284" s="7"/>
    </row>
    <row r="285" spans="1:107" ht="12.75" customHeight="1" x14ac:dyDescent="0.25">
      <c r="A285" s="45" t="s">
        <v>142</v>
      </c>
      <c r="B285" s="75">
        <f t="shared" si="11"/>
        <v>0</v>
      </c>
      <c r="C285" s="67">
        <v>10</v>
      </c>
      <c r="D285" s="69">
        <v>44480</v>
      </c>
      <c r="E285" s="77">
        <v>56.8</v>
      </c>
      <c r="F285" s="77">
        <f t="shared" si="13"/>
        <v>0</v>
      </c>
      <c r="G285" s="75"/>
      <c r="H285" s="16"/>
      <c r="I285" s="16"/>
      <c r="J285" s="175"/>
      <c r="K285" s="16"/>
      <c r="L285" s="40"/>
      <c r="M285" s="40"/>
      <c r="N285" s="40"/>
      <c r="O285" s="40"/>
      <c r="P285" s="40"/>
      <c r="Q285" s="40"/>
      <c r="R285" s="40"/>
      <c r="S285" s="40"/>
      <c r="T285" s="40"/>
      <c r="U285" s="40"/>
      <c r="V285" s="40"/>
      <c r="W285" s="40"/>
      <c r="X285" s="40"/>
      <c r="Y285" s="40"/>
      <c r="Z285" s="40"/>
      <c r="AA285" s="40"/>
      <c r="AB285" s="40"/>
      <c r="AC285" s="40"/>
      <c r="AD285" s="40"/>
      <c r="AE285" s="40"/>
      <c r="AF285" s="40"/>
      <c r="AG285" s="40"/>
      <c r="AH285" s="40"/>
      <c r="AI285" s="40"/>
      <c r="AJ285" s="40"/>
      <c r="AK285" s="40"/>
      <c r="AL285" s="40"/>
      <c r="AM285" s="40"/>
      <c r="AN285" s="40"/>
      <c r="AO285" s="40"/>
      <c r="AP285" s="40"/>
      <c r="AQ285" s="40"/>
      <c r="AR285" s="40"/>
      <c r="AS285" s="40"/>
      <c r="AT285" s="40"/>
      <c r="AU285" s="40"/>
      <c r="AV285" s="40"/>
      <c r="AW285" s="40"/>
      <c r="AX285" s="40"/>
      <c r="AY285" s="40"/>
      <c r="AZ285" s="40"/>
      <c r="BA285" s="40"/>
      <c r="BB285" s="40"/>
      <c r="BC285" s="40"/>
      <c r="BD285" s="40"/>
      <c r="BE285" s="40"/>
      <c r="BF285" s="40"/>
      <c r="BG285" s="40"/>
      <c r="BH285" s="40"/>
      <c r="BI285" s="40"/>
      <c r="BJ285" s="40"/>
      <c r="BK285" s="40"/>
      <c r="BL285" s="40"/>
      <c r="BM285" s="40"/>
      <c r="BN285" s="40"/>
      <c r="BO285" s="40"/>
      <c r="BP285" s="40"/>
      <c r="BQ285" s="40"/>
      <c r="BR285" s="40"/>
      <c r="BS285" s="40"/>
      <c r="BT285" s="40"/>
      <c r="BU285" s="40"/>
      <c r="BV285" s="40"/>
      <c r="BW285" s="40"/>
      <c r="BX285" s="40"/>
      <c r="BY285" s="40"/>
      <c r="BZ285" s="40"/>
      <c r="CA285" s="40"/>
      <c r="CB285" s="40"/>
      <c r="CC285" s="40"/>
      <c r="CD285" s="40"/>
      <c r="CE285" s="30">
        <f t="shared" si="12"/>
        <v>0</v>
      </c>
      <c r="CF285" s="5"/>
      <c r="CG285" s="7"/>
      <c r="CH285" s="7"/>
      <c r="CI285" s="7"/>
      <c r="CJ285" s="7"/>
      <c r="CK285" s="7"/>
      <c r="CL285" s="7"/>
      <c r="CM285" s="7"/>
      <c r="CN285" s="7"/>
      <c r="CO285" s="7"/>
      <c r="CP285" s="7"/>
      <c r="CQ285" s="7"/>
      <c r="CR285" s="7"/>
      <c r="CS285" s="7"/>
      <c r="CT285" s="7"/>
      <c r="CU285" s="7"/>
      <c r="CV285" s="7"/>
      <c r="CW285" s="7"/>
      <c r="CX285" s="7"/>
      <c r="CY285" s="7"/>
      <c r="CZ285" s="7"/>
      <c r="DA285" s="7"/>
      <c r="DB285" s="7"/>
      <c r="DC285" s="7"/>
    </row>
    <row r="286" spans="1:107" ht="15.6" x14ac:dyDescent="0.3">
      <c r="A286" s="19" t="s">
        <v>21</v>
      </c>
      <c r="B286" s="105">
        <f>SUM(B4:B285)</f>
        <v>6414.5000000000009</v>
      </c>
      <c r="C286" s="66"/>
      <c r="D286" s="71"/>
      <c r="E286" s="72"/>
      <c r="F286" s="77">
        <f t="shared" si="13"/>
        <v>0</v>
      </c>
      <c r="G286" s="20">
        <f>SUM(G4:G285)</f>
        <v>2654.5</v>
      </c>
      <c r="H286" s="169"/>
      <c r="I286" s="169"/>
      <c r="J286" s="178"/>
      <c r="K286" s="169"/>
      <c r="L286" s="40"/>
      <c r="M286" s="40"/>
      <c r="N286" s="40"/>
      <c r="O286" s="40"/>
      <c r="P286" s="40"/>
      <c r="Q286" s="40"/>
      <c r="R286" s="40"/>
      <c r="S286" s="40"/>
      <c r="T286" s="40"/>
      <c r="U286" s="40"/>
      <c r="V286" s="40"/>
      <c r="W286" s="40"/>
      <c r="X286" s="40"/>
      <c r="Y286" s="40"/>
      <c r="Z286" s="40"/>
      <c r="AA286" s="40"/>
      <c r="AB286" s="40"/>
      <c r="AC286" s="40"/>
      <c r="AD286" s="40"/>
      <c r="AE286" s="40"/>
      <c r="AF286" s="40"/>
      <c r="AG286" s="40"/>
      <c r="AH286" s="40"/>
      <c r="AI286" s="40"/>
      <c r="AJ286" s="40"/>
      <c r="AK286" s="40"/>
      <c r="AL286" s="40"/>
      <c r="AM286" s="40"/>
      <c r="AN286" s="40"/>
      <c r="AO286" s="40"/>
      <c r="AP286" s="40"/>
      <c r="AQ286" s="40"/>
      <c r="AR286" s="40"/>
      <c r="AS286" s="40"/>
      <c r="AT286" s="40"/>
      <c r="AU286" s="40"/>
      <c r="AV286" s="40"/>
      <c r="AW286" s="40"/>
      <c r="AX286" s="40"/>
      <c r="AY286" s="40"/>
      <c r="AZ286" s="40"/>
      <c r="BA286" s="40"/>
      <c r="BB286" s="40"/>
      <c r="BC286" s="40"/>
      <c r="BD286" s="40"/>
      <c r="BE286" s="40"/>
      <c r="BF286" s="40"/>
      <c r="BG286" s="40"/>
      <c r="BH286" s="40"/>
      <c r="BI286" s="40"/>
      <c r="BJ286" s="40"/>
      <c r="BK286" s="40"/>
      <c r="BL286" s="40"/>
      <c r="BM286" s="40"/>
      <c r="BN286" s="40"/>
      <c r="BO286" s="40"/>
      <c r="BP286" s="40"/>
      <c r="BQ286" s="40"/>
      <c r="BR286" s="40"/>
      <c r="BS286" s="40"/>
      <c r="BT286" s="40"/>
      <c r="BU286" s="40"/>
      <c r="BV286" s="40"/>
      <c r="BW286" s="40"/>
      <c r="BX286" s="40"/>
      <c r="BY286" s="40"/>
      <c r="BZ286" s="40"/>
      <c r="CA286" s="40"/>
      <c r="CB286" s="40"/>
      <c r="CC286" s="40"/>
      <c r="CD286" s="40"/>
      <c r="CE286" s="20">
        <f t="shared" si="12"/>
        <v>6414.5000000000009</v>
      </c>
      <c r="CF286" s="5"/>
      <c r="CG286" s="7"/>
      <c r="CH286" s="7"/>
      <c r="CI286" s="7"/>
      <c r="CJ286" s="7"/>
      <c r="CK286" s="7"/>
      <c r="CL286" s="7"/>
      <c r="CM286" s="7"/>
      <c r="CN286" s="7"/>
      <c r="CO286" s="7"/>
      <c r="CP286" s="7"/>
      <c r="CQ286" s="7"/>
      <c r="CR286" s="7"/>
      <c r="CS286" s="7"/>
      <c r="CT286" s="7"/>
      <c r="CU286" s="7"/>
      <c r="CV286" s="7"/>
      <c r="CW286" s="7"/>
      <c r="CX286" s="7"/>
      <c r="CY286" s="7"/>
      <c r="CZ286" s="7"/>
      <c r="DA286" s="7"/>
      <c r="DB286" s="7"/>
      <c r="DC286" s="7"/>
    </row>
    <row r="287" spans="1:107" s="5" customFormat="1" ht="12" customHeight="1" x14ac:dyDescent="0.25">
      <c r="A287" s="45" t="s">
        <v>189</v>
      </c>
      <c r="B287" s="75">
        <f t="shared" ref="B287:B318" si="14">SUMIF(G$3:CD$3,"прих",G287:CD287)-SUMIF(G$3:CD$3,"отгр",G287:CD287)</f>
        <v>0</v>
      </c>
      <c r="C287" s="67">
        <v>1</v>
      </c>
      <c r="D287" s="69">
        <v>44503</v>
      </c>
      <c r="E287" s="77">
        <v>51.37</v>
      </c>
      <c r="F287" s="77">
        <f t="shared" si="13"/>
        <v>0</v>
      </c>
      <c r="G287" s="75"/>
      <c r="H287" s="16"/>
      <c r="I287" s="16"/>
      <c r="J287" s="175"/>
      <c r="K287" s="16"/>
      <c r="L287" s="40"/>
      <c r="M287" s="40"/>
      <c r="N287" s="40"/>
      <c r="O287" s="40"/>
      <c r="P287" s="40"/>
      <c r="Q287" s="40"/>
      <c r="R287" s="40"/>
      <c r="S287" s="40"/>
      <c r="T287" s="40"/>
      <c r="U287" s="40"/>
      <c r="V287" s="40"/>
      <c r="W287" s="40"/>
      <c r="X287" s="40"/>
      <c r="Y287" s="40"/>
      <c r="Z287" s="40"/>
      <c r="AA287" s="40"/>
      <c r="AB287" s="40"/>
      <c r="AC287" s="40"/>
      <c r="AD287" s="40"/>
      <c r="AE287" s="40"/>
      <c r="AF287" s="40"/>
      <c r="AG287" s="40"/>
      <c r="AH287" s="40"/>
      <c r="AI287" s="40"/>
      <c r="AJ287" s="40"/>
      <c r="AK287" s="40"/>
      <c r="AL287" s="40"/>
      <c r="AM287" s="40"/>
      <c r="AN287" s="40"/>
      <c r="AO287" s="40"/>
      <c r="AP287" s="40"/>
      <c r="AQ287" s="40"/>
      <c r="AR287" s="40"/>
      <c r="AS287" s="40"/>
      <c r="AT287" s="40"/>
      <c r="AU287" s="40"/>
      <c r="AV287" s="40"/>
      <c r="AW287" s="40"/>
      <c r="AX287" s="40"/>
      <c r="AY287" s="40"/>
      <c r="AZ287" s="40"/>
      <c r="BA287" s="40"/>
      <c r="BB287" s="40"/>
      <c r="BC287" s="40"/>
      <c r="BD287" s="40"/>
      <c r="BE287" s="40"/>
      <c r="BF287" s="40"/>
      <c r="BG287" s="40"/>
      <c r="BH287" s="40"/>
      <c r="BI287" s="40"/>
      <c r="BJ287" s="40"/>
      <c r="BK287" s="40"/>
      <c r="BL287" s="40"/>
      <c r="BM287" s="40"/>
      <c r="BN287" s="40"/>
      <c r="BO287" s="40"/>
      <c r="BP287" s="40"/>
      <c r="BQ287" s="40"/>
      <c r="BR287" s="40"/>
      <c r="BS287" s="40"/>
      <c r="BT287" s="40"/>
      <c r="BU287" s="40"/>
      <c r="BV287" s="40"/>
      <c r="BW287" s="40"/>
      <c r="BX287" s="40"/>
      <c r="BY287" s="40"/>
      <c r="BZ287" s="40"/>
      <c r="CA287" s="40"/>
      <c r="CB287" s="40"/>
      <c r="CC287" s="40"/>
      <c r="CD287" s="40"/>
      <c r="CE287" s="76">
        <f t="shared" si="12"/>
        <v>0</v>
      </c>
    </row>
    <row r="288" spans="1:107" s="5" customFormat="1" ht="12" customHeight="1" x14ac:dyDescent="0.25">
      <c r="A288" s="45" t="s">
        <v>410</v>
      </c>
      <c r="B288" s="75">
        <f t="shared" si="14"/>
        <v>0</v>
      </c>
      <c r="C288" s="67">
        <v>1</v>
      </c>
      <c r="D288" s="69">
        <v>44417</v>
      </c>
      <c r="E288" s="77">
        <v>102.97</v>
      </c>
      <c r="F288" s="77">
        <f t="shared" si="13"/>
        <v>0</v>
      </c>
      <c r="G288" s="75"/>
      <c r="H288" s="16"/>
      <c r="I288" s="16"/>
      <c r="J288" s="175"/>
      <c r="K288" s="16"/>
      <c r="L288" s="40"/>
      <c r="M288" s="40"/>
      <c r="N288" s="40"/>
      <c r="O288" s="40"/>
      <c r="P288" s="40"/>
      <c r="Q288" s="40"/>
      <c r="R288" s="40"/>
      <c r="S288" s="40"/>
      <c r="T288" s="40"/>
      <c r="U288" s="40"/>
      <c r="V288" s="40"/>
      <c r="W288" s="40"/>
      <c r="X288" s="40"/>
      <c r="Y288" s="40"/>
      <c r="Z288" s="40"/>
      <c r="AA288" s="40"/>
      <c r="AB288" s="40"/>
      <c r="AC288" s="40"/>
      <c r="AD288" s="40"/>
      <c r="AE288" s="40"/>
      <c r="AF288" s="40"/>
      <c r="AG288" s="40"/>
      <c r="AH288" s="40"/>
      <c r="AI288" s="40"/>
      <c r="AJ288" s="40"/>
      <c r="AK288" s="40"/>
      <c r="AL288" s="40"/>
      <c r="AM288" s="40"/>
      <c r="AN288" s="40"/>
      <c r="AO288" s="40"/>
      <c r="AP288" s="40"/>
      <c r="AQ288" s="40"/>
      <c r="AR288" s="40"/>
      <c r="AS288" s="40"/>
      <c r="AT288" s="40"/>
      <c r="AU288" s="40"/>
      <c r="AV288" s="40"/>
      <c r="AW288" s="40"/>
      <c r="AX288" s="40"/>
      <c r="AY288" s="40"/>
      <c r="AZ288" s="40"/>
      <c r="BA288" s="40"/>
      <c r="BB288" s="40"/>
      <c r="BC288" s="40"/>
      <c r="BD288" s="40"/>
      <c r="BE288" s="40"/>
      <c r="BF288" s="40"/>
      <c r="BG288" s="40"/>
      <c r="BH288" s="40"/>
      <c r="BI288" s="40"/>
      <c r="BJ288" s="40"/>
      <c r="BK288" s="40"/>
      <c r="BL288" s="40"/>
      <c r="BM288" s="40"/>
      <c r="BN288" s="40"/>
      <c r="BO288" s="40"/>
      <c r="BP288" s="40"/>
      <c r="BQ288" s="40"/>
      <c r="BR288" s="40"/>
      <c r="BS288" s="40"/>
      <c r="BT288" s="40"/>
      <c r="BU288" s="40"/>
      <c r="BV288" s="40"/>
      <c r="BW288" s="40"/>
      <c r="BX288" s="40"/>
      <c r="BY288" s="40"/>
      <c r="BZ288" s="40"/>
      <c r="CA288" s="40"/>
      <c r="CB288" s="40"/>
      <c r="CC288" s="40"/>
      <c r="CD288" s="40"/>
      <c r="CE288" s="76">
        <f t="shared" si="12"/>
        <v>0</v>
      </c>
    </row>
    <row r="289" spans="1:83" s="5" customFormat="1" ht="12" customHeight="1" x14ac:dyDescent="0.25">
      <c r="A289" s="45" t="s">
        <v>443</v>
      </c>
      <c r="B289" s="75">
        <f t="shared" si="14"/>
        <v>2</v>
      </c>
      <c r="C289" s="67">
        <v>1</v>
      </c>
      <c r="D289" s="69">
        <v>44585</v>
      </c>
      <c r="E289" s="77">
        <v>67.900000000000006</v>
      </c>
      <c r="F289" s="77">
        <f t="shared" si="13"/>
        <v>135.80000000000001</v>
      </c>
      <c r="G289" s="75">
        <v>1</v>
      </c>
      <c r="H289" s="16"/>
      <c r="I289" s="16"/>
      <c r="J289" s="175"/>
      <c r="K289" s="16"/>
      <c r="L289" s="40"/>
      <c r="M289" s="40"/>
      <c r="N289" s="40"/>
      <c r="O289" s="40"/>
      <c r="P289" s="40"/>
      <c r="Q289" s="40"/>
      <c r="R289" s="40"/>
      <c r="S289" s="40"/>
      <c r="T289" s="40"/>
      <c r="U289" s="40"/>
      <c r="V289" s="40"/>
      <c r="W289" s="40"/>
      <c r="X289" s="40"/>
      <c r="Y289" s="40">
        <v>1</v>
      </c>
      <c r="Z289" s="40"/>
      <c r="AA289" s="40"/>
      <c r="AB289" s="40"/>
      <c r="AC289" s="40"/>
      <c r="AD289" s="40"/>
      <c r="AE289" s="40"/>
      <c r="AF289" s="40"/>
      <c r="AG289" s="40"/>
      <c r="AH289" s="40"/>
      <c r="AI289" s="40"/>
      <c r="AJ289" s="40"/>
      <c r="AK289" s="40"/>
      <c r="AL289" s="40"/>
      <c r="AM289" s="40"/>
      <c r="AN289" s="40"/>
      <c r="AO289" s="40"/>
      <c r="AP289" s="40"/>
      <c r="AQ289" s="40"/>
      <c r="AR289" s="40"/>
      <c r="AS289" s="40"/>
      <c r="AT289" s="40"/>
      <c r="AU289" s="40"/>
      <c r="AV289" s="40"/>
      <c r="AW289" s="40"/>
      <c r="AX289" s="40"/>
      <c r="AY289" s="40"/>
      <c r="AZ289" s="40"/>
      <c r="BA289" s="40"/>
      <c r="BB289" s="40"/>
      <c r="BC289" s="40"/>
      <c r="BD289" s="40"/>
      <c r="BE289" s="40"/>
      <c r="BF289" s="40">
        <v>1</v>
      </c>
      <c r="BG289" s="40"/>
      <c r="BH289" s="40"/>
      <c r="BI289" s="40"/>
      <c r="BJ289" s="40"/>
      <c r="BK289" s="40"/>
      <c r="BL289" s="40"/>
      <c r="BM289" s="40"/>
      <c r="BN289" s="40"/>
      <c r="BO289" s="40"/>
      <c r="BP289" s="40"/>
      <c r="BQ289" s="40"/>
      <c r="BR289" s="40"/>
      <c r="BS289" s="40"/>
      <c r="BT289" s="40"/>
      <c r="BU289" s="40"/>
      <c r="BV289" s="40"/>
      <c r="BW289" s="40"/>
      <c r="BX289" s="40"/>
      <c r="BY289" s="40"/>
      <c r="BZ289" s="40"/>
      <c r="CA289" s="40"/>
      <c r="CB289" s="40"/>
      <c r="CC289" s="40"/>
      <c r="CD289" s="40"/>
      <c r="CE289" s="76">
        <f t="shared" si="12"/>
        <v>1</v>
      </c>
    </row>
    <row r="290" spans="1:83" s="5" customFormat="1" ht="12" customHeight="1" x14ac:dyDescent="0.25">
      <c r="A290" s="45" t="s">
        <v>411</v>
      </c>
      <c r="B290" s="75">
        <f t="shared" si="14"/>
        <v>2</v>
      </c>
      <c r="C290" s="67">
        <v>1</v>
      </c>
      <c r="D290" s="69">
        <v>44585</v>
      </c>
      <c r="E290" s="77">
        <v>67.900000000000006</v>
      </c>
      <c r="F290" s="77">
        <f t="shared" si="13"/>
        <v>135.80000000000001</v>
      </c>
      <c r="G290" s="75">
        <v>1</v>
      </c>
      <c r="H290" s="16"/>
      <c r="I290" s="16"/>
      <c r="J290" s="175"/>
      <c r="K290" s="16"/>
      <c r="L290" s="40"/>
      <c r="M290" s="40"/>
      <c r="N290" s="40"/>
      <c r="O290" s="40"/>
      <c r="P290" s="40"/>
      <c r="Q290" s="40"/>
      <c r="R290" s="40"/>
      <c r="S290" s="40"/>
      <c r="T290" s="40"/>
      <c r="U290" s="40"/>
      <c r="V290" s="40"/>
      <c r="W290" s="40"/>
      <c r="X290" s="40"/>
      <c r="Y290" s="40">
        <v>1</v>
      </c>
      <c r="Z290" s="40"/>
      <c r="AA290" s="40"/>
      <c r="AB290" s="40"/>
      <c r="AC290" s="40"/>
      <c r="AD290" s="40"/>
      <c r="AE290" s="40"/>
      <c r="AF290" s="40"/>
      <c r="AG290" s="40"/>
      <c r="AH290" s="40"/>
      <c r="AI290" s="40"/>
      <c r="AJ290" s="40"/>
      <c r="AK290" s="40"/>
      <c r="AL290" s="40"/>
      <c r="AM290" s="40"/>
      <c r="AN290" s="40"/>
      <c r="AO290" s="40"/>
      <c r="AP290" s="40"/>
      <c r="AQ290" s="40"/>
      <c r="AR290" s="40"/>
      <c r="AS290" s="40"/>
      <c r="AT290" s="40"/>
      <c r="AU290" s="40"/>
      <c r="AV290" s="40"/>
      <c r="AW290" s="40"/>
      <c r="AX290" s="40"/>
      <c r="AY290" s="40"/>
      <c r="AZ290" s="40"/>
      <c r="BA290" s="40"/>
      <c r="BB290" s="40"/>
      <c r="BC290" s="40"/>
      <c r="BD290" s="40"/>
      <c r="BE290" s="40"/>
      <c r="BF290" s="40">
        <v>1</v>
      </c>
      <c r="BG290" s="40"/>
      <c r="BH290" s="40"/>
      <c r="BI290" s="40"/>
      <c r="BJ290" s="40"/>
      <c r="BK290" s="40"/>
      <c r="BL290" s="40"/>
      <c r="BM290" s="40"/>
      <c r="BN290" s="40"/>
      <c r="BO290" s="40"/>
      <c r="BP290" s="40"/>
      <c r="BQ290" s="40"/>
      <c r="BR290" s="40"/>
      <c r="BS290" s="40"/>
      <c r="BT290" s="40"/>
      <c r="BU290" s="40"/>
      <c r="BV290" s="40"/>
      <c r="BW290" s="40"/>
      <c r="BX290" s="40"/>
      <c r="BY290" s="40"/>
      <c r="BZ290" s="40"/>
      <c r="CA290" s="40"/>
      <c r="CB290" s="40"/>
      <c r="CC290" s="40"/>
      <c r="CD290" s="40"/>
      <c r="CE290" s="76">
        <f t="shared" si="12"/>
        <v>1</v>
      </c>
    </row>
    <row r="291" spans="1:83" s="5" customFormat="1" ht="12" customHeight="1" x14ac:dyDescent="0.25">
      <c r="A291" s="45" t="s">
        <v>456</v>
      </c>
      <c r="B291" s="75">
        <f t="shared" si="14"/>
        <v>0</v>
      </c>
      <c r="C291" s="67">
        <v>1</v>
      </c>
      <c r="D291" s="69">
        <v>44319</v>
      </c>
      <c r="E291" s="77">
        <v>38.21</v>
      </c>
      <c r="F291" s="77">
        <f t="shared" si="13"/>
        <v>0</v>
      </c>
      <c r="G291" s="75"/>
      <c r="H291" s="16"/>
      <c r="I291" s="16"/>
      <c r="J291" s="175"/>
      <c r="K291" s="16"/>
      <c r="L291" s="40"/>
      <c r="M291" s="40"/>
      <c r="N291" s="40"/>
      <c r="O291" s="40"/>
      <c r="P291" s="40"/>
      <c r="Q291" s="40"/>
      <c r="R291" s="40"/>
      <c r="S291" s="40"/>
      <c r="T291" s="40"/>
      <c r="U291" s="40"/>
      <c r="V291" s="40"/>
      <c r="W291" s="40"/>
      <c r="X291" s="40"/>
      <c r="Y291" s="40"/>
      <c r="Z291" s="40"/>
      <c r="AA291" s="40"/>
      <c r="AB291" s="40"/>
      <c r="AC291" s="40"/>
      <c r="AD291" s="40"/>
      <c r="AE291" s="40"/>
      <c r="AF291" s="40"/>
      <c r="AG291" s="40"/>
      <c r="AH291" s="40"/>
      <c r="AI291" s="40"/>
      <c r="AJ291" s="40"/>
      <c r="AK291" s="40"/>
      <c r="AL291" s="40"/>
      <c r="AM291" s="40"/>
      <c r="AN291" s="40"/>
      <c r="AO291" s="40"/>
      <c r="AP291" s="40"/>
      <c r="AQ291" s="40"/>
      <c r="AR291" s="40"/>
      <c r="AS291" s="40"/>
      <c r="AT291" s="40"/>
      <c r="AU291" s="40"/>
      <c r="AV291" s="40"/>
      <c r="AW291" s="40"/>
      <c r="AX291" s="40"/>
      <c r="AY291" s="40"/>
      <c r="AZ291" s="40"/>
      <c r="BA291" s="40"/>
      <c r="BB291" s="40"/>
      <c r="BC291" s="40"/>
      <c r="BD291" s="40"/>
      <c r="BE291" s="40"/>
      <c r="BF291" s="40"/>
      <c r="BG291" s="40"/>
      <c r="BH291" s="40"/>
      <c r="BI291" s="40"/>
      <c r="BJ291" s="40"/>
      <c r="BK291" s="40"/>
      <c r="BL291" s="40"/>
      <c r="BM291" s="40"/>
      <c r="BN291" s="40"/>
      <c r="BO291" s="40"/>
      <c r="BP291" s="40"/>
      <c r="BQ291" s="40"/>
      <c r="BR291" s="40"/>
      <c r="BS291" s="40"/>
      <c r="BT291" s="40"/>
      <c r="BU291" s="40"/>
      <c r="BV291" s="40"/>
      <c r="BW291" s="40"/>
      <c r="BX291" s="40"/>
      <c r="BY291" s="40"/>
      <c r="BZ291" s="40"/>
      <c r="CA291" s="40"/>
      <c r="CB291" s="40"/>
      <c r="CC291" s="40"/>
      <c r="CD291" s="40"/>
      <c r="CE291" s="76">
        <f t="shared" si="12"/>
        <v>0</v>
      </c>
    </row>
    <row r="292" spans="1:83" s="5" customFormat="1" ht="12" customHeight="1" x14ac:dyDescent="0.25">
      <c r="A292" s="45" t="s">
        <v>457</v>
      </c>
      <c r="B292" s="75">
        <f t="shared" si="14"/>
        <v>0</v>
      </c>
      <c r="C292" s="67">
        <v>1</v>
      </c>
      <c r="D292" s="69">
        <v>44319</v>
      </c>
      <c r="E292" s="77">
        <v>46.63</v>
      </c>
      <c r="F292" s="77">
        <f t="shared" si="13"/>
        <v>0</v>
      </c>
      <c r="G292" s="75"/>
      <c r="H292" s="16"/>
      <c r="I292" s="16"/>
      <c r="J292" s="175"/>
      <c r="K292" s="16"/>
      <c r="L292" s="40"/>
      <c r="M292" s="40"/>
      <c r="N292" s="40"/>
      <c r="O292" s="40"/>
      <c r="P292" s="40"/>
      <c r="Q292" s="40"/>
      <c r="R292" s="40"/>
      <c r="S292" s="40"/>
      <c r="T292" s="40"/>
      <c r="U292" s="40"/>
      <c r="V292" s="40"/>
      <c r="W292" s="40"/>
      <c r="X292" s="40"/>
      <c r="Y292" s="40"/>
      <c r="Z292" s="40"/>
      <c r="AA292" s="40"/>
      <c r="AB292" s="40"/>
      <c r="AC292" s="40"/>
      <c r="AD292" s="40"/>
      <c r="AE292" s="40"/>
      <c r="AF292" s="40"/>
      <c r="AG292" s="40"/>
      <c r="AH292" s="40"/>
      <c r="AI292" s="40"/>
      <c r="AJ292" s="40"/>
      <c r="AK292" s="40"/>
      <c r="AL292" s="40"/>
      <c r="AM292" s="40"/>
      <c r="AN292" s="40"/>
      <c r="AO292" s="40"/>
      <c r="AP292" s="40"/>
      <c r="AQ292" s="40"/>
      <c r="AR292" s="40"/>
      <c r="AS292" s="40"/>
      <c r="AT292" s="40"/>
      <c r="AU292" s="40"/>
      <c r="AV292" s="40"/>
      <c r="AW292" s="40"/>
      <c r="AX292" s="40"/>
      <c r="AY292" s="40"/>
      <c r="AZ292" s="40"/>
      <c r="BA292" s="40"/>
      <c r="BB292" s="40"/>
      <c r="BC292" s="40"/>
      <c r="BD292" s="40"/>
      <c r="BE292" s="40"/>
      <c r="BF292" s="40"/>
      <c r="BG292" s="40"/>
      <c r="BH292" s="40"/>
      <c r="BI292" s="40"/>
      <c r="BJ292" s="40"/>
      <c r="BK292" s="40"/>
      <c r="BL292" s="40"/>
      <c r="BM292" s="40"/>
      <c r="BN292" s="40"/>
      <c r="BO292" s="40"/>
      <c r="BP292" s="40"/>
      <c r="BQ292" s="40"/>
      <c r="BR292" s="40"/>
      <c r="BS292" s="40"/>
      <c r="BT292" s="40"/>
      <c r="BU292" s="40"/>
      <c r="BV292" s="40"/>
      <c r="BW292" s="40"/>
      <c r="BX292" s="40"/>
      <c r="BY292" s="40"/>
      <c r="BZ292" s="40"/>
      <c r="CA292" s="40"/>
      <c r="CB292" s="40"/>
      <c r="CC292" s="40"/>
      <c r="CD292" s="40"/>
      <c r="CE292" s="76">
        <f t="shared" si="12"/>
        <v>0</v>
      </c>
    </row>
    <row r="293" spans="1:83" s="5" customFormat="1" ht="12" customHeight="1" x14ac:dyDescent="0.25">
      <c r="A293" s="45" t="s">
        <v>412</v>
      </c>
      <c r="B293" s="75">
        <f t="shared" si="14"/>
        <v>0</v>
      </c>
      <c r="C293" s="67">
        <v>1</v>
      </c>
      <c r="D293" s="69">
        <v>44431</v>
      </c>
      <c r="E293" s="77">
        <v>105.02</v>
      </c>
      <c r="F293" s="77">
        <f t="shared" si="13"/>
        <v>0</v>
      </c>
      <c r="G293" s="75"/>
      <c r="H293" s="16"/>
      <c r="I293" s="16"/>
      <c r="J293" s="175"/>
      <c r="K293" s="16"/>
      <c r="L293" s="40"/>
      <c r="M293" s="40"/>
      <c r="N293" s="40"/>
      <c r="O293" s="40"/>
      <c r="P293" s="40"/>
      <c r="Q293" s="40"/>
      <c r="R293" s="40"/>
      <c r="S293" s="40"/>
      <c r="T293" s="40"/>
      <c r="U293" s="40"/>
      <c r="V293" s="40"/>
      <c r="W293" s="40"/>
      <c r="X293" s="40"/>
      <c r="Y293" s="40"/>
      <c r="Z293" s="40"/>
      <c r="AA293" s="40"/>
      <c r="AB293" s="40"/>
      <c r="AC293" s="40"/>
      <c r="AD293" s="40"/>
      <c r="AE293" s="40"/>
      <c r="AF293" s="40"/>
      <c r="AG293" s="40"/>
      <c r="AH293" s="40"/>
      <c r="AI293" s="40"/>
      <c r="AJ293" s="40"/>
      <c r="AK293" s="40"/>
      <c r="AL293" s="40"/>
      <c r="AM293" s="40"/>
      <c r="AN293" s="40"/>
      <c r="AO293" s="40"/>
      <c r="AP293" s="40"/>
      <c r="AQ293" s="40"/>
      <c r="AR293" s="40"/>
      <c r="AS293" s="40"/>
      <c r="AT293" s="40"/>
      <c r="AU293" s="40"/>
      <c r="AV293" s="40"/>
      <c r="AW293" s="40"/>
      <c r="AX293" s="40"/>
      <c r="AY293" s="40"/>
      <c r="AZ293" s="40"/>
      <c r="BA293" s="40"/>
      <c r="BB293" s="40"/>
      <c r="BC293" s="40"/>
      <c r="BD293" s="40"/>
      <c r="BE293" s="40"/>
      <c r="BF293" s="40"/>
      <c r="BG293" s="40"/>
      <c r="BH293" s="40"/>
      <c r="BI293" s="40"/>
      <c r="BJ293" s="40"/>
      <c r="BK293" s="40"/>
      <c r="BL293" s="40"/>
      <c r="BM293" s="40"/>
      <c r="BN293" s="40"/>
      <c r="BO293" s="40"/>
      <c r="BP293" s="40"/>
      <c r="BQ293" s="40"/>
      <c r="BR293" s="40"/>
      <c r="BS293" s="40"/>
      <c r="BT293" s="40"/>
      <c r="BU293" s="40"/>
      <c r="BV293" s="40"/>
      <c r="BW293" s="40"/>
      <c r="BX293" s="40"/>
      <c r="BY293" s="40"/>
      <c r="BZ293" s="40"/>
      <c r="CA293" s="40"/>
      <c r="CB293" s="40"/>
      <c r="CC293" s="40"/>
      <c r="CD293" s="40"/>
      <c r="CE293" s="76">
        <f t="shared" si="12"/>
        <v>0</v>
      </c>
    </row>
    <row r="294" spans="1:83" s="5" customFormat="1" ht="12" customHeight="1" x14ac:dyDescent="0.25">
      <c r="A294" s="45" t="s">
        <v>454</v>
      </c>
      <c r="B294" s="75">
        <f t="shared" si="14"/>
        <v>0</v>
      </c>
      <c r="C294" s="67">
        <v>1</v>
      </c>
      <c r="D294" s="70">
        <v>44452</v>
      </c>
      <c r="E294" s="77">
        <v>65.02</v>
      </c>
      <c r="F294" s="77">
        <f t="shared" si="13"/>
        <v>0</v>
      </c>
      <c r="G294" s="75"/>
      <c r="H294" s="16"/>
      <c r="I294" s="16"/>
      <c r="J294" s="175"/>
      <c r="K294" s="16"/>
      <c r="L294" s="40"/>
      <c r="M294" s="40"/>
      <c r="N294" s="40"/>
      <c r="O294" s="40"/>
      <c r="P294" s="40"/>
      <c r="Q294" s="40"/>
      <c r="R294" s="40"/>
      <c r="S294" s="40"/>
      <c r="T294" s="40"/>
      <c r="U294" s="40"/>
      <c r="V294" s="40"/>
      <c r="W294" s="40"/>
      <c r="X294" s="40"/>
      <c r="Y294" s="40"/>
      <c r="Z294" s="40"/>
      <c r="AA294" s="40"/>
      <c r="AB294" s="40"/>
      <c r="AC294" s="40"/>
      <c r="AD294" s="40"/>
      <c r="AE294" s="40"/>
      <c r="AF294" s="40"/>
      <c r="AG294" s="40"/>
      <c r="AH294" s="40"/>
      <c r="AI294" s="40"/>
      <c r="AJ294" s="40"/>
      <c r="AK294" s="40"/>
      <c r="AL294" s="40"/>
      <c r="AM294" s="40"/>
      <c r="AN294" s="40"/>
      <c r="AO294" s="40"/>
      <c r="AP294" s="40"/>
      <c r="AQ294" s="40"/>
      <c r="AR294" s="40"/>
      <c r="AS294" s="40"/>
      <c r="AT294" s="40"/>
      <c r="AU294" s="40"/>
      <c r="AV294" s="40"/>
      <c r="AW294" s="40"/>
      <c r="AX294" s="40"/>
      <c r="AY294" s="40"/>
      <c r="AZ294" s="40"/>
      <c r="BA294" s="40"/>
      <c r="BB294" s="40"/>
      <c r="BC294" s="40"/>
      <c r="BD294" s="40"/>
      <c r="BE294" s="40"/>
      <c r="BF294" s="40"/>
      <c r="BG294" s="40"/>
      <c r="BH294" s="40"/>
      <c r="BI294" s="40"/>
      <c r="BJ294" s="40"/>
      <c r="BK294" s="40"/>
      <c r="BL294" s="40"/>
      <c r="BM294" s="40"/>
      <c r="BN294" s="40"/>
      <c r="BO294" s="40"/>
      <c r="BP294" s="40"/>
      <c r="BQ294" s="40"/>
      <c r="BR294" s="40"/>
      <c r="BS294" s="40"/>
      <c r="BT294" s="40"/>
      <c r="BU294" s="40"/>
      <c r="BV294" s="40"/>
      <c r="BW294" s="40"/>
      <c r="BX294" s="40"/>
      <c r="BY294" s="40"/>
      <c r="BZ294" s="40"/>
      <c r="CA294" s="40"/>
      <c r="CB294" s="40"/>
      <c r="CC294" s="40"/>
      <c r="CD294" s="40"/>
      <c r="CE294" s="76">
        <f t="shared" si="12"/>
        <v>0</v>
      </c>
    </row>
    <row r="295" spans="1:83" s="5" customFormat="1" ht="12" customHeight="1" x14ac:dyDescent="0.25">
      <c r="A295" s="45" t="s">
        <v>413</v>
      </c>
      <c r="B295" s="75">
        <f t="shared" si="14"/>
        <v>1</v>
      </c>
      <c r="C295" s="67">
        <v>1</v>
      </c>
      <c r="D295" s="69">
        <v>44260</v>
      </c>
      <c r="E295" s="77">
        <v>109.71</v>
      </c>
      <c r="F295" s="77">
        <f t="shared" si="13"/>
        <v>109.71</v>
      </c>
      <c r="G295" s="75">
        <v>1</v>
      </c>
      <c r="H295" s="16"/>
      <c r="I295" s="16"/>
      <c r="J295" s="175"/>
      <c r="K295" s="16"/>
      <c r="L295" s="40"/>
      <c r="M295" s="40"/>
      <c r="N295" s="40"/>
      <c r="O295" s="40"/>
      <c r="P295" s="40"/>
      <c r="Q295" s="40"/>
      <c r="R295" s="40"/>
      <c r="S295" s="40"/>
      <c r="T295" s="40"/>
      <c r="U295" s="40"/>
      <c r="V295" s="40"/>
      <c r="W295" s="40"/>
      <c r="X295" s="40"/>
      <c r="Y295" s="40">
        <v>1</v>
      </c>
      <c r="Z295" s="40"/>
      <c r="AA295" s="40"/>
      <c r="AB295" s="40"/>
      <c r="AC295" s="40"/>
      <c r="AD295" s="40"/>
      <c r="AE295" s="40"/>
      <c r="AF295" s="40"/>
      <c r="AG295" s="40"/>
      <c r="AH295" s="40"/>
      <c r="AI295" s="40"/>
      <c r="AJ295" s="40"/>
      <c r="AK295" s="40"/>
      <c r="AL295" s="40"/>
      <c r="AM295" s="40"/>
      <c r="AN295" s="40"/>
      <c r="AO295" s="40"/>
      <c r="AP295" s="40"/>
      <c r="AQ295" s="40"/>
      <c r="AR295" s="40"/>
      <c r="AS295" s="40"/>
      <c r="AT295" s="40"/>
      <c r="AU295" s="40"/>
      <c r="AV295" s="40"/>
      <c r="AW295" s="40"/>
      <c r="AX295" s="40"/>
      <c r="AY295" s="40"/>
      <c r="AZ295" s="40"/>
      <c r="BA295" s="40"/>
      <c r="BB295" s="40"/>
      <c r="BC295" s="40"/>
      <c r="BD295" s="40"/>
      <c r="BE295" s="40"/>
      <c r="BF295" s="40"/>
      <c r="BG295" s="40"/>
      <c r="BH295" s="40"/>
      <c r="BI295" s="40"/>
      <c r="BJ295" s="40"/>
      <c r="BK295" s="40"/>
      <c r="BL295" s="40"/>
      <c r="BM295" s="40"/>
      <c r="BN295" s="40"/>
      <c r="BO295" s="40"/>
      <c r="BP295" s="40"/>
      <c r="BQ295" s="40"/>
      <c r="BR295" s="40"/>
      <c r="BS295" s="40"/>
      <c r="BT295" s="40"/>
      <c r="BU295" s="40"/>
      <c r="BV295" s="40"/>
      <c r="BW295" s="40"/>
      <c r="BX295" s="40"/>
      <c r="BY295" s="40"/>
      <c r="BZ295" s="40"/>
      <c r="CA295" s="40"/>
      <c r="CB295" s="40"/>
      <c r="CC295" s="40"/>
      <c r="CD295" s="40"/>
      <c r="CE295" s="76">
        <f t="shared" si="12"/>
        <v>0</v>
      </c>
    </row>
    <row r="296" spans="1:83" s="5" customFormat="1" ht="12" customHeight="1" x14ac:dyDescent="0.25">
      <c r="A296" s="45" t="s">
        <v>414</v>
      </c>
      <c r="B296" s="75">
        <f t="shared" si="14"/>
        <v>1</v>
      </c>
      <c r="C296" s="67">
        <v>1</v>
      </c>
      <c r="D296" s="69">
        <v>44260</v>
      </c>
      <c r="E296" s="77">
        <v>68.58</v>
      </c>
      <c r="F296" s="77">
        <f t="shared" si="13"/>
        <v>68.58</v>
      </c>
      <c r="G296" s="75">
        <v>1</v>
      </c>
      <c r="H296" s="16"/>
      <c r="I296" s="16"/>
      <c r="J296" s="175"/>
      <c r="K296" s="16"/>
      <c r="L296" s="40"/>
      <c r="M296" s="40"/>
      <c r="N296" s="40"/>
      <c r="O296" s="40"/>
      <c r="P296" s="40"/>
      <c r="Q296" s="40"/>
      <c r="R296" s="40"/>
      <c r="S296" s="40"/>
      <c r="T296" s="40"/>
      <c r="U296" s="40"/>
      <c r="V296" s="40"/>
      <c r="W296" s="40"/>
      <c r="X296" s="40"/>
      <c r="Y296" s="40">
        <v>1</v>
      </c>
      <c r="Z296" s="40"/>
      <c r="AA296" s="40"/>
      <c r="AB296" s="40"/>
      <c r="AC296" s="40"/>
      <c r="AD296" s="40"/>
      <c r="AE296" s="40"/>
      <c r="AF296" s="40"/>
      <c r="AG296" s="40"/>
      <c r="AH296" s="40"/>
      <c r="AI296" s="40"/>
      <c r="AJ296" s="40"/>
      <c r="AK296" s="40"/>
      <c r="AL296" s="40"/>
      <c r="AM296" s="40"/>
      <c r="AN296" s="40"/>
      <c r="AO296" s="40"/>
      <c r="AP296" s="40"/>
      <c r="AQ296" s="40"/>
      <c r="AR296" s="40"/>
      <c r="AS296" s="40"/>
      <c r="AT296" s="40"/>
      <c r="AU296" s="40"/>
      <c r="AV296" s="40"/>
      <c r="AW296" s="40"/>
      <c r="AX296" s="40"/>
      <c r="AY296" s="40"/>
      <c r="AZ296" s="40"/>
      <c r="BA296" s="40"/>
      <c r="BB296" s="40"/>
      <c r="BC296" s="40"/>
      <c r="BD296" s="40"/>
      <c r="BE296" s="40"/>
      <c r="BF296" s="40"/>
      <c r="BG296" s="40"/>
      <c r="BH296" s="40"/>
      <c r="BI296" s="40"/>
      <c r="BJ296" s="40"/>
      <c r="BK296" s="40"/>
      <c r="BL296" s="40"/>
      <c r="BM296" s="40"/>
      <c r="BN296" s="40"/>
      <c r="BO296" s="40"/>
      <c r="BP296" s="40"/>
      <c r="BQ296" s="40"/>
      <c r="BR296" s="40"/>
      <c r="BS296" s="40"/>
      <c r="BT296" s="40"/>
      <c r="BU296" s="40"/>
      <c r="BV296" s="40"/>
      <c r="BW296" s="40"/>
      <c r="BX296" s="40"/>
      <c r="BY296" s="40"/>
      <c r="BZ296" s="40"/>
      <c r="CA296" s="40"/>
      <c r="CB296" s="40"/>
      <c r="CC296" s="40"/>
      <c r="CD296" s="40"/>
      <c r="CE296" s="76">
        <f t="shared" si="12"/>
        <v>0</v>
      </c>
    </row>
    <row r="297" spans="1:83" s="5" customFormat="1" ht="12" customHeight="1" x14ac:dyDescent="0.25">
      <c r="A297" s="45" t="s">
        <v>415</v>
      </c>
      <c r="B297" s="75">
        <f t="shared" si="14"/>
        <v>4</v>
      </c>
      <c r="C297" s="67">
        <v>1</v>
      </c>
      <c r="D297" s="69">
        <v>44585</v>
      </c>
      <c r="E297" s="77">
        <v>62.49</v>
      </c>
      <c r="F297" s="77">
        <f t="shared" si="13"/>
        <v>249.96</v>
      </c>
      <c r="G297" s="75"/>
      <c r="H297" s="16"/>
      <c r="I297" s="16"/>
      <c r="J297" s="175"/>
      <c r="K297" s="16"/>
      <c r="L297" s="40"/>
      <c r="M297" s="40"/>
      <c r="N297" s="40"/>
      <c r="O297" s="40"/>
      <c r="P297" s="40"/>
      <c r="Q297" s="40"/>
      <c r="R297" s="40"/>
      <c r="S297" s="40"/>
      <c r="T297" s="40"/>
      <c r="U297" s="40"/>
      <c r="V297" s="40"/>
      <c r="W297" s="40"/>
      <c r="X297" s="40"/>
      <c r="Y297" s="40"/>
      <c r="Z297" s="40"/>
      <c r="AA297" s="40"/>
      <c r="AB297" s="40"/>
      <c r="AC297" s="40"/>
      <c r="AD297" s="40"/>
      <c r="AE297" s="40"/>
      <c r="AF297" s="40"/>
      <c r="AG297" s="40"/>
      <c r="AH297" s="40"/>
      <c r="AI297" s="40"/>
      <c r="AJ297" s="40"/>
      <c r="AK297" s="40"/>
      <c r="AL297" s="40"/>
      <c r="AM297" s="40"/>
      <c r="AN297" s="40"/>
      <c r="AO297" s="40"/>
      <c r="AP297" s="40"/>
      <c r="AQ297" s="40"/>
      <c r="AR297" s="40"/>
      <c r="AS297" s="40"/>
      <c r="AT297" s="40"/>
      <c r="AU297" s="40"/>
      <c r="AV297" s="40"/>
      <c r="AW297" s="40"/>
      <c r="AX297" s="40"/>
      <c r="AY297" s="40"/>
      <c r="AZ297" s="40"/>
      <c r="BA297" s="40"/>
      <c r="BB297" s="40"/>
      <c r="BC297" s="40"/>
      <c r="BD297" s="40"/>
      <c r="BE297" s="40"/>
      <c r="BF297" s="40">
        <v>4</v>
      </c>
      <c r="BG297" s="40"/>
      <c r="BH297" s="40"/>
      <c r="BI297" s="40"/>
      <c r="BJ297" s="40"/>
      <c r="BK297" s="40"/>
      <c r="BL297" s="40"/>
      <c r="BM297" s="40"/>
      <c r="BN297" s="40"/>
      <c r="BO297" s="40"/>
      <c r="BP297" s="40"/>
      <c r="BQ297" s="40"/>
      <c r="BR297" s="40"/>
      <c r="BS297" s="40"/>
      <c r="BT297" s="40"/>
      <c r="BU297" s="40"/>
      <c r="BV297" s="40"/>
      <c r="BW297" s="40"/>
      <c r="BX297" s="40"/>
      <c r="BY297" s="40"/>
      <c r="BZ297" s="40"/>
      <c r="CA297" s="40"/>
      <c r="CB297" s="40"/>
      <c r="CC297" s="40"/>
      <c r="CD297" s="40"/>
      <c r="CE297" s="76">
        <f t="shared" si="12"/>
        <v>4</v>
      </c>
    </row>
    <row r="298" spans="1:83" s="5" customFormat="1" ht="12" customHeight="1" x14ac:dyDescent="0.25">
      <c r="A298" s="45" t="s">
        <v>490</v>
      </c>
      <c r="B298" s="75">
        <f t="shared" si="14"/>
        <v>0</v>
      </c>
      <c r="C298" s="67">
        <v>1</v>
      </c>
      <c r="D298" s="69">
        <v>44452</v>
      </c>
      <c r="E298" s="77">
        <v>33.909999999999997</v>
      </c>
      <c r="F298" s="77">
        <f t="shared" si="13"/>
        <v>0</v>
      </c>
      <c r="G298" s="75"/>
      <c r="H298" s="16"/>
      <c r="I298" s="16"/>
      <c r="J298" s="175"/>
      <c r="K298" s="16"/>
      <c r="L298" s="40"/>
      <c r="M298" s="40"/>
      <c r="N298" s="40"/>
      <c r="O298" s="40"/>
      <c r="P298" s="40"/>
      <c r="Q298" s="40"/>
      <c r="R298" s="40"/>
      <c r="S298" s="40"/>
      <c r="T298" s="40"/>
      <c r="U298" s="40"/>
      <c r="V298" s="40"/>
      <c r="W298" s="40"/>
      <c r="X298" s="40"/>
      <c r="Y298" s="40"/>
      <c r="Z298" s="40"/>
      <c r="AA298" s="40"/>
      <c r="AB298" s="40"/>
      <c r="AC298" s="40"/>
      <c r="AD298" s="40"/>
      <c r="AE298" s="40"/>
      <c r="AF298" s="40"/>
      <c r="AG298" s="40"/>
      <c r="AH298" s="40"/>
      <c r="AI298" s="40"/>
      <c r="AJ298" s="40"/>
      <c r="AK298" s="40"/>
      <c r="AL298" s="40"/>
      <c r="AM298" s="40"/>
      <c r="AN298" s="40"/>
      <c r="AO298" s="40"/>
      <c r="AP298" s="40"/>
      <c r="AQ298" s="40"/>
      <c r="AR298" s="40"/>
      <c r="AS298" s="40"/>
      <c r="AT298" s="40"/>
      <c r="AU298" s="40"/>
      <c r="AV298" s="40"/>
      <c r="AW298" s="40"/>
      <c r="AX298" s="40"/>
      <c r="AY298" s="40"/>
      <c r="AZ298" s="40"/>
      <c r="BA298" s="40"/>
      <c r="BB298" s="40"/>
      <c r="BC298" s="40"/>
      <c r="BD298" s="40"/>
      <c r="BE298" s="40"/>
      <c r="BF298" s="40"/>
      <c r="BG298" s="40"/>
      <c r="BH298" s="40"/>
      <c r="BI298" s="40"/>
      <c r="BJ298" s="40"/>
      <c r="BK298" s="40"/>
      <c r="BL298" s="40"/>
      <c r="BM298" s="40"/>
      <c r="BN298" s="40"/>
      <c r="BO298" s="40"/>
      <c r="BP298" s="40"/>
      <c r="BQ298" s="40"/>
      <c r="BR298" s="40"/>
      <c r="BS298" s="40"/>
      <c r="BT298" s="40"/>
      <c r="BU298" s="40"/>
      <c r="BV298" s="40"/>
      <c r="BW298" s="40"/>
      <c r="BX298" s="40"/>
      <c r="BY298" s="40"/>
      <c r="BZ298" s="40"/>
      <c r="CA298" s="40"/>
      <c r="CB298" s="40"/>
      <c r="CC298" s="40"/>
      <c r="CD298" s="40"/>
      <c r="CE298" s="76">
        <f t="shared" si="12"/>
        <v>0</v>
      </c>
    </row>
    <row r="299" spans="1:83" s="5" customFormat="1" ht="12" customHeight="1" x14ac:dyDescent="0.25">
      <c r="A299" s="45" t="s">
        <v>551</v>
      </c>
      <c r="B299" s="75">
        <f t="shared" si="14"/>
        <v>0</v>
      </c>
      <c r="C299" s="67">
        <v>1</v>
      </c>
      <c r="D299" s="69">
        <v>44585</v>
      </c>
      <c r="E299" s="77">
        <v>63.39</v>
      </c>
      <c r="F299" s="77">
        <f t="shared" si="13"/>
        <v>0</v>
      </c>
      <c r="G299" s="75"/>
      <c r="H299" s="16"/>
      <c r="I299" s="16"/>
      <c r="J299" s="175"/>
      <c r="K299" s="16"/>
      <c r="L299" s="40"/>
      <c r="M299" s="40"/>
      <c r="N299" s="40"/>
      <c r="O299" s="40"/>
      <c r="P299" s="40"/>
      <c r="Q299" s="40"/>
      <c r="R299" s="40"/>
      <c r="S299" s="40"/>
      <c r="T299" s="40"/>
      <c r="U299" s="40"/>
      <c r="V299" s="40"/>
      <c r="W299" s="40"/>
      <c r="X299" s="40"/>
      <c r="Y299" s="40"/>
      <c r="Z299" s="40"/>
      <c r="AA299" s="40"/>
      <c r="AB299" s="40"/>
      <c r="AC299" s="40"/>
      <c r="AD299" s="40"/>
      <c r="AE299" s="40"/>
      <c r="AF299" s="40"/>
      <c r="AG299" s="40"/>
      <c r="AH299" s="40"/>
      <c r="AI299" s="40"/>
      <c r="AJ299" s="40"/>
      <c r="AK299" s="40"/>
      <c r="AL299" s="40"/>
      <c r="AM299" s="40"/>
      <c r="AN299" s="40"/>
      <c r="AO299" s="40"/>
      <c r="AP299" s="40"/>
      <c r="AQ299" s="40"/>
      <c r="AR299" s="40"/>
      <c r="AS299" s="40"/>
      <c r="AT299" s="40"/>
      <c r="AU299" s="40"/>
      <c r="AV299" s="40"/>
      <c r="AW299" s="40"/>
      <c r="AX299" s="40"/>
      <c r="AY299" s="40"/>
      <c r="AZ299" s="40"/>
      <c r="BA299" s="40"/>
      <c r="BB299" s="40"/>
      <c r="BC299" s="40"/>
      <c r="BD299" s="40"/>
      <c r="BE299" s="40"/>
      <c r="BF299" s="40">
        <v>5</v>
      </c>
      <c r="BG299" s="40"/>
      <c r="BH299" s="40"/>
      <c r="BI299" s="40"/>
      <c r="BJ299" s="40"/>
      <c r="BK299" s="40"/>
      <c r="BL299" s="40">
        <v>5</v>
      </c>
      <c r="BM299" s="40"/>
      <c r="BN299" s="40"/>
      <c r="BO299" s="40"/>
      <c r="BP299" s="40"/>
      <c r="BQ299" s="40"/>
      <c r="BR299" s="40"/>
      <c r="BS299" s="40"/>
      <c r="BT299" s="40"/>
      <c r="BU299" s="40"/>
      <c r="BV299" s="40"/>
      <c r="BW299" s="40"/>
      <c r="BX299" s="40"/>
      <c r="BY299" s="40"/>
      <c r="BZ299" s="40"/>
      <c r="CA299" s="40"/>
      <c r="CB299" s="40"/>
      <c r="CC299" s="40"/>
      <c r="CD299" s="40"/>
      <c r="CE299" s="76">
        <f t="shared" si="12"/>
        <v>0</v>
      </c>
    </row>
    <row r="300" spans="1:83" s="5" customFormat="1" ht="12" customHeight="1" x14ac:dyDescent="0.25">
      <c r="A300" s="45" t="s">
        <v>336</v>
      </c>
      <c r="B300" s="75">
        <f t="shared" si="14"/>
        <v>0</v>
      </c>
      <c r="C300" s="67">
        <v>1</v>
      </c>
      <c r="D300" s="69">
        <v>44557</v>
      </c>
      <c r="E300" s="77">
        <v>56.08</v>
      </c>
      <c r="F300" s="77">
        <f t="shared" si="13"/>
        <v>0</v>
      </c>
      <c r="G300" s="75"/>
      <c r="H300" s="16"/>
      <c r="I300" s="16"/>
      <c r="J300" s="175"/>
      <c r="K300" s="16"/>
      <c r="L300" s="40"/>
      <c r="M300" s="40"/>
      <c r="N300" s="40"/>
      <c r="O300" s="40"/>
      <c r="P300" s="40"/>
      <c r="Q300" s="40"/>
      <c r="R300" s="40"/>
      <c r="S300" s="40"/>
      <c r="T300" s="40"/>
      <c r="U300" s="40"/>
      <c r="V300" s="40"/>
      <c r="W300" s="40"/>
      <c r="X300" s="40"/>
      <c r="Y300" s="40"/>
      <c r="Z300" s="40"/>
      <c r="AA300" s="40"/>
      <c r="AB300" s="40"/>
      <c r="AC300" s="40"/>
      <c r="AD300" s="40"/>
      <c r="AE300" s="40"/>
      <c r="AF300" s="40"/>
      <c r="AG300" s="40"/>
      <c r="AH300" s="40"/>
      <c r="AI300" s="40"/>
      <c r="AJ300" s="40"/>
      <c r="AK300" s="40"/>
      <c r="AL300" s="40"/>
      <c r="AM300" s="40"/>
      <c r="AN300" s="40"/>
      <c r="AO300" s="40"/>
      <c r="AP300" s="40"/>
      <c r="AQ300" s="40"/>
      <c r="AR300" s="40"/>
      <c r="AS300" s="40"/>
      <c r="AT300" s="40"/>
      <c r="AU300" s="40"/>
      <c r="AV300" s="40"/>
      <c r="AW300" s="40"/>
      <c r="AX300" s="40"/>
      <c r="AY300" s="40"/>
      <c r="AZ300" s="40"/>
      <c r="BA300" s="40"/>
      <c r="BB300" s="40"/>
      <c r="BC300" s="40"/>
      <c r="BD300" s="40"/>
      <c r="BE300" s="40"/>
      <c r="BF300" s="40"/>
      <c r="BG300" s="40"/>
      <c r="BH300" s="40"/>
      <c r="BI300" s="40"/>
      <c r="BJ300" s="40"/>
      <c r="BK300" s="40"/>
      <c r="BL300" s="40"/>
      <c r="BM300" s="40"/>
      <c r="BN300" s="40"/>
      <c r="BO300" s="40"/>
      <c r="BP300" s="40"/>
      <c r="BQ300" s="40"/>
      <c r="BR300" s="40"/>
      <c r="BS300" s="40"/>
      <c r="BT300" s="40"/>
      <c r="BU300" s="40"/>
      <c r="BV300" s="40"/>
      <c r="BW300" s="40"/>
      <c r="BX300" s="40"/>
      <c r="BY300" s="40"/>
      <c r="BZ300" s="40"/>
      <c r="CA300" s="40"/>
      <c r="CB300" s="40"/>
      <c r="CC300" s="40"/>
      <c r="CD300" s="40"/>
      <c r="CE300" s="76">
        <f t="shared" si="12"/>
        <v>0</v>
      </c>
    </row>
    <row r="301" spans="1:83" s="5" customFormat="1" ht="12" customHeight="1" x14ac:dyDescent="0.25">
      <c r="A301" s="45" t="s">
        <v>337</v>
      </c>
      <c r="B301" s="75">
        <f t="shared" si="14"/>
        <v>0</v>
      </c>
      <c r="C301" s="67">
        <v>1</v>
      </c>
      <c r="D301" s="69">
        <v>44396</v>
      </c>
      <c r="E301" s="77">
        <v>15.68</v>
      </c>
      <c r="F301" s="77">
        <f t="shared" si="13"/>
        <v>0</v>
      </c>
      <c r="G301" s="75"/>
      <c r="H301" s="16"/>
      <c r="I301" s="16"/>
      <c r="J301" s="175"/>
      <c r="K301" s="16"/>
      <c r="L301" s="40"/>
      <c r="M301" s="40"/>
      <c r="N301" s="40"/>
      <c r="O301" s="40"/>
      <c r="P301" s="40"/>
      <c r="Q301" s="40"/>
      <c r="R301" s="40"/>
      <c r="S301" s="40"/>
      <c r="T301" s="40"/>
      <c r="U301" s="40"/>
      <c r="V301" s="40"/>
      <c r="W301" s="40"/>
      <c r="X301" s="40"/>
      <c r="Y301" s="40"/>
      <c r="Z301" s="40"/>
      <c r="AA301" s="40"/>
      <c r="AB301" s="40"/>
      <c r="AC301" s="40"/>
      <c r="AD301" s="40"/>
      <c r="AE301" s="40"/>
      <c r="AF301" s="40"/>
      <c r="AG301" s="40"/>
      <c r="AH301" s="40"/>
      <c r="AI301" s="40"/>
      <c r="AJ301" s="40"/>
      <c r="AK301" s="40"/>
      <c r="AL301" s="40"/>
      <c r="AM301" s="40"/>
      <c r="AN301" s="40"/>
      <c r="AO301" s="40"/>
      <c r="AP301" s="40"/>
      <c r="AQ301" s="40"/>
      <c r="AR301" s="40"/>
      <c r="AS301" s="40"/>
      <c r="AT301" s="40"/>
      <c r="AU301" s="40"/>
      <c r="AV301" s="40"/>
      <c r="AW301" s="40"/>
      <c r="AX301" s="40"/>
      <c r="AY301" s="40"/>
      <c r="AZ301" s="40"/>
      <c r="BA301" s="40"/>
      <c r="BB301" s="40"/>
      <c r="BC301" s="40"/>
      <c r="BD301" s="40"/>
      <c r="BE301" s="40"/>
      <c r="BF301" s="40"/>
      <c r="BG301" s="40"/>
      <c r="BH301" s="40"/>
      <c r="BI301" s="40"/>
      <c r="BJ301" s="40"/>
      <c r="BK301" s="40"/>
      <c r="BL301" s="40"/>
      <c r="BM301" s="40"/>
      <c r="BN301" s="40"/>
      <c r="BO301" s="40"/>
      <c r="BP301" s="40"/>
      <c r="BQ301" s="40"/>
      <c r="BR301" s="40"/>
      <c r="BS301" s="40"/>
      <c r="BT301" s="40"/>
      <c r="BU301" s="40"/>
      <c r="BV301" s="40"/>
      <c r="BW301" s="40"/>
      <c r="BX301" s="40"/>
      <c r="BY301" s="40"/>
      <c r="BZ301" s="40"/>
      <c r="CA301" s="40"/>
      <c r="CB301" s="40"/>
      <c r="CC301" s="40"/>
      <c r="CD301" s="40"/>
      <c r="CE301" s="76">
        <f t="shared" si="12"/>
        <v>0</v>
      </c>
    </row>
    <row r="302" spans="1:83" s="5" customFormat="1" ht="12" customHeight="1" x14ac:dyDescent="0.25">
      <c r="A302" s="45" t="s">
        <v>427</v>
      </c>
      <c r="B302" s="75">
        <f t="shared" si="14"/>
        <v>0</v>
      </c>
      <c r="C302" s="67">
        <v>1</v>
      </c>
      <c r="D302" s="69">
        <v>44221</v>
      </c>
      <c r="E302" s="77">
        <v>188.75</v>
      </c>
      <c r="F302" s="77">
        <f t="shared" si="13"/>
        <v>0</v>
      </c>
      <c r="G302" s="75"/>
      <c r="H302" s="16"/>
      <c r="I302" s="16"/>
      <c r="J302" s="175"/>
      <c r="K302" s="16"/>
      <c r="L302" s="40"/>
      <c r="M302" s="40"/>
      <c r="N302" s="40"/>
      <c r="O302" s="40"/>
      <c r="P302" s="40"/>
      <c r="Q302" s="40"/>
      <c r="R302" s="40"/>
      <c r="S302" s="40"/>
      <c r="T302" s="40"/>
      <c r="U302" s="40"/>
      <c r="V302" s="40"/>
      <c r="W302" s="40"/>
      <c r="X302" s="40"/>
      <c r="Y302" s="40"/>
      <c r="Z302" s="40"/>
      <c r="AA302" s="40"/>
      <c r="AB302" s="40"/>
      <c r="AC302" s="40"/>
      <c r="AD302" s="40"/>
      <c r="AE302" s="40"/>
      <c r="AF302" s="40"/>
      <c r="AG302" s="40"/>
      <c r="AH302" s="40"/>
      <c r="AI302" s="40"/>
      <c r="AJ302" s="40"/>
      <c r="AK302" s="40"/>
      <c r="AL302" s="40"/>
      <c r="AM302" s="40"/>
      <c r="AN302" s="40"/>
      <c r="AO302" s="40"/>
      <c r="AP302" s="40"/>
      <c r="AQ302" s="40"/>
      <c r="AR302" s="40"/>
      <c r="AS302" s="40"/>
      <c r="AT302" s="40"/>
      <c r="AU302" s="40"/>
      <c r="AV302" s="40"/>
      <c r="AW302" s="40"/>
      <c r="AX302" s="40"/>
      <c r="AY302" s="40"/>
      <c r="AZ302" s="40"/>
      <c r="BA302" s="40"/>
      <c r="BB302" s="40"/>
      <c r="BC302" s="40"/>
      <c r="BD302" s="40"/>
      <c r="BE302" s="40"/>
      <c r="BF302" s="40"/>
      <c r="BG302" s="40"/>
      <c r="BH302" s="40"/>
      <c r="BI302" s="40"/>
      <c r="BJ302" s="40"/>
      <c r="BK302" s="40"/>
      <c r="BL302" s="40"/>
      <c r="BM302" s="40"/>
      <c r="BN302" s="40"/>
      <c r="BO302" s="40"/>
      <c r="BP302" s="40"/>
      <c r="BQ302" s="40"/>
      <c r="BR302" s="40"/>
      <c r="BS302" s="40"/>
      <c r="BT302" s="40"/>
      <c r="BU302" s="40"/>
      <c r="BV302" s="40"/>
      <c r="BW302" s="40"/>
      <c r="BX302" s="40"/>
      <c r="BY302" s="40"/>
      <c r="BZ302" s="40"/>
      <c r="CA302" s="40"/>
      <c r="CB302" s="40"/>
      <c r="CC302" s="40"/>
      <c r="CD302" s="40"/>
      <c r="CE302" s="76">
        <f t="shared" si="12"/>
        <v>0</v>
      </c>
    </row>
    <row r="303" spans="1:83" s="5" customFormat="1" ht="12" customHeight="1" x14ac:dyDescent="0.25">
      <c r="A303" s="45" t="s">
        <v>428</v>
      </c>
      <c r="B303" s="75">
        <f t="shared" si="14"/>
        <v>0</v>
      </c>
      <c r="C303" s="67">
        <v>1</v>
      </c>
      <c r="D303" s="69">
        <v>44221</v>
      </c>
      <c r="E303" s="77">
        <v>188.75</v>
      </c>
      <c r="F303" s="77">
        <f t="shared" si="13"/>
        <v>0</v>
      </c>
      <c r="G303" s="75"/>
      <c r="H303" s="16"/>
      <c r="I303" s="16"/>
      <c r="J303" s="175"/>
      <c r="K303" s="16"/>
      <c r="L303" s="40"/>
      <c r="M303" s="40"/>
      <c r="N303" s="40"/>
      <c r="O303" s="40"/>
      <c r="P303" s="40"/>
      <c r="Q303" s="40"/>
      <c r="R303" s="40"/>
      <c r="S303" s="40"/>
      <c r="T303" s="40"/>
      <c r="U303" s="40"/>
      <c r="V303" s="40"/>
      <c r="W303" s="40"/>
      <c r="X303" s="40"/>
      <c r="Y303" s="40"/>
      <c r="Z303" s="40"/>
      <c r="AA303" s="40"/>
      <c r="AB303" s="40"/>
      <c r="AC303" s="40"/>
      <c r="AD303" s="40"/>
      <c r="AE303" s="40"/>
      <c r="AF303" s="40"/>
      <c r="AG303" s="40"/>
      <c r="AH303" s="40"/>
      <c r="AI303" s="40"/>
      <c r="AJ303" s="40"/>
      <c r="AK303" s="40"/>
      <c r="AL303" s="40"/>
      <c r="AM303" s="40"/>
      <c r="AN303" s="40"/>
      <c r="AO303" s="40"/>
      <c r="AP303" s="40"/>
      <c r="AQ303" s="40"/>
      <c r="AR303" s="40"/>
      <c r="AS303" s="40"/>
      <c r="AT303" s="40"/>
      <c r="AU303" s="40"/>
      <c r="AV303" s="40"/>
      <c r="AW303" s="40"/>
      <c r="AX303" s="40"/>
      <c r="AY303" s="40"/>
      <c r="AZ303" s="40"/>
      <c r="BA303" s="40"/>
      <c r="BB303" s="40"/>
      <c r="BC303" s="40"/>
      <c r="BD303" s="40"/>
      <c r="BE303" s="40"/>
      <c r="BF303" s="40"/>
      <c r="BG303" s="40"/>
      <c r="BH303" s="40"/>
      <c r="BI303" s="40"/>
      <c r="BJ303" s="40"/>
      <c r="BK303" s="40"/>
      <c r="BL303" s="40"/>
      <c r="BM303" s="40"/>
      <c r="BN303" s="40"/>
      <c r="BO303" s="40"/>
      <c r="BP303" s="40"/>
      <c r="BQ303" s="40"/>
      <c r="BR303" s="40"/>
      <c r="BS303" s="40"/>
      <c r="BT303" s="40"/>
      <c r="BU303" s="40"/>
      <c r="BV303" s="40"/>
      <c r="BW303" s="40"/>
      <c r="BX303" s="40"/>
      <c r="BY303" s="40"/>
      <c r="BZ303" s="40"/>
      <c r="CA303" s="40"/>
      <c r="CB303" s="40"/>
      <c r="CC303" s="40"/>
      <c r="CD303" s="40"/>
      <c r="CE303" s="76">
        <f t="shared" si="12"/>
        <v>0</v>
      </c>
    </row>
    <row r="304" spans="1:83" s="5" customFormat="1" ht="12" customHeight="1" x14ac:dyDescent="0.25">
      <c r="A304" s="45" t="s">
        <v>306</v>
      </c>
      <c r="B304" s="75">
        <f t="shared" si="14"/>
        <v>0</v>
      </c>
      <c r="C304" s="67">
        <v>1</v>
      </c>
      <c r="D304" s="69">
        <v>44557</v>
      </c>
      <c r="E304" s="77">
        <v>29.8</v>
      </c>
      <c r="F304" s="77">
        <f t="shared" si="13"/>
        <v>0</v>
      </c>
      <c r="G304" s="75">
        <v>1</v>
      </c>
      <c r="H304" s="16"/>
      <c r="I304" s="16"/>
      <c r="J304" s="175"/>
      <c r="K304" s="16"/>
      <c r="L304" s="40"/>
      <c r="M304" s="40"/>
      <c r="N304" s="40"/>
      <c r="O304" s="40"/>
      <c r="P304" s="40"/>
      <c r="Q304" s="40"/>
      <c r="R304" s="40"/>
      <c r="S304" s="40"/>
      <c r="T304" s="40"/>
      <c r="U304" s="40"/>
      <c r="V304" s="40"/>
      <c r="W304" s="40"/>
      <c r="X304" s="40"/>
      <c r="Y304" s="40"/>
      <c r="Z304" s="40"/>
      <c r="AA304" s="40"/>
      <c r="AB304" s="40"/>
      <c r="AC304" s="40"/>
      <c r="AD304" s="40"/>
      <c r="AE304" s="40"/>
      <c r="AF304" s="40"/>
      <c r="AG304" s="40"/>
      <c r="AH304" s="40"/>
      <c r="AI304" s="40"/>
      <c r="AJ304" s="40"/>
      <c r="AK304" s="40"/>
      <c r="AL304" s="40"/>
      <c r="AM304" s="40"/>
      <c r="AN304" s="40"/>
      <c r="AO304" s="40"/>
      <c r="AP304" s="40"/>
      <c r="AQ304" s="40"/>
      <c r="AR304" s="40"/>
      <c r="AS304" s="40">
        <v>1</v>
      </c>
      <c r="AT304" s="40"/>
      <c r="AU304" s="40"/>
      <c r="AV304" s="40"/>
      <c r="AW304" s="40"/>
      <c r="AX304" s="40"/>
      <c r="AY304" s="40"/>
      <c r="AZ304" s="40"/>
      <c r="BA304" s="40"/>
      <c r="BB304" s="40"/>
      <c r="BC304" s="40"/>
      <c r="BD304" s="40"/>
      <c r="BE304" s="40"/>
      <c r="BF304" s="40"/>
      <c r="BG304" s="40"/>
      <c r="BH304" s="40"/>
      <c r="BI304" s="40"/>
      <c r="BJ304" s="40"/>
      <c r="BK304" s="40"/>
      <c r="BL304" s="40"/>
      <c r="BM304" s="40"/>
      <c r="BN304" s="40"/>
      <c r="BO304" s="40"/>
      <c r="BP304" s="40"/>
      <c r="BQ304" s="40"/>
      <c r="BR304" s="40"/>
      <c r="BS304" s="40"/>
      <c r="BT304" s="40"/>
      <c r="BU304" s="40"/>
      <c r="BV304" s="40"/>
      <c r="BW304" s="40"/>
      <c r="BX304" s="40"/>
      <c r="BY304" s="40"/>
      <c r="BZ304" s="40"/>
      <c r="CA304" s="40"/>
      <c r="CB304" s="40"/>
      <c r="CC304" s="40"/>
      <c r="CD304" s="40"/>
      <c r="CE304" s="76">
        <f t="shared" si="12"/>
        <v>0</v>
      </c>
    </row>
    <row r="305" spans="1:83" s="5" customFormat="1" ht="12" customHeight="1" x14ac:dyDescent="0.25">
      <c r="A305" s="45" t="s">
        <v>403</v>
      </c>
      <c r="B305" s="75">
        <f t="shared" si="14"/>
        <v>0</v>
      </c>
      <c r="C305" s="67">
        <v>1</v>
      </c>
      <c r="D305" s="69">
        <v>44361</v>
      </c>
      <c r="E305" s="77">
        <v>90.35</v>
      </c>
      <c r="F305" s="77">
        <f t="shared" si="13"/>
        <v>0</v>
      </c>
      <c r="G305" s="75"/>
      <c r="H305" s="16"/>
      <c r="I305" s="16"/>
      <c r="J305" s="175"/>
      <c r="K305" s="16"/>
      <c r="L305" s="40"/>
      <c r="M305" s="40"/>
      <c r="N305" s="40"/>
      <c r="O305" s="40"/>
      <c r="P305" s="40"/>
      <c r="Q305" s="40"/>
      <c r="R305" s="40"/>
      <c r="S305" s="40"/>
      <c r="T305" s="40"/>
      <c r="U305" s="40"/>
      <c r="V305" s="40"/>
      <c r="W305" s="40"/>
      <c r="X305" s="40"/>
      <c r="Y305" s="40"/>
      <c r="Z305" s="40"/>
      <c r="AA305" s="40"/>
      <c r="AB305" s="40"/>
      <c r="AC305" s="40"/>
      <c r="AD305" s="40"/>
      <c r="AE305" s="40"/>
      <c r="AF305" s="40"/>
      <c r="AG305" s="40"/>
      <c r="AH305" s="40"/>
      <c r="AI305" s="40"/>
      <c r="AJ305" s="40"/>
      <c r="AK305" s="40"/>
      <c r="AL305" s="40"/>
      <c r="AM305" s="40"/>
      <c r="AN305" s="40"/>
      <c r="AO305" s="40"/>
      <c r="AP305" s="40"/>
      <c r="AQ305" s="40"/>
      <c r="AR305" s="40"/>
      <c r="AS305" s="40"/>
      <c r="AT305" s="40"/>
      <c r="AU305" s="40"/>
      <c r="AV305" s="40"/>
      <c r="AW305" s="40"/>
      <c r="AX305" s="40"/>
      <c r="AY305" s="40"/>
      <c r="AZ305" s="40"/>
      <c r="BA305" s="40"/>
      <c r="BB305" s="40"/>
      <c r="BC305" s="40"/>
      <c r="BD305" s="40"/>
      <c r="BE305" s="40"/>
      <c r="BF305" s="40"/>
      <c r="BG305" s="40"/>
      <c r="BH305" s="40"/>
      <c r="BI305" s="40"/>
      <c r="BJ305" s="40"/>
      <c r="BK305" s="40"/>
      <c r="BL305" s="40"/>
      <c r="BM305" s="40"/>
      <c r="BN305" s="40"/>
      <c r="BO305" s="40"/>
      <c r="BP305" s="40"/>
      <c r="BQ305" s="40"/>
      <c r="BR305" s="40"/>
      <c r="BS305" s="40"/>
      <c r="BT305" s="40"/>
      <c r="BU305" s="40"/>
      <c r="BV305" s="40"/>
      <c r="BW305" s="40"/>
      <c r="BX305" s="40"/>
      <c r="BY305" s="40"/>
      <c r="BZ305" s="40"/>
      <c r="CA305" s="40"/>
      <c r="CB305" s="40"/>
      <c r="CC305" s="40"/>
      <c r="CD305" s="40"/>
      <c r="CE305" s="76">
        <f t="shared" si="12"/>
        <v>0</v>
      </c>
    </row>
    <row r="306" spans="1:83" s="5" customFormat="1" ht="12" customHeight="1" x14ac:dyDescent="0.25">
      <c r="A306" s="45" t="s">
        <v>484</v>
      </c>
      <c r="B306" s="75">
        <f t="shared" si="14"/>
        <v>0</v>
      </c>
      <c r="C306" s="67">
        <v>1</v>
      </c>
      <c r="D306" s="69">
        <v>44557</v>
      </c>
      <c r="E306" s="77">
        <v>77.680000000000007</v>
      </c>
      <c r="F306" s="77">
        <f t="shared" si="13"/>
        <v>0</v>
      </c>
      <c r="G306" s="75"/>
      <c r="H306" s="16"/>
      <c r="I306" s="16"/>
      <c r="J306" s="175"/>
      <c r="K306" s="16"/>
      <c r="L306" s="40"/>
      <c r="M306" s="40"/>
      <c r="N306" s="40"/>
      <c r="O306" s="40"/>
      <c r="P306" s="40"/>
      <c r="Q306" s="40"/>
      <c r="R306" s="40"/>
      <c r="S306" s="40"/>
      <c r="T306" s="40"/>
      <c r="U306" s="40"/>
      <c r="V306" s="40"/>
      <c r="W306" s="40"/>
      <c r="X306" s="40"/>
      <c r="Y306" s="40"/>
      <c r="Z306" s="40"/>
      <c r="AA306" s="40"/>
      <c r="AB306" s="40"/>
      <c r="AC306" s="40"/>
      <c r="AD306" s="40"/>
      <c r="AE306" s="40"/>
      <c r="AF306" s="40"/>
      <c r="AG306" s="40"/>
      <c r="AH306" s="40"/>
      <c r="AI306" s="40"/>
      <c r="AJ306" s="40"/>
      <c r="AK306" s="40"/>
      <c r="AL306" s="40"/>
      <c r="AM306" s="40"/>
      <c r="AN306" s="40"/>
      <c r="AO306" s="40"/>
      <c r="AP306" s="40"/>
      <c r="AQ306" s="40"/>
      <c r="AR306" s="40"/>
      <c r="AS306" s="40"/>
      <c r="AT306" s="40"/>
      <c r="AU306" s="40"/>
      <c r="AV306" s="40"/>
      <c r="AW306" s="40"/>
      <c r="AX306" s="40"/>
      <c r="AY306" s="40"/>
      <c r="AZ306" s="40"/>
      <c r="BA306" s="40"/>
      <c r="BB306" s="40"/>
      <c r="BC306" s="40"/>
      <c r="BD306" s="40"/>
      <c r="BE306" s="40"/>
      <c r="BF306" s="40"/>
      <c r="BG306" s="40"/>
      <c r="BH306" s="40"/>
      <c r="BI306" s="40"/>
      <c r="BJ306" s="40"/>
      <c r="BK306" s="40"/>
      <c r="BL306" s="40"/>
      <c r="BM306" s="40"/>
      <c r="BN306" s="40"/>
      <c r="BO306" s="40"/>
      <c r="BP306" s="40"/>
      <c r="BQ306" s="40"/>
      <c r="BR306" s="40"/>
      <c r="BS306" s="40"/>
      <c r="BT306" s="40"/>
      <c r="BU306" s="40"/>
      <c r="BV306" s="40"/>
      <c r="BW306" s="40"/>
      <c r="BX306" s="40"/>
      <c r="BY306" s="40"/>
      <c r="BZ306" s="40"/>
      <c r="CA306" s="40"/>
      <c r="CB306" s="40"/>
      <c r="CC306" s="40"/>
      <c r="CD306" s="40"/>
      <c r="CE306" s="76">
        <f t="shared" si="12"/>
        <v>0</v>
      </c>
    </row>
    <row r="307" spans="1:83" s="5" customFormat="1" ht="12" customHeight="1" x14ac:dyDescent="0.25">
      <c r="A307" s="45" t="s">
        <v>324</v>
      </c>
      <c r="B307" s="75">
        <f t="shared" si="14"/>
        <v>0</v>
      </c>
      <c r="C307" s="67">
        <v>1</v>
      </c>
      <c r="D307" s="69">
        <v>44452</v>
      </c>
      <c r="E307" s="77">
        <v>31.21</v>
      </c>
      <c r="F307" s="77">
        <f t="shared" si="13"/>
        <v>0</v>
      </c>
      <c r="G307" s="75">
        <v>1</v>
      </c>
      <c r="H307" s="16"/>
      <c r="I307" s="16"/>
      <c r="J307" s="175"/>
      <c r="K307" s="16"/>
      <c r="L307" s="40"/>
      <c r="M307" s="40"/>
      <c r="N307" s="40"/>
      <c r="O307" s="40"/>
      <c r="P307" s="40"/>
      <c r="Q307" s="40"/>
      <c r="R307" s="40"/>
      <c r="S307" s="40"/>
      <c r="T307" s="40">
        <v>1</v>
      </c>
      <c r="U307" s="40"/>
      <c r="V307" s="40"/>
      <c r="W307" s="40"/>
      <c r="X307" s="40"/>
      <c r="Y307" s="40"/>
      <c r="Z307" s="40"/>
      <c r="AA307" s="40"/>
      <c r="AB307" s="40"/>
      <c r="AC307" s="40"/>
      <c r="AD307" s="40"/>
      <c r="AE307" s="40"/>
      <c r="AF307" s="40"/>
      <c r="AG307" s="40"/>
      <c r="AH307" s="40"/>
      <c r="AI307" s="40"/>
      <c r="AJ307" s="40"/>
      <c r="AK307" s="40"/>
      <c r="AL307" s="40"/>
      <c r="AM307" s="40"/>
      <c r="AN307" s="40"/>
      <c r="AO307" s="40"/>
      <c r="AP307" s="40"/>
      <c r="AQ307" s="40"/>
      <c r="AR307" s="40"/>
      <c r="AS307" s="40"/>
      <c r="AT307" s="40"/>
      <c r="AU307" s="40"/>
      <c r="AV307" s="40"/>
      <c r="AW307" s="40"/>
      <c r="AX307" s="40"/>
      <c r="AY307" s="40"/>
      <c r="AZ307" s="40"/>
      <c r="BA307" s="40"/>
      <c r="BB307" s="40"/>
      <c r="BC307" s="40"/>
      <c r="BD307" s="40"/>
      <c r="BE307" s="40"/>
      <c r="BF307" s="40"/>
      <c r="BG307" s="40"/>
      <c r="BH307" s="40"/>
      <c r="BI307" s="40"/>
      <c r="BJ307" s="40"/>
      <c r="BK307" s="40"/>
      <c r="BL307" s="40"/>
      <c r="BM307" s="40"/>
      <c r="BN307" s="40"/>
      <c r="BO307" s="40"/>
      <c r="BP307" s="40"/>
      <c r="BQ307" s="40"/>
      <c r="BR307" s="40"/>
      <c r="BS307" s="40"/>
      <c r="BT307" s="40"/>
      <c r="BU307" s="40"/>
      <c r="BV307" s="40"/>
      <c r="BW307" s="40"/>
      <c r="BX307" s="40"/>
      <c r="BY307" s="40"/>
      <c r="BZ307" s="40"/>
      <c r="CA307" s="40"/>
      <c r="CB307" s="40"/>
      <c r="CC307" s="40"/>
      <c r="CD307" s="40"/>
      <c r="CE307" s="76">
        <f t="shared" si="12"/>
        <v>0</v>
      </c>
    </row>
    <row r="308" spans="1:83" s="5" customFormat="1" ht="12" customHeight="1" x14ac:dyDescent="0.25">
      <c r="A308" s="45" t="s">
        <v>324</v>
      </c>
      <c r="B308" s="75">
        <f t="shared" si="14"/>
        <v>12</v>
      </c>
      <c r="C308" s="67">
        <v>1</v>
      </c>
      <c r="D308" s="69">
        <v>44557</v>
      </c>
      <c r="E308" s="77">
        <v>31.08</v>
      </c>
      <c r="F308" s="77">
        <f t="shared" si="13"/>
        <v>372.96</v>
      </c>
      <c r="G308" s="75">
        <v>13</v>
      </c>
      <c r="H308" s="16"/>
      <c r="I308" s="16"/>
      <c r="J308" s="175"/>
      <c r="K308" s="16"/>
      <c r="L308" s="40"/>
      <c r="M308" s="40"/>
      <c r="N308" s="40"/>
      <c r="O308" s="40"/>
      <c r="P308" s="40"/>
      <c r="Q308" s="40"/>
      <c r="R308" s="40"/>
      <c r="S308" s="40">
        <v>12</v>
      </c>
      <c r="T308" s="40">
        <v>1</v>
      </c>
      <c r="U308" s="40"/>
      <c r="V308" s="40"/>
      <c r="W308" s="40"/>
      <c r="X308" s="40"/>
      <c r="Y308" s="40"/>
      <c r="Z308" s="40"/>
      <c r="AA308" s="40"/>
      <c r="AB308" s="40"/>
      <c r="AC308" s="40"/>
      <c r="AD308" s="40"/>
      <c r="AE308" s="40"/>
      <c r="AF308" s="40"/>
      <c r="AG308" s="40"/>
      <c r="AH308" s="40"/>
      <c r="AI308" s="40"/>
      <c r="AJ308" s="40"/>
      <c r="AK308" s="40"/>
      <c r="AL308" s="40"/>
      <c r="AM308" s="40"/>
      <c r="AN308" s="40"/>
      <c r="AO308" s="40"/>
      <c r="AP308" s="40"/>
      <c r="AQ308" s="40"/>
      <c r="AR308" s="40"/>
      <c r="AS308" s="40"/>
      <c r="AT308" s="40"/>
      <c r="AU308" s="40"/>
      <c r="AV308" s="40"/>
      <c r="AW308" s="40"/>
      <c r="AX308" s="40"/>
      <c r="AY308" s="40"/>
      <c r="AZ308" s="40"/>
      <c r="BA308" s="40"/>
      <c r="BB308" s="40"/>
      <c r="BC308" s="40"/>
      <c r="BD308" s="40"/>
      <c r="BE308" s="40"/>
      <c r="BF308" s="40"/>
      <c r="BG308" s="40"/>
      <c r="BH308" s="40"/>
      <c r="BI308" s="40"/>
      <c r="BJ308" s="40"/>
      <c r="BK308" s="40"/>
      <c r="BL308" s="40"/>
      <c r="BM308" s="40"/>
      <c r="BN308" s="40"/>
      <c r="BO308" s="40"/>
      <c r="BP308" s="40"/>
      <c r="BQ308" s="40"/>
      <c r="BR308" s="40"/>
      <c r="BS308" s="40"/>
      <c r="BT308" s="40"/>
      <c r="BU308" s="40"/>
      <c r="BV308" s="40"/>
      <c r="BW308" s="40"/>
      <c r="BX308" s="40"/>
      <c r="BY308" s="40"/>
      <c r="BZ308" s="40"/>
      <c r="CA308" s="40"/>
      <c r="CB308" s="40"/>
      <c r="CC308" s="40"/>
      <c r="CD308" s="40"/>
      <c r="CE308" s="76">
        <f t="shared" si="12"/>
        <v>0</v>
      </c>
    </row>
    <row r="309" spans="1:83" s="5" customFormat="1" ht="12" customHeight="1" x14ac:dyDescent="0.25">
      <c r="A309" s="45" t="s">
        <v>303</v>
      </c>
      <c r="B309" s="75">
        <f t="shared" si="14"/>
        <v>0</v>
      </c>
      <c r="C309" s="67">
        <v>1</v>
      </c>
      <c r="D309" s="69">
        <v>44503</v>
      </c>
      <c r="E309" s="77">
        <v>67.31</v>
      </c>
      <c r="F309" s="77">
        <f t="shared" si="13"/>
        <v>0</v>
      </c>
      <c r="G309" s="75"/>
      <c r="H309" s="16"/>
      <c r="I309" s="16"/>
      <c r="J309" s="175"/>
      <c r="K309" s="16"/>
      <c r="L309" s="40"/>
      <c r="M309" s="40"/>
      <c r="N309" s="40"/>
      <c r="O309" s="40"/>
      <c r="P309" s="40"/>
      <c r="Q309" s="40"/>
      <c r="R309" s="40"/>
      <c r="S309" s="40"/>
      <c r="T309" s="40"/>
      <c r="U309" s="40"/>
      <c r="V309" s="40"/>
      <c r="W309" s="40"/>
      <c r="X309" s="40"/>
      <c r="Y309" s="40"/>
      <c r="Z309" s="40"/>
      <c r="AA309" s="40"/>
      <c r="AB309" s="40"/>
      <c r="AC309" s="40"/>
      <c r="AD309" s="40"/>
      <c r="AE309" s="40"/>
      <c r="AF309" s="40"/>
      <c r="AG309" s="40"/>
      <c r="AH309" s="40"/>
      <c r="AI309" s="40"/>
      <c r="AJ309" s="40"/>
      <c r="AK309" s="40"/>
      <c r="AL309" s="40"/>
      <c r="AM309" s="40"/>
      <c r="AN309" s="40"/>
      <c r="AO309" s="40"/>
      <c r="AP309" s="40"/>
      <c r="AQ309" s="40"/>
      <c r="AR309" s="40"/>
      <c r="AS309" s="40"/>
      <c r="AT309" s="40"/>
      <c r="AU309" s="40"/>
      <c r="AV309" s="40"/>
      <c r="AW309" s="40"/>
      <c r="AX309" s="40"/>
      <c r="AY309" s="40"/>
      <c r="AZ309" s="40"/>
      <c r="BA309" s="40"/>
      <c r="BB309" s="40"/>
      <c r="BC309" s="40"/>
      <c r="BD309" s="40"/>
      <c r="BE309" s="40"/>
      <c r="BF309" s="40"/>
      <c r="BG309" s="40"/>
      <c r="BH309" s="40"/>
      <c r="BI309" s="40"/>
      <c r="BJ309" s="40"/>
      <c r="BK309" s="40"/>
      <c r="BL309" s="40"/>
      <c r="BM309" s="40"/>
      <c r="BN309" s="40"/>
      <c r="BO309" s="40"/>
      <c r="BP309" s="40"/>
      <c r="BQ309" s="40"/>
      <c r="BR309" s="40"/>
      <c r="BS309" s="40"/>
      <c r="BT309" s="40"/>
      <c r="BU309" s="40"/>
      <c r="BV309" s="40"/>
      <c r="BW309" s="40"/>
      <c r="BX309" s="40"/>
      <c r="BY309" s="40"/>
      <c r="BZ309" s="40"/>
      <c r="CA309" s="40"/>
      <c r="CB309" s="40"/>
      <c r="CC309" s="40"/>
      <c r="CD309" s="40"/>
      <c r="CE309" s="76">
        <f t="shared" si="12"/>
        <v>0</v>
      </c>
    </row>
    <row r="310" spans="1:83" s="5" customFormat="1" x14ac:dyDescent="0.25">
      <c r="A310" s="45" t="s">
        <v>278</v>
      </c>
      <c r="B310" s="75">
        <f t="shared" si="14"/>
        <v>0</v>
      </c>
      <c r="C310" s="67">
        <v>1</v>
      </c>
      <c r="D310" s="70">
        <v>44532</v>
      </c>
      <c r="E310" s="77">
        <v>68.650000000000006</v>
      </c>
      <c r="F310" s="77">
        <f t="shared" si="13"/>
        <v>0</v>
      </c>
      <c r="G310" s="75"/>
      <c r="H310" s="16"/>
      <c r="I310" s="16"/>
      <c r="J310" s="175"/>
      <c r="K310" s="16"/>
      <c r="L310" s="40"/>
      <c r="M310" s="40"/>
      <c r="N310" s="40"/>
      <c r="O310" s="40"/>
      <c r="P310" s="40"/>
      <c r="Q310" s="40"/>
      <c r="R310" s="40"/>
      <c r="S310" s="40"/>
      <c r="T310" s="40"/>
      <c r="U310" s="40"/>
      <c r="V310" s="40"/>
      <c r="W310" s="40"/>
      <c r="X310" s="40"/>
      <c r="Y310" s="40"/>
      <c r="Z310" s="40"/>
      <c r="AA310" s="40"/>
      <c r="AB310" s="40"/>
      <c r="AC310" s="40"/>
      <c r="AD310" s="40"/>
      <c r="AE310" s="40"/>
      <c r="AF310" s="40"/>
      <c r="AG310" s="40"/>
      <c r="AH310" s="40"/>
      <c r="AI310" s="40"/>
      <c r="AJ310" s="40"/>
      <c r="AK310" s="40"/>
      <c r="AL310" s="40"/>
      <c r="AM310" s="40"/>
      <c r="AN310" s="40"/>
      <c r="AO310" s="40"/>
      <c r="AP310" s="40"/>
      <c r="AQ310" s="40"/>
      <c r="AR310" s="40"/>
      <c r="AS310" s="40"/>
      <c r="AT310" s="40"/>
      <c r="AU310" s="40"/>
      <c r="AV310" s="40"/>
      <c r="AW310" s="40"/>
      <c r="AX310" s="40"/>
      <c r="AY310" s="40"/>
      <c r="AZ310" s="40"/>
      <c r="BA310" s="40"/>
      <c r="BB310" s="40"/>
      <c r="BC310" s="40"/>
      <c r="BD310" s="40"/>
      <c r="BE310" s="40"/>
      <c r="BF310" s="40"/>
      <c r="BG310" s="40"/>
      <c r="BH310" s="40"/>
      <c r="BI310" s="40"/>
      <c r="BJ310" s="40"/>
      <c r="BK310" s="40"/>
      <c r="BL310" s="40"/>
      <c r="BM310" s="40"/>
      <c r="BN310" s="40"/>
      <c r="BO310" s="40"/>
      <c r="BP310" s="40"/>
      <c r="BQ310" s="40"/>
      <c r="BR310" s="40"/>
      <c r="BS310" s="40"/>
      <c r="BT310" s="40"/>
      <c r="BU310" s="40"/>
      <c r="BV310" s="40"/>
      <c r="BW310" s="40"/>
      <c r="BX310" s="40"/>
      <c r="BY310" s="40"/>
      <c r="BZ310" s="40"/>
      <c r="CA310" s="40"/>
      <c r="CB310" s="40"/>
      <c r="CC310" s="40"/>
      <c r="CD310" s="40"/>
      <c r="CE310" s="76">
        <f t="shared" si="12"/>
        <v>0</v>
      </c>
    </row>
    <row r="311" spans="1:83" s="5" customFormat="1" x14ac:dyDescent="0.25">
      <c r="A311" s="45" t="s">
        <v>278</v>
      </c>
      <c r="B311" s="75">
        <f t="shared" si="14"/>
        <v>5</v>
      </c>
      <c r="C311" s="67">
        <v>1</v>
      </c>
      <c r="D311" s="70">
        <v>44557</v>
      </c>
      <c r="E311" s="77">
        <v>67.319999999999993</v>
      </c>
      <c r="F311" s="77">
        <f t="shared" si="13"/>
        <v>336.59999999999997</v>
      </c>
      <c r="G311" s="75">
        <v>5</v>
      </c>
      <c r="H311" s="16"/>
      <c r="I311" s="16"/>
      <c r="J311" s="175"/>
      <c r="K311" s="16"/>
      <c r="L311" s="40"/>
      <c r="M311" s="40"/>
      <c r="N311" s="40"/>
      <c r="O311" s="40"/>
      <c r="P311" s="40"/>
      <c r="Q311" s="40"/>
      <c r="R311" s="40"/>
      <c r="S311" s="40"/>
      <c r="T311" s="40"/>
      <c r="U311" s="40"/>
      <c r="V311" s="40"/>
      <c r="W311" s="40"/>
      <c r="X311" s="40">
        <v>5</v>
      </c>
      <c r="Y311" s="40"/>
      <c r="Z311" s="40"/>
      <c r="AA311" s="40"/>
      <c r="AB311" s="40"/>
      <c r="AC311" s="40"/>
      <c r="AD311" s="40"/>
      <c r="AE311" s="40"/>
      <c r="AF311" s="40"/>
      <c r="AG311" s="40"/>
      <c r="AH311" s="40"/>
      <c r="AI311" s="40"/>
      <c r="AJ311" s="40"/>
      <c r="AK311" s="40"/>
      <c r="AL311" s="40"/>
      <c r="AM311" s="40"/>
      <c r="AN311" s="40"/>
      <c r="AO311" s="40"/>
      <c r="AP311" s="40"/>
      <c r="AQ311" s="40"/>
      <c r="AR311" s="40"/>
      <c r="AS311" s="40"/>
      <c r="AT311" s="40"/>
      <c r="AU311" s="40"/>
      <c r="AV311" s="40"/>
      <c r="AW311" s="40"/>
      <c r="AX311" s="40"/>
      <c r="AY311" s="40"/>
      <c r="AZ311" s="40"/>
      <c r="BA311" s="40"/>
      <c r="BB311" s="40"/>
      <c r="BC311" s="40"/>
      <c r="BD311" s="40"/>
      <c r="BE311" s="40"/>
      <c r="BF311" s="40"/>
      <c r="BG311" s="40"/>
      <c r="BH311" s="40"/>
      <c r="BI311" s="40"/>
      <c r="BJ311" s="40"/>
      <c r="BK311" s="40"/>
      <c r="BL311" s="40"/>
      <c r="BM311" s="40"/>
      <c r="BN311" s="40"/>
      <c r="BO311" s="40"/>
      <c r="BP311" s="40"/>
      <c r="BQ311" s="40"/>
      <c r="BR311" s="40"/>
      <c r="BS311" s="40"/>
      <c r="BT311" s="40"/>
      <c r="BU311" s="40"/>
      <c r="BV311" s="40"/>
      <c r="BW311" s="40"/>
      <c r="BX311" s="40"/>
      <c r="BY311" s="40"/>
      <c r="BZ311" s="40"/>
      <c r="CA311" s="40"/>
      <c r="CB311" s="40"/>
      <c r="CC311" s="40"/>
      <c r="CD311" s="40"/>
      <c r="CE311" s="76">
        <f t="shared" si="12"/>
        <v>0</v>
      </c>
    </row>
    <row r="312" spans="1:83" s="5" customFormat="1" ht="12" customHeight="1" x14ac:dyDescent="0.25">
      <c r="A312" s="45" t="s">
        <v>455</v>
      </c>
      <c r="B312" s="75">
        <f t="shared" si="14"/>
        <v>0</v>
      </c>
      <c r="C312" s="67">
        <v>1</v>
      </c>
      <c r="D312" s="69">
        <v>44319</v>
      </c>
      <c r="E312" s="77">
        <v>35.56</v>
      </c>
      <c r="F312" s="77">
        <f t="shared" si="13"/>
        <v>0</v>
      </c>
      <c r="G312" s="75"/>
      <c r="H312" s="16"/>
      <c r="I312" s="16"/>
      <c r="J312" s="175"/>
      <c r="K312" s="16"/>
      <c r="L312" s="40"/>
      <c r="M312" s="40"/>
      <c r="N312" s="40"/>
      <c r="O312" s="40"/>
      <c r="P312" s="40"/>
      <c r="Q312" s="40"/>
      <c r="R312" s="40"/>
      <c r="S312" s="40"/>
      <c r="T312" s="40"/>
      <c r="U312" s="40"/>
      <c r="V312" s="40"/>
      <c r="W312" s="40"/>
      <c r="X312" s="40"/>
      <c r="Y312" s="40"/>
      <c r="Z312" s="40"/>
      <c r="AA312" s="40"/>
      <c r="AB312" s="40"/>
      <c r="AC312" s="40"/>
      <c r="AD312" s="40"/>
      <c r="AE312" s="40"/>
      <c r="AF312" s="40"/>
      <c r="AG312" s="40"/>
      <c r="AH312" s="40"/>
      <c r="AI312" s="40"/>
      <c r="AJ312" s="40"/>
      <c r="AK312" s="40"/>
      <c r="AL312" s="40"/>
      <c r="AM312" s="40"/>
      <c r="AN312" s="40"/>
      <c r="AO312" s="40"/>
      <c r="AP312" s="40"/>
      <c r="AQ312" s="40"/>
      <c r="AR312" s="40"/>
      <c r="AS312" s="40"/>
      <c r="AT312" s="40"/>
      <c r="AU312" s="40"/>
      <c r="AV312" s="40"/>
      <c r="AW312" s="40"/>
      <c r="AX312" s="40"/>
      <c r="AY312" s="40"/>
      <c r="AZ312" s="40"/>
      <c r="BA312" s="40"/>
      <c r="BB312" s="40"/>
      <c r="BC312" s="40"/>
      <c r="BD312" s="40"/>
      <c r="BE312" s="40"/>
      <c r="BF312" s="40"/>
      <c r="BG312" s="40"/>
      <c r="BH312" s="40"/>
      <c r="BI312" s="40"/>
      <c r="BJ312" s="40"/>
      <c r="BK312" s="40"/>
      <c r="BL312" s="40"/>
      <c r="BM312" s="40"/>
      <c r="BN312" s="40"/>
      <c r="BO312" s="40"/>
      <c r="BP312" s="40"/>
      <c r="BQ312" s="40"/>
      <c r="BR312" s="40"/>
      <c r="BS312" s="40"/>
      <c r="BT312" s="40"/>
      <c r="BU312" s="40"/>
      <c r="BV312" s="40"/>
      <c r="BW312" s="40"/>
      <c r="BX312" s="40"/>
      <c r="BY312" s="40"/>
      <c r="BZ312" s="40"/>
      <c r="CA312" s="40"/>
      <c r="CB312" s="40"/>
      <c r="CC312" s="40"/>
      <c r="CD312" s="40"/>
      <c r="CE312" s="76">
        <f t="shared" si="12"/>
        <v>0</v>
      </c>
    </row>
    <row r="313" spans="1:83" s="5" customFormat="1" ht="12" customHeight="1" x14ac:dyDescent="0.25">
      <c r="A313" s="45" t="s">
        <v>382</v>
      </c>
      <c r="B313" s="75">
        <f t="shared" si="14"/>
        <v>0</v>
      </c>
      <c r="C313" s="67">
        <v>10</v>
      </c>
      <c r="D313" s="69">
        <v>44396</v>
      </c>
      <c r="E313" s="77">
        <v>23.37</v>
      </c>
      <c r="F313" s="77">
        <f t="shared" si="13"/>
        <v>0</v>
      </c>
      <c r="G313" s="75"/>
      <c r="H313" s="16"/>
      <c r="I313" s="16"/>
      <c r="J313" s="175"/>
      <c r="K313" s="16"/>
      <c r="L313" s="40"/>
      <c r="M313" s="40"/>
      <c r="N313" s="40"/>
      <c r="O313" s="40"/>
      <c r="P313" s="40"/>
      <c r="Q313" s="40"/>
      <c r="R313" s="40"/>
      <c r="S313" s="40"/>
      <c r="T313" s="40"/>
      <c r="U313" s="40"/>
      <c r="V313" s="40"/>
      <c r="W313" s="40"/>
      <c r="X313" s="40"/>
      <c r="Y313" s="40"/>
      <c r="Z313" s="40"/>
      <c r="AA313" s="40"/>
      <c r="AB313" s="40"/>
      <c r="AC313" s="40"/>
      <c r="AD313" s="40"/>
      <c r="AE313" s="40"/>
      <c r="AF313" s="40"/>
      <c r="AG313" s="40"/>
      <c r="AH313" s="40"/>
      <c r="AI313" s="40"/>
      <c r="AJ313" s="40"/>
      <c r="AK313" s="40"/>
      <c r="AL313" s="40"/>
      <c r="AM313" s="40"/>
      <c r="AN313" s="40"/>
      <c r="AO313" s="40"/>
      <c r="AP313" s="40"/>
      <c r="AQ313" s="40"/>
      <c r="AR313" s="40"/>
      <c r="AS313" s="40"/>
      <c r="AT313" s="40"/>
      <c r="AU313" s="40"/>
      <c r="AV313" s="40"/>
      <c r="AW313" s="40"/>
      <c r="AX313" s="40"/>
      <c r="AY313" s="40"/>
      <c r="AZ313" s="40"/>
      <c r="BA313" s="40"/>
      <c r="BB313" s="40"/>
      <c r="BC313" s="40"/>
      <c r="BD313" s="40"/>
      <c r="BE313" s="40"/>
      <c r="BF313" s="40"/>
      <c r="BG313" s="40"/>
      <c r="BH313" s="40"/>
      <c r="BI313" s="40"/>
      <c r="BJ313" s="40"/>
      <c r="BK313" s="40"/>
      <c r="BL313" s="40"/>
      <c r="BM313" s="40"/>
      <c r="BN313" s="40"/>
      <c r="BO313" s="40"/>
      <c r="BP313" s="40"/>
      <c r="BQ313" s="40"/>
      <c r="BR313" s="40"/>
      <c r="BS313" s="40"/>
      <c r="BT313" s="40"/>
      <c r="BU313" s="40"/>
      <c r="BV313" s="40"/>
      <c r="BW313" s="40"/>
      <c r="BX313" s="40"/>
      <c r="BY313" s="40"/>
      <c r="BZ313" s="40"/>
      <c r="CA313" s="40"/>
      <c r="CB313" s="40"/>
      <c r="CC313" s="40"/>
      <c r="CD313" s="40"/>
      <c r="CE313" s="76">
        <f t="shared" si="12"/>
        <v>0</v>
      </c>
    </row>
    <row r="314" spans="1:83" s="5" customFormat="1" ht="12" customHeight="1" x14ac:dyDescent="0.25">
      <c r="A314" s="45" t="s">
        <v>330</v>
      </c>
      <c r="B314" s="75">
        <f t="shared" si="14"/>
        <v>6</v>
      </c>
      <c r="C314" s="67">
        <v>1</v>
      </c>
      <c r="D314" s="69">
        <v>44557</v>
      </c>
      <c r="E314" s="77">
        <v>51.34</v>
      </c>
      <c r="F314" s="77">
        <f t="shared" si="13"/>
        <v>308.04000000000002</v>
      </c>
      <c r="G314" s="75">
        <v>6</v>
      </c>
      <c r="H314" s="16"/>
      <c r="I314" s="16"/>
      <c r="J314" s="175"/>
      <c r="K314" s="16"/>
      <c r="L314" s="40"/>
      <c r="M314" s="40"/>
      <c r="N314" s="40"/>
      <c r="O314" s="40"/>
      <c r="P314" s="40"/>
      <c r="Q314" s="40"/>
      <c r="R314" s="40"/>
      <c r="S314" s="40">
        <v>6</v>
      </c>
      <c r="T314" s="40"/>
      <c r="U314" s="40"/>
      <c r="V314" s="40"/>
      <c r="W314" s="40"/>
      <c r="X314" s="40"/>
      <c r="Y314" s="40"/>
      <c r="Z314" s="40"/>
      <c r="AA314" s="40"/>
      <c r="AB314" s="40"/>
      <c r="AC314" s="40"/>
      <c r="AD314" s="40"/>
      <c r="AE314" s="40"/>
      <c r="AF314" s="40"/>
      <c r="AG314" s="40"/>
      <c r="AH314" s="40"/>
      <c r="AI314" s="40"/>
      <c r="AJ314" s="40"/>
      <c r="AK314" s="40"/>
      <c r="AL314" s="40"/>
      <c r="AM314" s="40"/>
      <c r="AN314" s="40"/>
      <c r="AO314" s="40"/>
      <c r="AP314" s="40"/>
      <c r="AQ314" s="40"/>
      <c r="AR314" s="40"/>
      <c r="AS314" s="40"/>
      <c r="AT314" s="40"/>
      <c r="AU314" s="40"/>
      <c r="AV314" s="40"/>
      <c r="AW314" s="40"/>
      <c r="AX314" s="40"/>
      <c r="AY314" s="40"/>
      <c r="AZ314" s="40"/>
      <c r="BA314" s="40"/>
      <c r="BB314" s="40"/>
      <c r="BC314" s="40"/>
      <c r="BD314" s="40"/>
      <c r="BE314" s="40"/>
      <c r="BF314" s="40"/>
      <c r="BG314" s="40"/>
      <c r="BH314" s="40"/>
      <c r="BI314" s="40"/>
      <c r="BJ314" s="40"/>
      <c r="BK314" s="40"/>
      <c r="BL314" s="40"/>
      <c r="BM314" s="40"/>
      <c r="BN314" s="40"/>
      <c r="BO314" s="40"/>
      <c r="BP314" s="40"/>
      <c r="BQ314" s="40"/>
      <c r="BR314" s="40"/>
      <c r="BS314" s="40"/>
      <c r="BT314" s="40"/>
      <c r="BU314" s="40"/>
      <c r="BV314" s="40"/>
      <c r="BW314" s="40"/>
      <c r="BX314" s="40"/>
      <c r="BY314" s="40"/>
      <c r="BZ314" s="40"/>
      <c r="CA314" s="40"/>
      <c r="CB314" s="40"/>
      <c r="CC314" s="40"/>
      <c r="CD314" s="40"/>
      <c r="CE314" s="76">
        <f t="shared" si="12"/>
        <v>0</v>
      </c>
    </row>
    <row r="315" spans="1:83" s="5" customFormat="1" x14ac:dyDescent="0.25">
      <c r="A315" s="45" t="s">
        <v>330</v>
      </c>
      <c r="B315" s="75">
        <f t="shared" si="14"/>
        <v>4</v>
      </c>
      <c r="C315" s="67">
        <v>1</v>
      </c>
      <c r="D315" s="70">
        <v>44452</v>
      </c>
      <c r="E315" s="77">
        <v>51.55</v>
      </c>
      <c r="F315" s="77">
        <f t="shared" si="13"/>
        <v>206.2</v>
      </c>
      <c r="G315" s="75">
        <v>4</v>
      </c>
      <c r="H315" s="16"/>
      <c r="I315" s="16"/>
      <c r="J315" s="175"/>
      <c r="K315" s="16"/>
      <c r="L315" s="40"/>
      <c r="M315" s="40"/>
      <c r="N315" s="40"/>
      <c r="O315" s="40"/>
      <c r="P315" s="40"/>
      <c r="Q315" s="40"/>
      <c r="R315" s="40"/>
      <c r="S315" s="40">
        <v>4</v>
      </c>
      <c r="T315" s="40"/>
      <c r="U315" s="40"/>
      <c r="V315" s="40"/>
      <c r="W315" s="40"/>
      <c r="X315" s="40"/>
      <c r="Y315" s="40"/>
      <c r="Z315" s="40"/>
      <c r="AA315" s="40"/>
      <c r="AB315" s="40"/>
      <c r="AC315" s="40"/>
      <c r="AD315" s="40"/>
      <c r="AE315" s="40"/>
      <c r="AF315" s="40"/>
      <c r="AG315" s="40"/>
      <c r="AH315" s="40"/>
      <c r="AI315" s="40"/>
      <c r="AJ315" s="40"/>
      <c r="AK315" s="40"/>
      <c r="AL315" s="40"/>
      <c r="AM315" s="40"/>
      <c r="AN315" s="40"/>
      <c r="AO315" s="40"/>
      <c r="AP315" s="40"/>
      <c r="AQ315" s="40"/>
      <c r="AR315" s="40"/>
      <c r="AS315" s="40"/>
      <c r="AT315" s="40"/>
      <c r="AU315" s="40"/>
      <c r="AV315" s="40"/>
      <c r="AW315" s="40"/>
      <c r="AX315" s="40"/>
      <c r="AY315" s="40"/>
      <c r="AZ315" s="40"/>
      <c r="BA315" s="40"/>
      <c r="BB315" s="40"/>
      <c r="BC315" s="40"/>
      <c r="BD315" s="40"/>
      <c r="BE315" s="40"/>
      <c r="BF315" s="40"/>
      <c r="BG315" s="40"/>
      <c r="BH315" s="40"/>
      <c r="BI315" s="40"/>
      <c r="BJ315" s="40"/>
      <c r="BK315" s="40"/>
      <c r="BL315" s="40"/>
      <c r="BM315" s="40"/>
      <c r="BN315" s="40"/>
      <c r="BO315" s="40"/>
      <c r="BP315" s="40"/>
      <c r="BQ315" s="40"/>
      <c r="BR315" s="40"/>
      <c r="BS315" s="40"/>
      <c r="BT315" s="40"/>
      <c r="BU315" s="40"/>
      <c r="BV315" s="40"/>
      <c r="BW315" s="40"/>
      <c r="BX315" s="40"/>
      <c r="BY315" s="40"/>
      <c r="BZ315" s="40"/>
      <c r="CA315" s="40"/>
      <c r="CB315" s="40"/>
      <c r="CC315" s="40"/>
      <c r="CD315" s="40"/>
      <c r="CE315" s="76">
        <f t="shared" si="12"/>
        <v>0</v>
      </c>
    </row>
    <row r="316" spans="1:83" s="5" customFormat="1" x14ac:dyDescent="0.25">
      <c r="A316" s="45" t="s">
        <v>430</v>
      </c>
      <c r="B316" s="75">
        <f t="shared" si="14"/>
        <v>0</v>
      </c>
      <c r="C316" s="67">
        <v>1</v>
      </c>
      <c r="D316" s="70">
        <v>44221</v>
      </c>
      <c r="E316" s="77">
        <v>218.38</v>
      </c>
      <c r="F316" s="77">
        <f t="shared" si="13"/>
        <v>0</v>
      </c>
      <c r="G316" s="75"/>
      <c r="H316" s="16"/>
      <c r="I316" s="16"/>
      <c r="J316" s="175"/>
      <c r="K316" s="16"/>
      <c r="L316" s="40"/>
      <c r="M316" s="40"/>
      <c r="N316" s="40"/>
      <c r="O316" s="40"/>
      <c r="P316" s="40"/>
      <c r="Q316" s="40"/>
      <c r="R316" s="40"/>
      <c r="S316" s="40"/>
      <c r="T316" s="40"/>
      <c r="U316" s="40"/>
      <c r="V316" s="40"/>
      <c r="W316" s="40"/>
      <c r="X316" s="40"/>
      <c r="Y316" s="40"/>
      <c r="Z316" s="40"/>
      <c r="AA316" s="40"/>
      <c r="AB316" s="40"/>
      <c r="AC316" s="40"/>
      <c r="AD316" s="40"/>
      <c r="AE316" s="40"/>
      <c r="AF316" s="40"/>
      <c r="AG316" s="40"/>
      <c r="AH316" s="40"/>
      <c r="AI316" s="40"/>
      <c r="AJ316" s="40"/>
      <c r="AK316" s="40"/>
      <c r="AL316" s="40"/>
      <c r="AM316" s="40"/>
      <c r="AN316" s="40"/>
      <c r="AO316" s="40"/>
      <c r="AP316" s="40"/>
      <c r="AQ316" s="40"/>
      <c r="AR316" s="40"/>
      <c r="AS316" s="40"/>
      <c r="AT316" s="40"/>
      <c r="AU316" s="40"/>
      <c r="AV316" s="40"/>
      <c r="AW316" s="40"/>
      <c r="AX316" s="40"/>
      <c r="AY316" s="40"/>
      <c r="AZ316" s="40"/>
      <c r="BA316" s="40"/>
      <c r="BB316" s="40"/>
      <c r="BC316" s="40"/>
      <c r="BD316" s="40"/>
      <c r="BE316" s="40"/>
      <c r="BF316" s="40"/>
      <c r="BG316" s="40"/>
      <c r="BH316" s="40"/>
      <c r="BI316" s="40"/>
      <c r="BJ316" s="40"/>
      <c r="BK316" s="40"/>
      <c r="BL316" s="40"/>
      <c r="BM316" s="40"/>
      <c r="BN316" s="40"/>
      <c r="BO316" s="40"/>
      <c r="BP316" s="40"/>
      <c r="BQ316" s="40"/>
      <c r="BR316" s="40"/>
      <c r="BS316" s="40"/>
      <c r="BT316" s="40"/>
      <c r="BU316" s="40"/>
      <c r="BV316" s="40"/>
      <c r="BW316" s="40"/>
      <c r="BX316" s="40"/>
      <c r="BY316" s="40"/>
      <c r="BZ316" s="40"/>
      <c r="CA316" s="40"/>
      <c r="CB316" s="40"/>
      <c r="CC316" s="40"/>
      <c r="CD316" s="40"/>
      <c r="CE316" s="76">
        <f t="shared" si="12"/>
        <v>0</v>
      </c>
    </row>
    <row r="317" spans="1:83" s="5" customFormat="1" x14ac:dyDescent="0.25">
      <c r="A317" s="45" t="s">
        <v>312</v>
      </c>
      <c r="B317" s="75">
        <f t="shared" si="14"/>
        <v>0</v>
      </c>
      <c r="C317" s="67">
        <v>1</v>
      </c>
      <c r="D317" s="69">
        <v>44532</v>
      </c>
      <c r="E317" s="77">
        <v>37.65</v>
      </c>
      <c r="F317" s="77">
        <f t="shared" si="13"/>
        <v>0</v>
      </c>
      <c r="G317" s="75"/>
      <c r="H317" s="16"/>
      <c r="I317" s="16"/>
      <c r="J317" s="175"/>
      <c r="K317" s="16"/>
      <c r="L317" s="40"/>
      <c r="M317" s="40"/>
      <c r="N317" s="40"/>
      <c r="O317" s="40"/>
      <c r="P317" s="40"/>
      <c r="Q317" s="40"/>
      <c r="R317" s="40"/>
      <c r="S317" s="40"/>
      <c r="T317" s="40"/>
      <c r="U317" s="40"/>
      <c r="V317" s="40"/>
      <c r="W317" s="40"/>
      <c r="X317" s="40"/>
      <c r="Y317" s="40"/>
      <c r="Z317" s="40"/>
      <c r="AA317" s="40"/>
      <c r="AB317" s="40"/>
      <c r="AC317" s="40"/>
      <c r="AD317" s="40"/>
      <c r="AE317" s="40"/>
      <c r="AF317" s="40"/>
      <c r="AG317" s="40"/>
      <c r="AH317" s="40"/>
      <c r="AI317" s="40"/>
      <c r="AJ317" s="40"/>
      <c r="AK317" s="40"/>
      <c r="AL317" s="40"/>
      <c r="AM317" s="40"/>
      <c r="AN317" s="40"/>
      <c r="AO317" s="40"/>
      <c r="AP317" s="40"/>
      <c r="AQ317" s="40"/>
      <c r="AR317" s="40"/>
      <c r="AS317" s="40"/>
      <c r="AT317" s="40"/>
      <c r="AU317" s="40"/>
      <c r="AV317" s="40"/>
      <c r="AW317" s="40"/>
      <c r="AX317" s="40"/>
      <c r="AY317" s="40"/>
      <c r="AZ317" s="40"/>
      <c r="BA317" s="40"/>
      <c r="BB317" s="40"/>
      <c r="BC317" s="40"/>
      <c r="BD317" s="40"/>
      <c r="BE317" s="40"/>
      <c r="BF317" s="40"/>
      <c r="BG317" s="40"/>
      <c r="BH317" s="40"/>
      <c r="BI317" s="40"/>
      <c r="BJ317" s="40"/>
      <c r="BK317" s="40"/>
      <c r="BL317" s="40"/>
      <c r="BM317" s="40"/>
      <c r="BN317" s="40"/>
      <c r="BO317" s="40"/>
      <c r="BP317" s="40"/>
      <c r="BQ317" s="40"/>
      <c r="BR317" s="40"/>
      <c r="BS317" s="40"/>
      <c r="BT317" s="40"/>
      <c r="BU317" s="40"/>
      <c r="BV317" s="40"/>
      <c r="BW317" s="40"/>
      <c r="BX317" s="40"/>
      <c r="BY317" s="40"/>
      <c r="BZ317" s="40"/>
      <c r="CA317" s="40"/>
      <c r="CB317" s="40"/>
      <c r="CC317" s="40"/>
      <c r="CD317" s="40"/>
      <c r="CE317" s="76">
        <f t="shared" si="12"/>
        <v>0</v>
      </c>
    </row>
    <row r="318" spans="1:83" s="5" customFormat="1" ht="12" customHeight="1" x14ac:dyDescent="0.25">
      <c r="A318" s="45" t="s">
        <v>335</v>
      </c>
      <c r="B318" s="75">
        <f t="shared" si="14"/>
        <v>0</v>
      </c>
      <c r="C318" s="67">
        <v>1</v>
      </c>
      <c r="D318" s="70">
        <v>44557</v>
      </c>
      <c r="E318" s="77">
        <v>207.18</v>
      </c>
      <c r="F318" s="77">
        <f t="shared" si="13"/>
        <v>0</v>
      </c>
      <c r="G318" s="75"/>
      <c r="H318" s="16"/>
      <c r="I318" s="16"/>
      <c r="J318" s="175"/>
      <c r="K318" s="16"/>
      <c r="L318" s="40"/>
      <c r="M318" s="40"/>
      <c r="N318" s="40"/>
      <c r="O318" s="40"/>
      <c r="P318" s="40"/>
      <c r="Q318" s="40"/>
      <c r="R318" s="40"/>
      <c r="S318" s="40"/>
      <c r="T318" s="40"/>
      <c r="U318" s="40"/>
      <c r="V318" s="40"/>
      <c r="W318" s="40"/>
      <c r="X318" s="40"/>
      <c r="Y318" s="40"/>
      <c r="Z318" s="40"/>
      <c r="AA318" s="40"/>
      <c r="AB318" s="40"/>
      <c r="AC318" s="40"/>
      <c r="AD318" s="40"/>
      <c r="AE318" s="40"/>
      <c r="AF318" s="40"/>
      <c r="AG318" s="40"/>
      <c r="AH318" s="40"/>
      <c r="AI318" s="40"/>
      <c r="AJ318" s="40"/>
      <c r="AK318" s="40"/>
      <c r="AL318" s="40"/>
      <c r="AM318" s="40"/>
      <c r="AN318" s="40"/>
      <c r="AO318" s="40"/>
      <c r="AP318" s="40"/>
      <c r="AQ318" s="40"/>
      <c r="AR318" s="40"/>
      <c r="AS318" s="40"/>
      <c r="AT318" s="40"/>
      <c r="AU318" s="40"/>
      <c r="AV318" s="40"/>
      <c r="AW318" s="40"/>
      <c r="AX318" s="40"/>
      <c r="AY318" s="40"/>
      <c r="AZ318" s="40"/>
      <c r="BA318" s="40"/>
      <c r="BB318" s="40"/>
      <c r="BC318" s="40"/>
      <c r="BD318" s="40"/>
      <c r="BE318" s="40"/>
      <c r="BF318" s="40"/>
      <c r="BG318" s="40"/>
      <c r="BH318" s="40"/>
      <c r="BI318" s="40"/>
      <c r="BJ318" s="40"/>
      <c r="BK318" s="40"/>
      <c r="BL318" s="40"/>
      <c r="BM318" s="40"/>
      <c r="BN318" s="40"/>
      <c r="BO318" s="40"/>
      <c r="BP318" s="40"/>
      <c r="BQ318" s="40"/>
      <c r="BR318" s="40"/>
      <c r="BS318" s="40"/>
      <c r="BT318" s="40"/>
      <c r="BU318" s="40"/>
      <c r="BV318" s="40"/>
      <c r="BW318" s="40"/>
      <c r="BX318" s="40"/>
      <c r="BY318" s="40"/>
      <c r="BZ318" s="40"/>
      <c r="CA318" s="40"/>
      <c r="CB318" s="40"/>
      <c r="CC318" s="40"/>
      <c r="CD318" s="40"/>
      <c r="CE318" s="76">
        <f t="shared" si="12"/>
        <v>0</v>
      </c>
    </row>
    <row r="319" spans="1:83" s="5" customFormat="1" ht="12" customHeight="1" x14ac:dyDescent="0.25">
      <c r="A319" s="45" t="s">
        <v>328</v>
      </c>
      <c r="B319" s="75">
        <f t="shared" ref="B319:B350" si="15">SUMIF(G$3:CD$3,"прих",G319:CD319)-SUMIF(G$3:CD$3,"отгр",G319:CD319)</f>
        <v>0</v>
      </c>
      <c r="C319" s="67">
        <v>1</v>
      </c>
      <c r="D319" s="69">
        <v>44452</v>
      </c>
      <c r="E319" s="77">
        <v>26.08</v>
      </c>
      <c r="F319" s="77">
        <f t="shared" si="13"/>
        <v>0</v>
      </c>
      <c r="G319" s="75"/>
      <c r="H319" s="16"/>
      <c r="I319" s="16"/>
      <c r="J319" s="175"/>
      <c r="K319" s="16"/>
      <c r="L319" s="40"/>
      <c r="M319" s="40"/>
      <c r="N319" s="40"/>
      <c r="O319" s="40"/>
      <c r="P319" s="40"/>
      <c r="Q319" s="40"/>
      <c r="R319" s="40"/>
      <c r="S319" s="40"/>
      <c r="T319" s="40"/>
      <c r="U319" s="40"/>
      <c r="V319" s="40"/>
      <c r="W319" s="40"/>
      <c r="X319" s="40"/>
      <c r="Y319" s="40"/>
      <c r="Z319" s="40"/>
      <c r="AA319" s="40"/>
      <c r="AB319" s="40"/>
      <c r="AC319" s="40"/>
      <c r="AD319" s="40"/>
      <c r="AE319" s="40"/>
      <c r="AF319" s="40"/>
      <c r="AG319" s="40"/>
      <c r="AH319" s="40"/>
      <c r="AI319" s="40"/>
      <c r="AJ319" s="40"/>
      <c r="AK319" s="40"/>
      <c r="AL319" s="40"/>
      <c r="AM319" s="40"/>
      <c r="AN319" s="40"/>
      <c r="AO319" s="40"/>
      <c r="AP319" s="40"/>
      <c r="AQ319" s="40"/>
      <c r="AR319" s="40"/>
      <c r="AS319" s="40"/>
      <c r="AT319" s="40"/>
      <c r="AU319" s="40"/>
      <c r="AV319" s="40"/>
      <c r="AW319" s="40"/>
      <c r="AX319" s="40"/>
      <c r="AY319" s="40"/>
      <c r="AZ319" s="40"/>
      <c r="BA319" s="40"/>
      <c r="BB319" s="40"/>
      <c r="BC319" s="40"/>
      <c r="BD319" s="40"/>
      <c r="BE319" s="40"/>
      <c r="BF319" s="40"/>
      <c r="BG319" s="40"/>
      <c r="BH319" s="40"/>
      <c r="BI319" s="40"/>
      <c r="BJ319" s="40"/>
      <c r="BK319" s="40"/>
      <c r="BL319" s="40"/>
      <c r="BM319" s="40"/>
      <c r="BN319" s="40"/>
      <c r="BO319" s="40"/>
      <c r="BP319" s="40"/>
      <c r="BQ319" s="40"/>
      <c r="BR319" s="40"/>
      <c r="BS319" s="40"/>
      <c r="BT319" s="40"/>
      <c r="BU319" s="40"/>
      <c r="BV319" s="40"/>
      <c r="BW319" s="40"/>
      <c r="BX319" s="40"/>
      <c r="BY319" s="40"/>
      <c r="BZ319" s="40"/>
      <c r="CA319" s="40"/>
      <c r="CB319" s="40"/>
      <c r="CC319" s="40"/>
      <c r="CD319" s="40"/>
      <c r="CE319" s="76">
        <f t="shared" si="12"/>
        <v>0</v>
      </c>
    </row>
    <row r="320" spans="1:83" s="5" customFormat="1" ht="12" customHeight="1" x14ac:dyDescent="0.25">
      <c r="A320" s="45" t="s">
        <v>327</v>
      </c>
      <c r="B320" s="75">
        <f t="shared" si="15"/>
        <v>0</v>
      </c>
      <c r="C320" s="67">
        <v>1</v>
      </c>
      <c r="D320" s="69">
        <v>44480</v>
      </c>
      <c r="E320" s="77">
        <v>63.81</v>
      </c>
      <c r="F320" s="77">
        <f t="shared" si="13"/>
        <v>0</v>
      </c>
      <c r="G320" s="75"/>
      <c r="H320" s="16"/>
      <c r="I320" s="16"/>
      <c r="J320" s="175"/>
      <c r="K320" s="16"/>
      <c r="L320" s="40"/>
      <c r="M320" s="40"/>
      <c r="N320" s="40"/>
      <c r="O320" s="40"/>
      <c r="P320" s="40"/>
      <c r="Q320" s="40"/>
      <c r="R320" s="40"/>
      <c r="S320" s="40"/>
      <c r="T320" s="40"/>
      <c r="U320" s="40"/>
      <c r="V320" s="40"/>
      <c r="W320" s="40"/>
      <c r="X320" s="40"/>
      <c r="Y320" s="40"/>
      <c r="Z320" s="40"/>
      <c r="AA320" s="40"/>
      <c r="AB320" s="40"/>
      <c r="AC320" s="40"/>
      <c r="AD320" s="40"/>
      <c r="AE320" s="40"/>
      <c r="AF320" s="40"/>
      <c r="AG320" s="40"/>
      <c r="AH320" s="40"/>
      <c r="AI320" s="40"/>
      <c r="AJ320" s="40"/>
      <c r="AK320" s="40"/>
      <c r="AL320" s="40"/>
      <c r="AM320" s="40"/>
      <c r="AN320" s="40"/>
      <c r="AO320" s="40"/>
      <c r="AP320" s="40"/>
      <c r="AQ320" s="40"/>
      <c r="AR320" s="40"/>
      <c r="AS320" s="40"/>
      <c r="AT320" s="40"/>
      <c r="AU320" s="40"/>
      <c r="AV320" s="40"/>
      <c r="AW320" s="40"/>
      <c r="AX320" s="40"/>
      <c r="AY320" s="40"/>
      <c r="AZ320" s="40"/>
      <c r="BA320" s="40"/>
      <c r="BB320" s="40"/>
      <c r="BC320" s="40"/>
      <c r="BD320" s="40"/>
      <c r="BE320" s="40"/>
      <c r="BF320" s="40"/>
      <c r="BG320" s="40"/>
      <c r="BH320" s="40"/>
      <c r="BI320" s="40"/>
      <c r="BJ320" s="40"/>
      <c r="BK320" s="40"/>
      <c r="BL320" s="40"/>
      <c r="BM320" s="40"/>
      <c r="BN320" s="40"/>
      <c r="BO320" s="40"/>
      <c r="BP320" s="40"/>
      <c r="BQ320" s="40"/>
      <c r="BR320" s="40"/>
      <c r="BS320" s="40"/>
      <c r="BT320" s="40"/>
      <c r="BU320" s="40"/>
      <c r="BV320" s="40"/>
      <c r="BW320" s="40"/>
      <c r="BX320" s="40"/>
      <c r="BY320" s="40"/>
      <c r="BZ320" s="40"/>
      <c r="CA320" s="40"/>
      <c r="CB320" s="40"/>
      <c r="CC320" s="40"/>
      <c r="CD320" s="40"/>
      <c r="CE320" s="76">
        <f t="shared" si="12"/>
        <v>0</v>
      </c>
    </row>
    <row r="321" spans="1:83" s="5" customFormat="1" ht="12" customHeight="1" x14ac:dyDescent="0.25">
      <c r="A321" s="45" t="s">
        <v>504</v>
      </c>
      <c r="B321" s="75">
        <f t="shared" si="15"/>
        <v>0</v>
      </c>
      <c r="C321" s="67">
        <v>1</v>
      </c>
      <c r="D321" s="69">
        <v>44494</v>
      </c>
      <c r="E321" s="77">
        <v>342.42</v>
      </c>
      <c r="F321" s="77">
        <f t="shared" si="13"/>
        <v>0</v>
      </c>
      <c r="G321" s="75"/>
      <c r="H321" s="16"/>
      <c r="I321" s="16"/>
      <c r="J321" s="175"/>
      <c r="K321" s="16"/>
      <c r="L321" s="40"/>
      <c r="M321" s="40"/>
      <c r="N321" s="40"/>
      <c r="O321" s="40"/>
      <c r="P321" s="40"/>
      <c r="Q321" s="40"/>
      <c r="R321" s="40"/>
      <c r="S321" s="40"/>
      <c r="T321" s="40"/>
      <c r="U321" s="40"/>
      <c r="V321" s="40"/>
      <c r="W321" s="40"/>
      <c r="X321" s="40"/>
      <c r="Y321" s="40"/>
      <c r="Z321" s="40"/>
      <c r="AA321" s="40"/>
      <c r="AB321" s="40"/>
      <c r="AC321" s="40"/>
      <c r="AD321" s="40"/>
      <c r="AE321" s="40"/>
      <c r="AF321" s="40"/>
      <c r="AG321" s="40"/>
      <c r="AH321" s="40"/>
      <c r="AI321" s="40"/>
      <c r="AJ321" s="40"/>
      <c r="AK321" s="40"/>
      <c r="AL321" s="40"/>
      <c r="AM321" s="40"/>
      <c r="AN321" s="40"/>
      <c r="AO321" s="40"/>
      <c r="AP321" s="40"/>
      <c r="AQ321" s="40"/>
      <c r="AR321" s="40"/>
      <c r="AS321" s="40"/>
      <c r="AT321" s="40"/>
      <c r="AU321" s="40"/>
      <c r="AV321" s="40"/>
      <c r="AW321" s="40"/>
      <c r="AX321" s="40"/>
      <c r="AY321" s="40"/>
      <c r="AZ321" s="40"/>
      <c r="BA321" s="40"/>
      <c r="BB321" s="40"/>
      <c r="BC321" s="40"/>
      <c r="BD321" s="40"/>
      <c r="BE321" s="40"/>
      <c r="BF321" s="40"/>
      <c r="BG321" s="40"/>
      <c r="BH321" s="40"/>
      <c r="BI321" s="40"/>
      <c r="BJ321" s="40"/>
      <c r="BK321" s="40"/>
      <c r="BL321" s="40"/>
      <c r="BM321" s="40"/>
      <c r="BN321" s="40"/>
      <c r="BO321" s="40"/>
      <c r="BP321" s="40"/>
      <c r="BQ321" s="40"/>
      <c r="BR321" s="40"/>
      <c r="BS321" s="40"/>
      <c r="BT321" s="40"/>
      <c r="BU321" s="40"/>
      <c r="BV321" s="40"/>
      <c r="BW321" s="40"/>
      <c r="BX321" s="40"/>
      <c r="BY321" s="40"/>
      <c r="BZ321" s="40"/>
      <c r="CA321" s="40"/>
      <c r="CB321" s="40"/>
      <c r="CC321" s="40"/>
      <c r="CD321" s="40"/>
      <c r="CE321" s="76">
        <f t="shared" si="12"/>
        <v>0</v>
      </c>
    </row>
    <row r="322" spans="1:83" s="5" customFormat="1" ht="12" customHeight="1" x14ac:dyDescent="0.25">
      <c r="A322" s="45" t="s">
        <v>304</v>
      </c>
      <c r="B322" s="75">
        <f t="shared" si="15"/>
        <v>0</v>
      </c>
      <c r="C322" s="67">
        <v>1</v>
      </c>
      <c r="D322" s="69">
        <v>44503</v>
      </c>
      <c r="E322" s="77">
        <v>47.95</v>
      </c>
      <c r="F322" s="77">
        <f t="shared" si="13"/>
        <v>0</v>
      </c>
      <c r="G322" s="75"/>
      <c r="H322" s="16"/>
      <c r="I322" s="16"/>
      <c r="J322" s="175"/>
      <c r="K322" s="16"/>
      <c r="L322" s="40"/>
      <c r="M322" s="40"/>
      <c r="N322" s="40"/>
      <c r="O322" s="40"/>
      <c r="P322" s="40"/>
      <c r="Q322" s="40"/>
      <c r="R322" s="40"/>
      <c r="S322" s="40"/>
      <c r="T322" s="40"/>
      <c r="U322" s="40"/>
      <c r="V322" s="40"/>
      <c r="W322" s="40"/>
      <c r="X322" s="40"/>
      <c r="Y322" s="40"/>
      <c r="Z322" s="40"/>
      <c r="AA322" s="40"/>
      <c r="AB322" s="40"/>
      <c r="AC322" s="40"/>
      <c r="AD322" s="40"/>
      <c r="AE322" s="40"/>
      <c r="AF322" s="40"/>
      <c r="AG322" s="40"/>
      <c r="AH322" s="40"/>
      <c r="AI322" s="40"/>
      <c r="AJ322" s="40"/>
      <c r="AK322" s="40"/>
      <c r="AL322" s="40"/>
      <c r="AM322" s="40"/>
      <c r="AN322" s="40"/>
      <c r="AO322" s="40"/>
      <c r="AP322" s="40"/>
      <c r="AQ322" s="40"/>
      <c r="AR322" s="40"/>
      <c r="AS322" s="40"/>
      <c r="AT322" s="40"/>
      <c r="AU322" s="40"/>
      <c r="AV322" s="40"/>
      <c r="AW322" s="40"/>
      <c r="AX322" s="40"/>
      <c r="AY322" s="40"/>
      <c r="AZ322" s="40"/>
      <c r="BA322" s="40"/>
      <c r="BB322" s="40"/>
      <c r="BC322" s="40"/>
      <c r="BD322" s="40"/>
      <c r="BE322" s="40"/>
      <c r="BF322" s="40"/>
      <c r="BG322" s="40"/>
      <c r="BH322" s="40"/>
      <c r="BI322" s="40"/>
      <c r="BJ322" s="40"/>
      <c r="BK322" s="40"/>
      <c r="BL322" s="40"/>
      <c r="BM322" s="40"/>
      <c r="BN322" s="40"/>
      <c r="BO322" s="40"/>
      <c r="BP322" s="40"/>
      <c r="BQ322" s="40"/>
      <c r="BR322" s="40"/>
      <c r="BS322" s="40"/>
      <c r="BT322" s="40"/>
      <c r="BU322" s="40"/>
      <c r="BV322" s="40"/>
      <c r="BW322" s="40"/>
      <c r="BX322" s="40"/>
      <c r="BY322" s="40"/>
      <c r="BZ322" s="40"/>
      <c r="CA322" s="40"/>
      <c r="CB322" s="40"/>
      <c r="CC322" s="40"/>
      <c r="CD322" s="40"/>
      <c r="CE322" s="76">
        <f t="shared" si="12"/>
        <v>0</v>
      </c>
    </row>
    <row r="323" spans="1:83" s="5" customFormat="1" ht="12" customHeight="1" x14ac:dyDescent="0.25">
      <c r="A323" s="45" t="s">
        <v>331</v>
      </c>
      <c r="B323" s="75">
        <f t="shared" si="15"/>
        <v>0</v>
      </c>
      <c r="C323" s="67">
        <v>1</v>
      </c>
      <c r="D323" s="69">
        <v>44249</v>
      </c>
      <c r="E323" s="77">
        <v>103.35</v>
      </c>
      <c r="F323" s="77">
        <f t="shared" si="13"/>
        <v>0</v>
      </c>
      <c r="G323" s="75"/>
      <c r="H323" s="16"/>
      <c r="I323" s="16"/>
      <c r="J323" s="175"/>
      <c r="K323" s="16"/>
      <c r="L323" s="40"/>
      <c r="M323" s="40"/>
      <c r="N323" s="40"/>
      <c r="O323" s="40"/>
      <c r="P323" s="40"/>
      <c r="Q323" s="40"/>
      <c r="R323" s="40"/>
      <c r="S323" s="40"/>
      <c r="T323" s="40"/>
      <c r="U323" s="40"/>
      <c r="V323" s="40"/>
      <c r="W323" s="40"/>
      <c r="X323" s="40"/>
      <c r="Y323" s="40"/>
      <c r="Z323" s="40"/>
      <c r="AA323" s="40"/>
      <c r="AB323" s="40"/>
      <c r="AC323" s="40"/>
      <c r="AD323" s="40"/>
      <c r="AE323" s="40"/>
      <c r="AF323" s="40"/>
      <c r="AG323" s="40"/>
      <c r="AH323" s="40"/>
      <c r="AI323" s="40"/>
      <c r="AJ323" s="40"/>
      <c r="AK323" s="40"/>
      <c r="AL323" s="40"/>
      <c r="AM323" s="40"/>
      <c r="AN323" s="40"/>
      <c r="AO323" s="40"/>
      <c r="AP323" s="40"/>
      <c r="AQ323" s="40"/>
      <c r="AR323" s="40"/>
      <c r="AS323" s="40"/>
      <c r="AT323" s="40"/>
      <c r="AU323" s="40"/>
      <c r="AV323" s="40"/>
      <c r="AW323" s="40"/>
      <c r="AX323" s="40"/>
      <c r="AY323" s="40"/>
      <c r="AZ323" s="40"/>
      <c r="BA323" s="40"/>
      <c r="BB323" s="40"/>
      <c r="BC323" s="40"/>
      <c r="BD323" s="40"/>
      <c r="BE323" s="40"/>
      <c r="BF323" s="40"/>
      <c r="BG323" s="40"/>
      <c r="BH323" s="40"/>
      <c r="BI323" s="40"/>
      <c r="BJ323" s="40"/>
      <c r="BK323" s="40"/>
      <c r="BL323" s="40"/>
      <c r="BM323" s="40"/>
      <c r="BN323" s="40"/>
      <c r="BO323" s="40"/>
      <c r="BP323" s="40"/>
      <c r="BQ323" s="40"/>
      <c r="BR323" s="40"/>
      <c r="BS323" s="40"/>
      <c r="BT323" s="40"/>
      <c r="BU323" s="40"/>
      <c r="BV323" s="40"/>
      <c r="BW323" s="40"/>
      <c r="BX323" s="40"/>
      <c r="BY323" s="40"/>
      <c r="BZ323" s="40"/>
      <c r="CA323" s="40"/>
      <c r="CB323" s="40"/>
      <c r="CC323" s="40"/>
      <c r="CD323" s="40"/>
      <c r="CE323" s="76">
        <f t="shared" si="12"/>
        <v>0</v>
      </c>
    </row>
    <row r="324" spans="1:83" s="5" customFormat="1" ht="12" customHeight="1" x14ac:dyDescent="0.25">
      <c r="A324" s="45" t="s">
        <v>453</v>
      </c>
      <c r="B324" s="75">
        <f t="shared" si="15"/>
        <v>5</v>
      </c>
      <c r="C324" s="67">
        <v>1</v>
      </c>
      <c r="D324" s="69">
        <v>44532</v>
      </c>
      <c r="E324" s="77">
        <v>86.11</v>
      </c>
      <c r="F324" s="77">
        <f t="shared" si="13"/>
        <v>430.55</v>
      </c>
      <c r="G324" s="75">
        <v>5</v>
      </c>
      <c r="H324" s="16"/>
      <c r="I324" s="16"/>
      <c r="J324" s="175"/>
      <c r="K324" s="16"/>
      <c r="L324" s="40"/>
      <c r="M324" s="40"/>
      <c r="N324" s="40"/>
      <c r="O324" s="40"/>
      <c r="P324" s="40"/>
      <c r="Q324" s="40"/>
      <c r="R324" s="40"/>
      <c r="S324" s="40"/>
      <c r="T324" s="40"/>
      <c r="U324" s="40"/>
      <c r="V324" s="40"/>
      <c r="W324" s="40"/>
      <c r="X324" s="40">
        <v>5</v>
      </c>
      <c r="Y324" s="40"/>
      <c r="Z324" s="40"/>
      <c r="AA324" s="40"/>
      <c r="AB324" s="40"/>
      <c r="AC324" s="40"/>
      <c r="AD324" s="40"/>
      <c r="AE324" s="40"/>
      <c r="AF324" s="40"/>
      <c r="AG324" s="40"/>
      <c r="AH324" s="40"/>
      <c r="AI324" s="40"/>
      <c r="AJ324" s="40"/>
      <c r="AK324" s="40"/>
      <c r="AL324" s="40"/>
      <c r="AM324" s="40"/>
      <c r="AN324" s="40"/>
      <c r="AO324" s="40"/>
      <c r="AP324" s="40"/>
      <c r="AQ324" s="40"/>
      <c r="AR324" s="40"/>
      <c r="AS324" s="40"/>
      <c r="AT324" s="40"/>
      <c r="AU324" s="40"/>
      <c r="AV324" s="40"/>
      <c r="AW324" s="40"/>
      <c r="AX324" s="40"/>
      <c r="AY324" s="40"/>
      <c r="AZ324" s="40"/>
      <c r="BA324" s="40"/>
      <c r="BB324" s="40"/>
      <c r="BC324" s="40"/>
      <c r="BD324" s="40"/>
      <c r="BE324" s="40"/>
      <c r="BF324" s="40"/>
      <c r="BG324" s="40"/>
      <c r="BH324" s="40"/>
      <c r="BI324" s="40"/>
      <c r="BJ324" s="40"/>
      <c r="BK324" s="40"/>
      <c r="BL324" s="40"/>
      <c r="BM324" s="40"/>
      <c r="BN324" s="40"/>
      <c r="BO324" s="40"/>
      <c r="BP324" s="40"/>
      <c r="BQ324" s="40"/>
      <c r="BR324" s="40"/>
      <c r="BS324" s="40"/>
      <c r="BT324" s="40"/>
      <c r="BU324" s="40"/>
      <c r="BV324" s="40"/>
      <c r="BW324" s="40"/>
      <c r="BX324" s="40"/>
      <c r="BY324" s="40"/>
      <c r="BZ324" s="40"/>
      <c r="CA324" s="40"/>
      <c r="CB324" s="40"/>
      <c r="CC324" s="40"/>
      <c r="CD324" s="40"/>
      <c r="CE324" s="76">
        <f t="shared" si="12"/>
        <v>0</v>
      </c>
    </row>
    <row r="325" spans="1:83" s="5" customFormat="1" ht="12" customHeight="1" x14ac:dyDescent="0.25">
      <c r="A325" s="45" t="s">
        <v>429</v>
      </c>
      <c r="B325" s="75">
        <f t="shared" si="15"/>
        <v>0</v>
      </c>
      <c r="C325" s="67">
        <v>1</v>
      </c>
      <c r="D325" s="69">
        <v>44221</v>
      </c>
      <c r="E325" s="77">
        <v>280.77999999999997</v>
      </c>
      <c r="F325" s="77">
        <f t="shared" si="13"/>
        <v>0</v>
      </c>
      <c r="G325" s="75"/>
      <c r="H325" s="16"/>
      <c r="I325" s="16"/>
      <c r="J325" s="175"/>
      <c r="K325" s="16"/>
      <c r="L325" s="40"/>
      <c r="M325" s="40"/>
      <c r="N325" s="40"/>
      <c r="O325" s="40"/>
      <c r="P325" s="40"/>
      <c r="Q325" s="40"/>
      <c r="R325" s="40"/>
      <c r="S325" s="40"/>
      <c r="T325" s="40"/>
      <c r="U325" s="40"/>
      <c r="V325" s="40"/>
      <c r="W325" s="40"/>
      <c r="X325" s="40"/>
      <c r="Y325" s="40"/>
      <c r="Z325" s="40"/>
      <c r="AA325" s="40"/>
      <c r="AB325" s="40"/>
      <c r="AC325" s="40"/>
      <c r="AD325" s="40"/>
      <c r="AE325" s="40"/>
      <c r="AF325" s="40"/>
      <c r="AG325" s="40"/>
      <c r="AH325" s="40"/>
      <c r="AI325" s="40"/>
      <c r="AJ325" s="40"/>
      <c r="AK325" s="40"/>
      <c r="AL325" s="40"/>
      <c r="AM325" s="40"/>
      <c r="AN325" s="40"/>
      <c r="AO325" s="40"/>
      <c r="AP325" s="40"/>
      <c r="AQ325" s="40"/>
      <c r="AR325" s="40"/>
      <c r="AS325" s="40"/>
      <c r="AT325" s="40"/>
      <c r="AU325" s="40"/>
      <c r="AV325" s="40"/>
      <c r="AW325" s="40"/>
      <c r="AX325" s="40"/>
      <c r="AY325" s="40"/>
      <c r="AZ325" s="40"/>
      <c r="BA325" s="40"/>
      <c r="BB325" s="40"/>
      <c r="BC325" s="40"/>
      <c r="BD325" s="40"/>
      <c r="BE325" s="40"/>
      <c r="BF325" s="40"/>
      <c r="BG325" s="40"/>
      <c r="BH325" s="40"/>
      <c r="BI325" s="40"/>
      <c r="BJ325" s="40"/>
      <c r="BK325" s="40"/>
      <c r="BL325" s="40"/>
      <c r="BM325" s="40"/>
      <c r="BN325" s="40"/>
      <c r="BO325" s="40"/>
      <c r="BP325" s="40"/>
      <c r="BQ325" s="40"/>
      <c r="BR325" s="40"/>
      <c r="BS325" s="40"/>
      <c r="BT325" s="40"/>
      <c r="BU325" s="40"/>
      <c r="BV325" s="40"/>
      <c r="BW325" s="40"/>
      <c r="BX325" s="40"/>
      <c r="BY325" s="40"/>
      <c r="BZ325" s="40"/>
      <c r="CA325" s="40"/>
      <c r="CB325" s="40"/>
      <c r="CC325" s="40"/>
      <c r="CD325" s="40"/>
      <c r="CE325" s="76">
        <f t="shared" si="12"/>
        <v>0</v>
      </c>
    </row>
    <row r="326" spans="1:83" s="5" customFormat="1" ht="12" customHeight="1" x14ac:dyDescent="0.25">
      <c r="A326" s="45" t="s">
        <v>277</v>
      </c>
      <c r="B326" s="75">
        <f t="shared" si="15"/>
        <v>0</v>
      </c>
      <c r="C326" s="67">
        <v>1</v>
      </c>
      <c r="D326" s="69">
        <v>44557</v>
      </c>
      <c r="E326" s="77">
        <v>47.64</v>
      </c>
      <c r="F326" s="77">
        <f t="shared" si="13"/>
        <v>0</v>
      </c>
      <c r="G326" s="75"/>
      <c r="H326" s="16"/>
      <c r="I326" s="16"/>
      <c r="J326" s="175"/>
      <c r="K326" s="16"/>
      <c r="L326" s="40"/>
      <c r="M326" s="40"/>
      <c r="N326" s="40"/>
      <c r="O326" s="40"/>
      <c r="P326" s="40"/>
      <c r="Q326" s="40"/>
      <c r="R326" s="40"/>
      <c r="S326" s="40"/>
      <c r="T326" s="40"/>
      <c r="U326" s="40"/>
      <c r="V326" s="40"/>
      <c r="W326" s="40"/>
      <c r="X326" s="40"/>
      <c r="Y326" s="40"/>
      <c r="Z326" s="40"/>
      <c r="AA326" s="40"/>
      <c r="AB326" s="40"/>
      <c r="AC326" s="40"/>
      <c r="AD326" s="40"/>
      <c r="AE326" s="40"/>
      <c r="AF326" s="40"/>
      <c r="AG326" s="40"/>
      <c r="AH326" s="40"/>
      <c r="AI326" s="40"/>
      <c r="AJ326" s="40"/>
      <c r="AK326" s="40"/>
      <c r="AL326" s="40"/>
      <c r="AM326" s="40"/>
      <c r="AN326" s="40"/>
      <c r="AO326" s="40"/>
      <c r="AP326" s="40"/>
      <c r="AQ326" s="40"/>
      <c r="AR326" s="40"/>
      <c r="AS326" s="40"/>
      <c r="AT326" s="40"/>
      <c r="AU326" s="40"/>
      <c r="AV326" s="40"/>
      <c r="AW326" s="40"/>
      <c r="AX326" s="40"/>
      <c r="AY326" s="40"/>
      <c r="AZ326" s="40"/>
      <c r="BA326" s="40"/>
      <c r="BB326" s="40"/>
      <c r="BC326" s="40"/>
      <c r="BD326" s="40"/>
      <c r="BE326" s="40"/>
      <c r="BF326" s="40"/>
      <c r="BG326" s="40"/>
      <c r="BH326" s="40"/>
      <c r="BI326" s="40"/>
      <c r="BJ326" s="40"/>
      <c r="BK326" s="40"/>
      <c r="BL326" s="40"/>
      <c r="BM326" s="40"/>
      <c r="BN326" s="40"/>
      <c r="BO326" s="40"/>
      <c r="BP326" s="40"/>
      <c r="BQ326" s="40"/>
      <c r="BR326" s="40"/>
      <c r="BS326" s="40"/>
      <c r="BT326" s="40"/>
      <c r="BU326" s="40"/>
      <c r="BV326" s="40"/>
      <c r="BW326" s="40"/>
      <c r="BX326" s="40"/>
      <c r="BY326" s="40"/>
      <c r="BZ326" s="40"/>
      <c r="CA326" s="40"/>
      <c r="CB326" s="40"/>
      <c r="CC326" s="40"/>
      <c r="CD326" s="40"/>
      <c r="CE326" s="76">
        <f t="shared" si="12"/>
        <v>0</v>
      </c>
    </row>
    <row r="327" spans="1:83" s="5" customFormat="1" ht="12" customHeight="1" x14ac:dyDescent="0.25">
      <c r="A327" s="45" t="s">
        <v>209</v>
      </c>
      <c r="B327" s="75">
        <f t="shared" si="15"/>
        <v>20</v>
      </c>
      <c r="C327" s="67">
        <v>1</v>
      </c>
      <c r="D327" s="69">
        <v>44557</v>
      </c>
      <c r="E327" s="77">
        <v>16.66</v>
      </c>
      <c r="F327" s="77">
        <f t="shared" si="13"/>
        <v>333.2</v>
      </c>
      <c r="G327" s="75">
        <v>20</v>
      </c>
      <c r="H327" s="16"/>
      <c r="I327" s="16"/>
      <c r="J327" s="175"/>
      <c r="K327" s="16"/>
      <c r="L327" s="40"/>
      <c r="M327" s="40"/>
      <c r="N327" s="40"/>
      <c r="O327" s="40"/>
      <c r="P327" s="40"/>
      <c r="Q327" s="40"/>
      <c r="R327" s="40"/>
      <c r="S327" s="40"/>
      <c r="T327" s="40"/>
      <c r="U327" s="40"/>
      <c r="V327" s="40"/>
      <c r="W327" s="40"/>
      <c r="X327" s="40"/>
      <c r="Y327" s="40"/>
      <c r="Z327" s="40"/>
      <c r="AA327" s="40"/>
      <c r="AB327" s="40"/>
      <c r="AC327" s="40"/>
      <c r="AD327" s="40"/>
      <c r="AE327" s="40"/>
      <c r="AF327" s="40"/>
      <c r="AG327" s="40"/>
      <c r="AH327" s="40"/>
      <c r="AI327" s="40"/>
      <c r="AJ327" s="40"/>
      <c r="AK327" s="40"/>
      <c r="AL327" s="40"/>
      <c r="AM327" s="40"/>
      <c r="AN327" s="40"/>
      <c r="AO327" s="40"/>
      <c r="AP327" s="40"/>
      <c r="AQ327" s="40"/>
      <c r="AR327" s="40"/>
      <c r="AS327" s="40"/>
      <c r="AT327" s="40"/>
      <c r="AU327" s="40"/>
      <c r="AV327" s="40"/>
      <c r="AW327" s="40"/>
      <c r="AX327" s="40"/>
      <c r="AY327" s="40"/>
      <c r="AZ327" s="40"/>
      <c r="BA327" s="40"/>
      <c r="BB327" s="40"/>
      <c r="BC327" s="40"/>
      <c r="BD327" s="40"/>
      <c r="BE327" s="40"/>
      <c r="BF327" s="40"/>
      <c r="BG327" s="40"/>
      <c r="BH327" s="40"/>
      <c r="BI327" s="40"/>
      <c r="BJ327" s="40"/>
      <c r="BK327" s="40"/>
      <c r="BL327" s="40"/>
      <c r="BM327" s="40"/>
      <c r="BN327" s="40"/>
      <c r="BO327" s="40"/>
      <c r="BP327" s="40"/>
      <c r="BQ327" s="40"/>
      <c r="BR327" s="40"/>
      <c r="BS327" s="40"/>
      <c r="BT327" s="40"/>
      <c r="BU327" s="40"/>
      <c r="BV327" s="40"/>
      <c r="BW327" s="40"/>
      <c r="BX327" s="40"/>
      <c r="BY327" s="40"/>
      <c r="BZ327" s="40"/>
      <c r="CA327" s="40"/>
      <c r="CB327" s="40"/>
      <c r="CC327" s="40"/>
      <c r="CD327" s="40">
        <v>20</v>
      </c>
      <c r="CE327" s="76">
        <f t="shared" si="12"/>
        <v>0</v>
      </c>
    </row>
    <row r="328" spans="1:83" s="5" customFormat="1" ht="12" customHeight="1" x14ac:dyDescent="0.25">
      <c r="A328" s="45" t="s">
        <v>209</v>
      </c>
      <c r="B328" s="75">
        <f t="shared" si="15"/>
        <v>7</v>
      </c>
      <c r="C328" s="67">
        <v>1</v>
      </c>
      <c r="D328" s="70">
        <v>44503</v>
      </c>
      <c r="E328" s="77">
        <v>16.34</v>
      </c>
      <c r="F328" s="77">
        <f t="shared" si="13"/>
        <v>114.38</v>
      </c>
      <c r="G328" s="75">
        <v>9</v>
      </c>
      <c r="H328" s="16"/>
      <c r="I328" s="16"/>
      <c r="J328" s="175"/>
      <c r="K328" s="16"/>
      <c r="L328" s="40"/>
      <c r="M328" s="40"/>
      <c r="N328" s="40"/>
      <c r="O328" s="40"/>
      <c r="P328" s="40"/>
      <c r="Q328" s="40"/>
      <c r="R328" s="40"/>
      <c r="S328" s="40"/>
      <c r="T328" s="40"/>
      <c r="U328" s="40"/>
      <c r="V328" s="40"/>
      <c r="W328" s="40"/>
      <c r="X328" s="40"/>
      <c r="Y328" s="40"/>
      <c r="Z328" s="40"/>
      <c r="AA328" s="40"/>
      <c r="AB328" s="40"/>
      <c r="AC328" s="40"/>
      <c r="AD328" s="40"/>
      <c r="AE328" s="40"/>
      <c r="AF328" s="40"/>
      <c r="AG328" s="40"/>
      <c r="AH328" s="40"/>
      <c r="AI328" s="40"/>
      <c r="AJ328" s="40"/>
      <c r="AK328" s="40"/>
      <c r="AL328" s="40"/>
      <c r="AM328" s="40"/>
      <c r="AN328" s="40"/>
      <c r="AO328" s="40"/>
      <c r="AP328" s="40"/>
      <c r="AQ328" s="40"/>
      <c r="AR328" s="40"/>
      <c r="AS328" s="40"/>
      <c r="AT328" s="40"/>
      <c r="AU328" s="40"/>
      <c r="AV328" s="40"/>
      <c r="AW328" s="40"/>
      <c r="AX328" s="40"/>
      <c r="AY328" s="40"/>
      <c r="AZ328" s="40"/>
      <c r="BA328" s="40"/>
      <c r="BB328" s="40"/>
      <c r="BC328" s="40"/>
      <c r="BD328" s="40"/>
      <c r="BE328" s="40"/>
      <c r="BF328" s="40"/>
      <c r="BG328" s="40"/>
      <c r="BH328" s="40"/>
      <c r="BI328" s="40"/>
      <c r="BJ328" s="40">
        <v>2</v>
      </c>
      <c r="BK328" s="40"/>
      <c r="BL328" s="40"/>
      <c r="BM328" s="40"/>
      <c r="BN328" s="40"/>
      <c r="BO328" s="40"/>
      <c r="BP328" s="40"/>
      <c r="BQ328" s="40"/>
      <c r="BR328" s="40"/>
      <c r="BS328" s="40"/>
      <c r="BT328" s="40"/>
      <c r="BU328" s="40"/>
      <c r="BV328" s="40"/>
      <c r="BW328" s="40"/>
      <c r="BX328" s="40"/>
      <c r="BY328" s="40"/>
      <c r="BZ328" s="40"/>
      <c r="CA328" s="40"/>
      <c r="CB328" s="40"/>
      <c r="CC328" s="40"/>
      <c r="CD328" s="40">
        <v>7</v>
      </c>
      <c r="CE328" s="76">
        <f t="shared" si="12"/>
        <v>0</v>
      </c>
    </row>
    <row r="329" spans="1:83" s="5" customFormat="1" ht="12" customHeight="1" x14ac:dyDescent="0.25">
      <c r="A329" s="45" t="s">
        <v>209</v>
      </c>
      <c r="B329" s="75">
        <f t="shared" si="15"/>
        <v>0</v>
      </c>
      <c r="C329" s="67">
        <v>1</v>
      </c>
      <c r="D329" s="69">
        <v>44494</v>
      </c>
      <c r="E329" s="77">
        <v>16.350000000000001</v>
      </c>
      <c r="F329" s="77">
        <f t="shared" si="13"/>
        <v>0</v>
      </c>
      <c r="G329" s="75"/>
      <c r="H329" s="16"/>
      <c r="I329" s="16"/>
      <c r="J329" s="175"/>
      <c r="K329" s="16"/>
      <c r="L329" s="40"/>
      <c r="M329" s="40"/>
      <c r="N329" s="40"/>
      <c r="O329" s="40"/>
      <c r="P329" s="40"/>
      <c r="Q329" s="40"/>
      <c r="R329" s="40"/>
      <c r="S329" s="40"/>
      <c r="T329" s="40"/>
      <c r="U329" s="40"/>
      <c r="V329" s="40"/>
      <c r="W329" s="40"/>
      <c r="X329" s="40"/>
      <c r="Y329" s="40"/>
      <c r="Z329" s="40"/>
      <c r="AA329" s="40"/>
      <c r="AB329" s="40"/>
      <c r="AC329" s="40"/>
      <c r="AD329" s="40"/>
      <c r="AE329" s="40"/>
      <c r="AF329" s="40"/>
      <c r="AG329" s="40"/>
      <c r="AH329" s="40"/>
      <c r="AI329" s="40"/>
      <c r="AJ329" s="40"/>
      <c r="AK329" s="40"/>
      <c r="AL329" s="40"/>
      <c r="AM329" s="40"/>
      <c r="AN329" s="40"/>
      <c r="AO329" s="40"/>
      <c r="AP329" s="40"/>
      <c r="AQ329" s="40"/>
      <c r="AR329" s="40"/>
      <c r="AS329" s="40"/>
      <c r="AT329" s="40"/>
      <c r="AU329" s="40"/>
      <c r="AV329" s="40"/>
      <c r="AW329" s="40"/>
      <c r="AX329" s="40"/>
      <c r="AY329" s="40"/>
      <c r="AZ329" s="40"/>
      <c r="BA329" s="40"/>
      <c r="BB329" s="40"/>
      <c r="BC329" s="40"/>
      <c r="BD329" s="40"/>
      <c r="BE329" s="40"/>
      <c r="BF329" s="40"/>
      <c r="BG329" s="40"/>
      <c r="BH329" s="40"/>
      <c r="BI329" s="40"/>
      <c r="BJ329" s="40"/>
      <c r="BK329" s="40"/>
      <c r="BL329" s="40"/>
      <c r="BM329" s="40"/>
      <c r="BN329" s="40"/>
      <c r="BO329" s="40"/>
      <c r="BP329" s="40"/>
      <c r="BQ329" s="40"/>
      <c r="BR329" s="40"/>
      <c r="BS329" s="40"/>
      <c r="BT329" s="40"/>
      <c r="BU329" s="40"/>
      <c r="BV329" s="40"/>
      <c r="BW329" s="40"/>
      <c r="BX329" s="40"/>
      <c r="BY329" s="40"/>
      <c r="BZ329" s="40"/>
      <c r="CA329" s="40"/>
      <c r="CB329" s="40"/>
      <c r="CC329" s="40"/>
      <c r="CD329" s="40"/>
      <c r="CE329" s="76">
        <f t="shared" si="12"/>
        <v>0</v>
      </c>
    </row>
    <row r="330" spans="1:83" s="5" customFormat="1" ht="12" customHeight="1" x14ac:dyDescent="0.25">
      <c r="A330" s="45" t="s">
        <v>432</v>
      </c>
      <c r="B330" s="75">
        <f t="shared" si="15"/>
        <v>1</v>
      </c>
      <c r="C330" s="67">
        <v>1</v>
      </c>
      <c r="D330" s="69">
        <v>44557</v>
      </c>
      <c r="E330" s="77">
        <v>117.65</v>
      </c>
      <c r="F330" s="77">
        <f t="shared" si="13"/>
        <v>117.65</v>
      </c>
      <c r="G330" s="75">
        <v>1</v>
      </c>
      <c r="H330" s="16"/>
      <c r="I330" s="16"/>
      <c r="J330" s="175"/>
      <c r="K330" s="16"/>
      <c r="L330" s="40"/>
      <c r="M330" s="40"/>
      <c r="N330" s="40"/>
      <c r="O330" s="40"/>
      <c r="P330" s="40"/>
      <c r="Q330" s="40"/>
      <c r="R330" s="40"/>
      <c r="S330" s="40"/>
      <c r="T330" s="40"/>
      <c r="U330" s="40"/>
      <c r="V330" s="40"/>
      <c r="W330" s="40"/>
      <c r="X330" s="40"/>
      <c r="Y330" s="40">
        <v>1</v>
      </c>
      <c r="Z330" s="40"/>
      <c r="AA330" s="40"/>
      <c r="AB330" s="40"/>
      <c r="AC330" s="40"/>
      <c r="AD330" s="40"/>
      <c r="AE330" s="40"/>
      <c r="AF330" s="40"/>
      <c r="AG330" s="40"/>
      <c r="AH330" s="40"/>
      <c r="AI330" s="40"/>
      <c r="AJ330" s="40"/>
      <c r="AK330" s="40"/>
      <c r="AL330" s="40"/>
      <c r="AM330" s="40"/>
      <c r="AN330" s="40"/>
      <c r="AO330" s="40"/>
      <c r="AP330" s="40"/>
      <c r="AQ330" s="40"/>
      <c r="AR330" s="40"/>
      <c r="AS330" s="40"/>
      <c r="AT330" s="40"/>
      <c r="AU330" s="40"/>
      <c r="AV330" s="40"/>
      <c r="AW330" s="40"/>
      <c r="AX330" s="40"/>
      <c r="AY330" s="40"/>
      <c r="AZ330" s="40"/>
      <c r="BA330" s="40"/>
      <c r="BB330" s="40"/>
      <c r="BC330" s="40"/>
      <c r="BD330" s="40"/>
      <c r="BE330" s="40"/>
      <c r="BF330" s="40"/>
      <c r="BG330" s="40"/>
      <c r="BH330" s="40"/>
      <c r="BI330" s="40"/>
      <c r="BJ330" s="40"/>
      <c r="BK330" s="40"/>
      <c r="BL330" s="40"/>
      <c r="BM330" s="40"/>
      <c r="BN330" s="40"/>
      <c r="BO330" s="40"/>
      <c r="BP330" s="40"/>
      <c r="BQ330" s="40"/>
      <c r="BR330" s="40"/>
      <c r="BS330" s="40"/>
      <c r="BT330" s="40"/>
      <c r="BU330" s="40"/>
      <c r="BV330" s="40"/>
      <c r="BW330" s="40"/>
      <c r="BX330" s="40"/>
      <c r="BY330" s="40"/>
      <c r="BZ330" s="40"/>
      <c r="CA330" s="40"/>
      <c r="CB330" s="40"/>
      <c r="CC330" s="40"/>
      <c r="CD330" s="40"/>
      <c r="CE330" s="76">
        <f t="shared" ref="CE330:CE373" si="16">$B330-SUMIF($G$3:$GS$3,"",$G330:$GS330)</f>
        <v>0</v>
      </c>
    </row>
    <row r="331" spans="1:83" s="5" customFormat="1" ht="12" customHeight="1" x14ac:dyDescent="0.25">
      <c r="A331" s="45" t="s">
        <v>332</v>
      </c>
      <c r="B331" s="75">
        <f t="shared" si="15"/>
        <v>0</v>
      </c>
      <c r="C331" s="67">
        <v>1</v>
      </c>
      <c r="D331" s="69">
        <v>44494</v>
      </c>
      <c r="E331" s="77">
        <v>152.19</v>
      </c>
      <c r="F331" s="77">
        <f t="shared" si="13"/>
        <v>0</v>
      </c>
      <c r="G331" s="75"/>
      <c r="H331" s="16"/>
      <c r="I331" s="16"/>
      <c r="J331" s="175"/>
      <c r="K331" s="16"/>
      <c r="L331" s="40"/>
      <c r="M331" s="40"/>
      <c r="N331" s="40"/>
      <c r="O331" s="40"/>
      <c r="P331" s="40"/>
      <c r="Q331" s="40"/>
      <c r="R331" s="40"/>
      <c r="S331" s="40"/>
      <c r="T331" s="40"/>
      <c r="U331" s="40"/>
      <c r="V331" s="40"/>
      <c r="W331" s="40"/>
      <c r="X331" s="40"/>
      <c r="Y331" s="40"/>
      <c r="Z331" s="40"/>
      <c r="AA331" s="40"/>
      <c r="AB331" s="40"/>
      <c r="AC331" s="40"/>
      <c r="AD331" s="40"/>
      <c r="AE331" s="40"/>
      <c r="AF331" s="40"/>
      <c r="AG331" s="40"/>
      <c r="AH331" s="40"/>
      <c r="AI331" s="40"/>
      <c r="AJ331" s="40"/>
      <c r="AK331" s="40"/>
      <c r="AL331" s="40"/>
      <c r="AM331" s="40"/>
      <c r="AN331" s="40"/>
      <c r="AO331" s="40"/>
      <c r="AP331" s="40"/>
      <c r="AQ331" s="40"/>
      <c r="AR331" s="40"/>
      <c r="AS331" s="40"/>
      <c r="AT331" s="40"/>
      <c r="AU331" s="40"/>
      <c r="AV331" s="40"/>
      <c r="AW331" s="40"/>
      <c r="AX331" s="40"/>
      <c r="AY331" s="40"/>
      <c r="AZ331" s="40"/>
      <c r="BA331" s="40"/>
      <c r="BB331" s="40"/>
      <c r="BC331" s="40"/>
      <c r="BD331" s="40"/>
      <c r="BE331" s="40"/>
      <c r="BF331" s="40"/>
      <c r="BG331" s="40"/>
      <c r="BH331" s="40"/>
      <c r="BI331" s="40"/>
      <c r="BJ331" s="40"/>
      <c r="BK331" s="40"/>
      <c r="BL331" s="40"/>
      <c r="BM331" s="40"/>
      <c r="BN331" s="40"/>
      <c r="BO331" s="40"/>
      <c r="BP331" s="40"/>
      <c r="BQ331" s="40"/>
      <c r="BR331" s="40"/>
      <c r="BS331" s="40"/>
      <c r="BT331" s="40"/>
      <c r="BU331" s="40"/>
      <c r="BV331" s="40"/>
      <c r="BW331" s="40"/>
      <c r="BX331" s="40"/>
      <c r="BY331" s="40"/>
      <c r="BZ331" s="40"/>
      <c r="CA331" s="40"/>
      <c r="CB331" s="40"/>
      <c r="CC331" s="40"/>
      <c r="CD331" s="40"/>
      <c r="CE331" s="76">
        <f t="shared" si="16"/>
        <v>0</v>
      </c>
    </row>
    <row r="332" spans="1:83" s="5" customFormat="1" ht="12" customHeight="1" x14ac:dyDescent="0.25">
      <c r="A332" s="45" t="s">
        <v>332</v>
      </c>
      <c r="B332" s="75">
        <f t="shared" si="15"/>
        <v>5</v>
      </c>
      <c r="C332" s="67">
        <v>1</v>
      </c>
      <c r="D332" s="69">
        <v>44557</v>
      </c>
      <c r="E332" s="77">
        <v>155.38</v>
      </c>
      <c r="F332" s="77">
        <f t="shared" si="13"/>
        <v>776.9</v>
      </c>
      <c r="G332" s="75">
        <v>5</v>
      </c>
      <c r="H332" s="16"/>
      <c r="I332" s="16"/>
      <c r="J332" s="175"/>
      <c r="K332" s="16"/>
      <c r="L332" s="40"/>
      <c r="M332" s="40"/>
      <c r="N332" s="40"/>
      <c r="O332" s="40"/>
      <c r="P332" s="40"/>
      <c r="Q332" s="40"/>
      <c r="R332" s="40"/>
      <c r="S332" s="40"/>
      <c r="T332" s="40"/>
      <c r="U332" s="40"/>
      <c r="V332" s="40"/>
      <c r="W332" s="40"/>
      <c r="X332" s="40">
        <v>5</v>
      </c>
      <c r="Y332" s="40"/>
      <c r="Z332" s="40"/>
      <c r="AA332" s="40"/>
      <c r="AB332" s="40"/>
      <c r="AC332" s="40"/>
      <c r="AD332" s="40"/>
      <c r="AE332" s="40"/>
      <c r="AF332" s="40"/>
      <c r="AG332" s="40"/>
      <c r="AH332" s="40"/>
      <c r="AI332" s="40"/>
      <c r="AJ332" s="40"/>
      <c r="AK332" s="40"/>
      <c r="AL332" s="40"/>
      <c r="AM332" s="40"/>
      <c r="AN332" s="40"/>
      <c r="AO332" s="40"/>
      <c r="AP332" s="40"/>
      <c r="AQ332" s="40"/>
      <c r="AR332" s="40"/>
      <c r="AS332" s="40"/>
      <c r="AT332" s="40"/>
      <c r="AU332" s="40"/>
      <c r="AV332" s="40"/>
      <c r="AW332" s="40"/>
      <c r="AX332" s="40"/>
      <c r="AY332" s="40"/>
      <c r="AZ332" s="40"/>
      <c r="BA332" s="40"/>
      <c r="BB332" s="40"/>
      <c r="BC332" s="40"/>
      <c r="BD332" s="40"/>
      <c r="BE332" s="40"/>
      <c r="BF332" s="40"/>
      <c r="BG332" s="40"/>
      <c r="BH332" s="40"/>
      <c r="BI332" s="40"/>
      <c r="BJ332" s="40"/>
      <c r="BK332" s="40"/>
      <c r="BL332" s="40"/>
      <c r="BM332" s="40"/>
      <c r="BN332" s="40"/>
      <c r="BO332" s="40"/>
      <c r="BP332" s="40"/>
      <c r="BQ332" s="40"/>
      <c r="BR332" s="40"/>
      <c r="BS332" s="40"/>
      <c r="BT332" s="40"/>
      <c r="BU332" s="40"/>
      <c r="BV332" s="40"/>
      <c r="BW332" s="40"/>
      <c r="BX332" s="40"/>
      <c r="BY332" s="40"/>
      <c r="BZ332" s="40"/>
      <c r="CA332" s="40"/>
      <c r="CB332" s="40"/>
      <c r="CC332" s="40"/>
      <c r="CD332" s="40"/>
      <c r="CE332" s="76">
        <f t="shared" si="16"/>
        <v>0</v>
      </c>
    </row>
    <row r="333" spans="1:83" s="5" customFormat="1" ht="12" customHeight="1" x14ac:dyDescent="0.25">
      <c r="A333" s="45" t="s">
        <v>305</v>
      </c>
      <c r="B333" s="75">
        <f t="shared" si="15"/>
        <v>1</v>
      </c>
      <c r="C333" s="67">
        <v>1</v>
      </c>
      <c r="D333" s="69">
        <v>44532</v>
      </c>
      <c r="E333" s="77">
        <v>171.64</v>
      </c>
      <c r="F333" s="77">
        <f t="shared" si="13"/>
        <v>171.64</v>
      </c>
      <c r="G333" s="75">
        <v>1</v>
      </c>
      <c r="H333" s="16"/>
      <c r="I333" s="16"/>
      <c r="J333" s="175"/>
      <c r="K333" s="16"/>
      <c r="L333" s="40"/>
      <c r="M333" s="40"/>
      <c r="N333" s="40"/>
      <c r="O333" s="40"/>
      <c r="P333" s="40"/>
      <c r="Q333" s="40"/>
      <c r="R333" s="40"/>
      <c r="S333" s="40"/>
      <c r="T333" s="40"/>
      <c r="U333" s="40"/>
      <c r="V333" s="40"/>
      <c r="W333" s="40"/>
      <c r="X333" s="40"/>
      <c r="Y333" s="40"/>
      <c r="Z333" s="40"/>
      <c r="AA333" s="40"/>
      <c r="AB333" s="40"/>
      <c r="AC333" s="40"/>
      <c r="AD333" s="40"/>
      <c r="AE333" s="40"/>
      <c r="AF333" s="40"/>
      <c r="AG333" s="40"/>
      <c r="AH333" s="40"/>
      <c r="AI333" s="40"/>
      <c r="AJ333" s="40"/>
      <c r="AK333" s="40"/>
      <c r="AL333" s="40"/>
      <c r="AM333" s="40"/>
      <c r="AN333" s="40"/>
      <c r="AO333" s="40"/>
      <c r="AP333" s="40"/>
      <c r="AQ333" s="40"/>
      <c r="AR333" s="40"/>
      <c r="AS333" s="40"/>
      <c r="AT333" s="40"/>
      <c r="AU333" s="40">
        <v>1</v>
      </c>
      <c r="AV333" s="40"/>
      <c r="AW333" s="40"/>
      <c r="AX333" s="40"/>
      <c r="AY333" s="40"/>
      <c r="AZ333" s="40"/>
      <c r="BA333" s="40"/>
      <c r="BB333" s="40"/>
      <c r="BC333" s="40"/>
      <c r="BD333" s="40"/>
      <c r="BE333" s="40"/>
      <c r="BF333" s="40"/>
      <c r="BG333" s="40"/>
      <c r="BH333" s="40"/>
      <c r="BI333" s="40"/>
      <c r="BJ333" s="40"/>
      <c r="BK333" s="40"/>
      <c r="BL333" s="40"/>
      <c r="BM333" s="40"/>
      <c r="BN333" s="40"/>
      <c r="BO333" s="40"/>
      <c r="BP333" s="40"/>
      <c r="BQ333" s="40"/>
      <c r="BR333" s="40"/>
      <c r="BS333" s="40"/>
      <c r="BT333" s="40"/>
      <c r="BU333" s="40"/>
      <c r="BV333" s="40"/>
      <c r="BW333" s="40"/>
      <c r="BX333" s="40"/>
      <c r="BY333" s="40"/>
      <c r="BZ333" s="40"/>
      <c r="CA333" s="40"/>
      <c r="CB333" s="40"/>
      <c r="CC333" s="40"/>
      <c r="CD333" s="40"/>
      <c r="CE333" s="76">
        <f t="shared" si="16"/>
        <v>0</v>
      </c>
    </row>
    <row r="334" spans="1:83" s="5" customFormat="1" x14ac:dyDescent="0.25">
      <c r="A334" s="56" t="s">
        <v>130</v>
      </c>
      <c r="B334" s="75">
        <f t="shared" si="15"/>
        <v>0</v>
      </c>
      <c r="C334" s="67">
        <v>5</v>
      </c>
      <c r="D334" s="69">
        <v>44557</v>
      </c>
      <c r="E334" s="77">
        <v>68.150000000000006</v>
      </c>
      <c r="F334" s="77">
        <f t="shared" si="13"/>
        <v>0</v>
      </c>
      <c r="G334" s="75"/>
      <c r="H334" s="16"/>
      <c r="I334" s="16"/>
      <c r="J334" s="175"/>
      <c r="K334" s="16"/>
      <c r="L334" s="40"/>
      <c r="M334" s="40"/>
      <c r="N334" s="40"/>
      <c r="O334" s="40"/>
      <c r="P334" s="40"/>
      <c r="Q334" s="40"/>
      <c r="R334" s="40"/>
      <c r="S334" s="40"/>
      <c r="T334" s="40"/>
      <c r="U334" s="40"/>
      <c r="V334" s="40"/>
      <c r="W334" s="40"/>
      <c r="X334" s="40"/>
      <c r="Y334" s="40"/>
      <c r="Z334" s="40"/>
      <c r="AA334" s="40"/>
      <c r="AB334" s="40"/>
      <c r="AC334" s="40"/>
      <c r="AD334" s="40"/>
      <c r="AE334" s="40"/>
      <c r="AF334" s="40"/>
      <c r="AG334" s="40"/>
      <c r="AH334" s="40"/>
      <c r="AI334" s="40"/>
      <c r="AJ334" s="40"/>
      <c r="AK334" s="40"/>
      <c r="AL334" s="40"/>
      <c r="AM334" s="40"/>
      <c r="AN334" s="40"/>
      <c r="AO334" s="40"/>
      <c r="AP334" s="40"/>
      <c r="AQ334" s="40"/>
      <c r="AR334" s="40"/>
      <c r="AS334" s="40"/>
      <c r="AT334" s="40"/>
      <c r="AU334" s="40"/>
      <c r="AV334" s="40"/>
      <c r="AW334" s="40"/>
      <c r="AX334" s="40"/>
      <c r="AY334" s="40"/>
      <c r="AZ334" s="40"/>
      <c r="BA334" s="40"/>
      <c r="BB334" s="40"/>
      <c r="BC334" s="40"/>
      <c r="BD334" s="40"/>
      <c r="BE334" s="40"/>
      <c r="BF334" s="40"/>
      <c r="BG334" s="40"/>
      <c r="BH334" s="40"/>
      <c r="BI334" s="40"/>
      <c r="BJ334" s="40"/>
      <c r="BK334" s="40"/>
      <c r="BL334" s="40"/>
      <c r="BM334" s="40"/>
      <c r="BN334" s="40"/>
      <c r="BO334" s="40"/>
      <c r="BP334" s="40"/>
      <c r="BQ334" s="40"/>
      <c r="BR334" s="40"/>
      <c r="BS334" s="40"/>
      <c r="BT334" s="40"/>
      <c r="BU334" s="40"/>
      <c r="BV334" s="40"/>
      <c r="BW334" s="40"/>
      <c r="BX334" s="40"/>
      <c r="BY334" s="40"/>
      <c r="BZ334" s="40"/>
      <c r="CA334" s="40"/>
      <c r="CB334" s="40"/>
      <c r="CC334" s="40"/>
      <c r="CD334" s="40"/>
      <c r="CE334" s="76">
        <f t="shared" si="16"/>
        <v>0</v>
      </c>
    </row>
    <row r="335" spans="1:83" s="5" customFormat="1" x14ac:dyDescent="0.25">
      <c r="A335" s="56" t="s">
        <v>130</v>
      </c>
      <c r="B335" s="75">
        <f t="shared" si="15"/>
        <v>0</v>
      </c>
      <c r="C335" s="67">
        <v>5</v>
      </c>
      <c r="D335" s="69">
        <v>44494</v>
      </c>
      <c r="E335" s="77">
        <v>66.75</v>
      </c>
      <c r="F335" s="77">
        <f t="shared" si="13"/>
        <v>0</v>
      </c>
      <c r="G335" s="75"/>
      <c r="H335" s="16"/>
      <c r="I335" s="16"/>
      <c r="J335" s="175"/>
      <c r="K335" s="16"/>
      <c r="L335" s="40"/>
      <c r="M335" s="40"/>
      <c r="N335" s="40"/>
      <c r="O335" s="40"/>
      <c r="P335" s="40"/>
      <c r="Q335" s="40"/>
      <c r="R335" s="40"/>
      <c r="S335" s="40"/>
      <c r="T335" s="40"/>
      <c r="U335" s="40"/>
      <c r="V335" s="40"/>
      <c r="W335" s="40"/>
      <c r="X335" s="40"/>
      <c r="Y335" s="40"/>
      <c r="Z335" s="40"/>
      <c r="AA335" s="40"/>
      <c r="AB335" s="40"/>
      <c r="AC335" s="40"/>
      <c r="AD335" s="40"/>
      <c r="AE335" s="40"/>
      <c r="AF335" s="40"/>
      <c r="AG335" s="40"/>
      <c r="AH335" s="40"/>
      <c r="AI335" s="40"/>
      <c r="AJ335" s="40"/>
      <c r="AK335" s="40"/>
      <c r="AL335" s="40"/>
      <c r="AM335" s="40"/>
      <c r="AN335" s="40"/>
      <c r="AO335" s="40"/>
      <c r="AP335" s="40"/>
      <c r="AQ335" s="40"/>
      <c r="AR335" s="40"/>
      <c r="AS335" s="40"/>
      <c r="AT335" s="40"/>
      <c r="AU335" s="40"/>
      <c r="AV335" s="40"/>
      <c r="AW335" s="40"/>
      <c r="AX335" s="40"/>
      <c r="AY335" s="40"/>
      <c r="AZ335" s="40"/>
      <c r="BA335" s="40"/>
      <c r="BB335" s="40"/>
      <c r="BC335" s="40"/>
      <c r="BD335" s="40"/>
      <c r="BE335" s="40"/>
      <c r="BF335" s="40"/>
      <c r="BG335" s="40"/>
      <c r="BH335" s="40"/>
      <c r="BI335" s="40"/>
      <c r="BJ335" s="40"/>
      <c r="BK335" s="40"/>
      <c r="BL335" s="40"/>
      <c r="BM335" s="40"/>
      <c r="BN335" s="40"/>
      <c r="BO335" s="40"/>
      <c r="BP335" s="40"/>
      <c r="BQ335" s="40"/>
      <c r="BR335" s="40"/>
      <c r="BS335" s="40"/>
      <c r="BT335" s="40"/>
      <c r="BU335" s="40"/>
      <c r="BV335" s="40"/>
      <c r="BW335" s="40"/>
      <c r="BX335" s="40"/>
      <c r="BY335" s="40"/>
      <c r="BZ335" s="40"/>
      <c r="CA335" s="40"/>
      <c r="CB335" s="40"/>
      <c r="CC335" s="40"/>
      <c r="CD335" s="40"/>
      <c r="CE335" s="76">
        <f t="shared" si="16"/>
        <v>0</v>
      </c>
    </row>
    <row r="336" spans="1:83" s="5" customFormat="1" x14ac:dyDescent="0.25">
      <c r="A336" s="56" t="s">
        <v>343</v>
      </c>
      <c r="B336" s="75">
        <f t="shared" si="15"/>
        <v>0</v>
      </c>
      <c r="C336" s="67">
        <v>1</v>
      </c>
      <c r="D336" s="69">
        <v>44494</v>
      </c>
      <c r="E336" s="77">
        <v>66.75</v>
      </c>
      <c r="F336" s="77">
        <f t="shared" si="13"/>
        <v>0</v>
      </c>
      <c r="G336" s="75"/>
      <c r="H336" s="16"/>
      <c r="I336" s="16"/>
      <c r="J336" s="175"/>
      <c r="K336" s="16"/>
      <c r="L336" s="40"/>
      <c r="M336" s="40"/>
      <c r="N336" s="40"/>
      <c r="O336" s="40"/>
      <c r="P336" s="40"/>
      <c r="Q336" s="40"/>
      <c r="R336" s="40"/>
      <c r="S336" s="40"/>
      <c r="T336" s="40"/>
      <c r="U336" s="40"/>
      <c r="V336" s="40"/>
      <c r="W336" s="40"/>
      <c r="X336" s="40"/>
      <c r="Y336" s="40"/>
      <c r="Z336" s="40"/>
      <c r="AA336" s="40"/>
      <c r="AB336" s="40"/>
      <c r="AC336" s="40"/>
      <c r="AD336" s="40"/>
      <c r="AE336" s="40"/>
      <c r="AF336" s="40"/>
      <c r="AG336" s="40"/>
      <c r="AH336" s="40"/>
      <c r="AI336" s="40"/>
      <c r="AJ336" s="40"/>
      <c r="AK336" s="40"/>
      <c r="AL336" s="40"/>
      <c r="AM336" s="40"/>
      <c r="AN336" s="40"/>
      <c r="AO336" s="40"/>
      <c r="AP336" s="40"/>
      <c r="AQ336" s="40"/>
      <c r="AR336" s="40"/>
      <c r="AS336" s="40"/>
      <c r="AT336" s="40"/>
      <c r="AU336" s="40"/>
      <c r="AV336" s="40"/>
      <c r="AW336" s="40"/>
      <c r="AX336" s="40"/>
      <c r="AY336" s="40"/>
      <c r="AZ336" s="40"/>
      <c r="BA336" s="40"/>
      <c r="BB336" s="40"/>
      <c r="BC336" s="40"/>
      <c r="BD336" s="40"/>
      <c r="BE336" s="40"/>
      <c r="BF336" s="40"/>
      <c r="BG336" s="40"/>
      <c r="BH336" s="40"/>
      <c r="BI336" s="40"/>
      <c r="BJ336" s="40"/>
      <c r="BK336" s="40"/>
      <c r="BL336" s="40"/>
      <c r="BM336" s="40"/>
      <c r="BN336" s="40"/>
      <c r="BO336" s="40"/>
      <c r="BP336" s="40"/>
      <c r="BQ336" s="40"/>
      <c r="BR336" s="40"/>
      <c r="BS336" s="40"/>
      <c r="BT336" s="40"/>
      <c r="BU336" s="40"/>
      <c r="BV336" s="40"/>
      <c r="BW336" s="40"/>
      <c r="BX336" s="40"/>
      <c r="BY336" s="40"/>
      <c r="BZ336" s="40"/>
      <c r="CA336" s="40"/>
      <c r="CB336" s="40"/>
      <c r="CC336" s="40"/>
      <c r="CD336" s="40"/>
      <c r="CE336" s="76">
        <f t="shared" si="16"/>
        <v>0</v>
      </c>
    </row>
    <row r="337" spans="1:83" s="5" customFormat="1" x14ac:dyDescent="0.25">
      <c r="A337" s="56" t="s">
        <v>489</v>
      </c>
      <c r="B337" s="75">
        <f t="shared" si="15"/>
        <v>0</v>
      </c>
      <c r="C337" s="67">
        <v>1</v>
      </c>
      <c r="D337" s="69">
        <v>44452</v>
      </c>
      <c r="E337" s="77">
        <v>69.040000000000006</v>
      </c>
      <c r="F337" s="77">
        <f t="shared" ref="F337:F373" si="17">E337*B337</f>
        <v>0</v>
      </c>
      <c r="G337" s="75"/>
      <c r="H337" s="16"/>
      <c r="I337" s="16"/>
      <c r="J337" s="175"/>
      <c r="K337" s="16"/>
      <c r="L337" s="40"/>
      <c r="M337" s="40"/>
      <c r="N337" s="40"/>
      <c r="O337" s="40"/>
      <c r="P337" s="40"/>
      <c r="Q337" s="40"/>
      <c r="R337" s="40"/>
      <c r="S337" s="40"/>
      <c r="T337" s="40"/>
      <c r="U337" s="40"/>
      <c r="V337" s="40"/>
      <c r="W337" s="40"/>
      <c r="X337" s="40"/>
      <c r="Y337" s="40"/>
      <c r="Z337" s="40"/>
      <c r="AA337" s="40"/>
      <c r="AB337" s="40"/>
      <c r="AC337" s="40"/>
      <c r="AD337" s="40"/>
      <c r="AE337" s="40"/>
      <c r="AF337" s="40"/>
      <c r="AG337" s="40"/>
      <c r="AH337" s="40"/>
      <c r="AI337" s="40"/>
      <c r="AJ337" s="40"/>
      <c r="AK337" s="40"/>
      <c r="AL337" s="40"/>
      <c r="AM337" s="40"/>
      <c r="AN337" s="40"/>
      <c r="AO337" s="40"/>
      <c r="AP337" s="40"/>
      <c r="AQ337" s="40"/>
      <c r="AR337" s="40"/>
      <c r="AS337" s="40"/>
      <c r="AT337" s="40"/>
      <c r="AU337" s="40"/>
      <c r="AV337" s="40"/>
      <c r="AW337" s="40"/>
      <c r="AX337" s="40"/>
      <c r="AY337" s="40"/>
      <c r="AZ337" s="40"/>
      <c r="BA337" s="40"/>
      <c r="BB337" s="40"/>
      <c r="BC337" s="40"/>
      <c r="BD337" s="40"/>
      <c r="BE337" s="40"/>
      <c r="BF337" s="40"/>
      <c r="BG337" s="40"/>
      <c r="BH337" s="40"/>
      <c r="BI337" s="40"/>
      <c r="BJ337" s="40"/>
      <c r="BK337" s="40"/>
      <c r="BL337" s="40"/>
      <c r="BM337" s="40"/>
      <c r="BN337" s="40"/>
      <c r="BO337" s="40"/>
      <c r="BP337" s="40"/>
      <c r="BQ337" s="40"/>
      <c r="BR337" s="40"/>
      <c r="BS337" s="40"/>
      <c r="BT337" s="40"/>
      <c r="BU337" s="40"/>
      <c r="BV337" s="40"/>
      <c r="BW337" s="40"/>
      <c r="BX337" s="40"/>
      <c r="BY337" s="40"/>
      <c r="BZ337" s="40"/>
      <c r="CA337" s="40"/>
      <c r="CB337" s="40"/>
      <c r="CC337" s="40"/>
      <c r="CD337" s="40"/>
      <c r="CE337" s="76">
        <f t="shared" si="16"/>
        <v>0</v>
      </c>
    </row>
    <row r="338" spans="1:83" s="5" customFormat="1" x14ac:dyDescent="0.25">
      <c r="A338" s="56" t="s">
        <v>127</v>
      </c>
      <c r="B338" s="75">
        <f t="shared" si="15"/>
        <v>0</v>
      </c>
      <c r="C338" s="67">
        <v>5</v>
      </c>
      <c r="D338" s="70">
        <v>44557</v>
      </c>
      <c r="E338" s="77">
        <v>129.47</v>
      </c>
      <c r="F338" s="77">
        <f t="shared" si="17"/>
        <v>0</v>
      </c>
      <c r="G338" s="75"/>
      <c r="H338" s="16"/>
      <c r="I338" s="16"/>
      <c r="J338" s="175"/>
      <c r="K338" s="16"/>
      <c r="L338" s="40"/>
      <c r="M338" s="40"/>
      <c r="N338" s="40"/>
      <c r="O338" s="40"/>
      <c r="P338" s="40"/>
      <c r="Q338" s="40"/>
      <c r="R338" s="40"/>
      <c r="S338" s="40"/>
      <c r="T338" s="40"/>
      <c r="U338" s="40"/>
      <c r="V338" s="40"/>
      <c r="W338" s="40"/>
      <c r="X338" s="40"/>
      <c r="Y338" s="40"/>
      <c r="Z338" s="40"/>
      <c r="AA338" s="40"/>
      <c r="AB338" s="40"/>
      <c r="AC338" s="40"/>
      <c r="AD338" s="40"/>
      <c r="AE338" s="40"/>
      <c r="AF338" s="40"/>
      <c r="AG338" s="40"/>
      <c r="AH338" s="40"/>
      <c r="AI338" s="40"/>
      <c r="AJ338" s="40"/>
      <c r="AK338" s="40"/>
      <c r="AL338" s="40"/>
      <c r="AM338" s="40"/>
      <c r="AN338" s="40"/>
      <c r="AO338" s="40"/>
      <c r="AP338" s="40"/>
      <c r="AQ338" s="40"/>
      <c r="AR338" s="40"/>
      <c r="AS338" s="40"/>
      <c r="AT338" s="40"/>
      <c r="AU338" s="40"/>
      <c r="AV338" s="40"/>
      <c r="AW338" s="40"/>
      <c r="AX338" s="40"/>
      <c r="AY338" s="40"/>
      <c r="AZ338" s="40"/>
      <c r="BA338" s="40"/>
      <c r="BB338" s="40"/>
      <c r="BC338" s="40"/>
      <c r="BD338" s="40"/>
      <c r="BE338" s="40"/>
      <c r="BF338" s="40"/>
      <c r="BG338" s="40"/>
      <c r="BH338" s="40"/>
      <c r="BI338" s="40"/>
      <c r="BJ338" s="40"/>
      <c r="BK338" s="40"/>
      <c r="BL338" s="40"/>
      <c r="BM338" s="40"/>
      <c r="BN338" s="40"/>
      <c r="BO338" s="40"/>
      <c r="BP338" s="40"/>
      <c r="BQ338" s="40"/>
      <c r="BR338" s="40"/>
      <c r="BS338" s="40"/>
      <c r="BT338" s="40"/>
      <c r="BU338" s="40"/>
      <c r="BV338" s="40"/>
      <c r="BW338" s="40"/>
      <c r="BX338" s="40"/>
      <c r="BY338" s="40"/>
      <c r="BZ338" s="40"/>
      <c r="CA338" s="40"/>
      <c r="CB338" s="40"/>
      <c r="CC338" s="40"/>
      <c r="CD338" s="40"/>
      <c r="CE338" s="76">
        <f t="shared" si="16"/>
        <v>0</v>
      </c>
    </row>
    <row r="339" spans="1:83" s="5" customFormat="1" ht="12" customHeight="1" x14ac:dyDescent="0.25">
      <c r="A339" s="45" t="s">
        <v>96</v>
      </c>
      <c r="B339" s="75">
        <f t="shared" si="15"/>
        <v>0</v>
      </c>
      <c r="C339" s="67">
        <v>5</v>
      </c>
      <c r="D339" s="70">
        <v>44348</v>
      </c>
      <c r="E339" s="77">
        <v>130.04</v>
      </c>
      <c r="F339" s="77">
        <f t="shared" si="17"/>
        <v>0</v>
      </c>
      <c r="G339" s="75"/>
      <c r="H339" s="16"/>
      <c r="I339" s="16"/>
      <c r="J339" s="175"/>
      <c r="K339" s="16"/>
      <c r="L339" s="40"/>
      <c r="M339" s="40"/>
      <c r="N339" s="40"/>
      <c r="O339" s="40"/>
      <c r="P339" s="40"/>
      <c r="Q339" s="40"/>
      <c r="R339" s="40"/>
      <c r="S339" s="40"/>
      <c r="T339" s="40"/>
      <c r="U339" s="40"/>
      <c r="V339" s="40"/>
      <c r="W339" s="40"/>
      <c r="X339" s="40"/>
      <c r="Y339" s="40"/>
      <c r="Z339" s="40"/>
      <c r="AA339" s="40"/>
      <c r="AB339" s="40"/>
      <c r="AC339" s="40"/>
      <c r="AD339" s="40"/>
      <c r="AE339" s="40"/>
      <c r="AF339" s="40"/>
      <c r="AG339" s="40"/>
      <c r="AH339" s="40"/>
      <c r="AI339" s="40"/>
      <c r="AJ339" s="40"/>
      <c r="AK339" s="40"/>
      <c r="AL339" s="40"/>
      <c r="AM339" s="40"/>
      <c r="AN339" s="40"/>
      <c r="AO339" s="40"/>
      <c r="AP339" s="40"/>
      <c r="AQ339" s="40"/>
      <c r="AR339" s="40"/>
      <c r="AS339" s="40"/>
      <c r="AT339" s="40"/>
      <c r="AU339" s="40"/>
      <c r="AV339" s="40"/>
      <c r="AW339" s="40"/>
      <c r="AX339" s="40"/>
      <c r="AY339" s="40"/>
      <c r="AZ339" s="40"/>
      <c r="BA339" s="40"/>
      <c r="BB339" s="40"/>
      <c r="BC339" s="40"/>
      <c r="BD339" s="40"/>
      <c r="BE339" s="40"/>
      <c r="BF339" s="40"/>
      <c r="BG339" s="40"/>
      <c r="BH339" s="40"/>
      <c r="BI339" s="40"/>
      <c r="BJ339" s="40"/>
      <c r="BK339" s="40"/>
      <c r="BL339" s="40"/>
      <c r="BM339" s="40"/>
      <c r="BN339" s="40"/>
      <c r="BO339" s="40"/>
      <c r="BP339" s="40"/>
      <c r="BQ339" s="40"/>
      <c r="BR339" s="40"/>
      <c r="BS339" s="40"/>
      <c r="BT339" s="40"/>
      <c r="BU339" s="40"/>
      <c r="BV339" s="40"/>
      <c r="BW339" s="40"/>
      <c r="BX339" s="40"/>
      <c r="BY339" s="40"/>
      <c r="BZ339" s="40"/>
      <c r="CA339" s="40"/>
      <c r="CB339" s="40"/>
      <c r="CC339" s="40"/>
      <c r="CD339" s="40"/>
      <c r="CE339" s="76">
        <f t="shared" si="16"/>
        <v>0</v>
      </c>
    </row>
    <row r="340" spans="1:83" s="5" customFormat="1" ht="12" customHeight="1" x14ac:dyDescent="0.25">
      <c r="A340" s="45" t="s">
        <v>210</v>
      </c>
      <c r="B340" s="75">
        <f t="shared" si="15"/>
        <v>0</v>
      </c>
      <c r="C340" s="67">
        <v>1</v>
      </c>
      <c r="D340" s="70">
        <v>44431</v>
      </c>
      <c r="E340" s="77">
        <v>56.97</v>
      </c>
      <c r="F340" s="77">
        <f t="shared" si="17"/>
        <v>0</v>
      </c>
      <c r="G340" s="75"/>
      <c r="H340" s="16"/>
      <c r="I340" s="16"/>
      <c r="J340" s="175"/>
      <c r="K340" s="16"/>
      <c r="L340" s="40"/>
      <c r="M340" s="40"/>
      <c r="N340" s="40"/>
      <c r="O340" s="40"/>
      <c r="P340" s="40"/>
      <c r="Q340" s="40"/>
      <c r="R340" s="40"/>
      <c r="S340" s="40"/>
      <c r="T340" s="40"/>
      <c r="U340" s="40"/>
      <c r="V340" s="40"/>
      <c r="W340" s="40"/>
      <c r="X340" s="40"/>
      <c r="Y340" s="40"/>
      <c r="Z340" s="40"/>
      <c r="AA340" s="40"/>
      <c r="AB340" s="40"/>
      <c r="AC340" s="40"/>
      <c r="AD340" s="40"/>
      <c r="AE340" s="40"/>
      <c r="AF340" s="40"/>
      <c r="AG340" s="40"/>
      <c r="AH340" s="40"/>
      <c r="AI340" s="40"/>
      <c r="AJ340" s="40"/>
      <c r="AK340" s="40"/>
      <c r="AL340" s="40"/>
      <c r="AM340" s="40"/>
      <c r="AN340" s="40"/>
      <c r="AO340" s="40"/>
      <c r="AP340" s="40"/>
      <c r="AQ340" s="40"/>
      <c r="AR340" s="40"/>
      <c r="AS340" s="40"/>
      <c r="AT340" s="40"/>
      <c r="AU340" s="40"/>
      <c r="AV340" s="40"/>
      <c r="AW340" s="40"/>
      <c r="AX340" s="40"/>
      <c r="AY340" s="40"/>
      <c r="AZ340" s="40"/>
      <c r="BA340" s="40"/>
      <c r="BB340" s="40"/>
      <c r="BC340" s="40"/>
      <c r="BD340" s="40"/>
      <c r="BE340" s="40"/>
      <c r="BF340" s="40"/>
      <c r="BG340" s="40"/>
      <c r="BH340" s="40"/>
      <c r="BI340" s="40"/>
      <c r="BJ340" s="40"/>
      <c r="BK340" s="40"/>
      <c r="BL340" s="40"/>
      <c r="BM340" s="40"/>
      <c r="BN340" s="40"/>
      <c r="BO340" s="40"/>
      <c r="BP340" s="40"/>
      <c r="BQ340" s="40"/>
      <c r="BR340" s="40"/>
      <c r="BS340" s="40"/>
      <c r="BT340" s="40"/>
      <c r="BU340" s="40"/>
      <c r="BV340" s="40"/>
      <c r="BW340" s="40"/>
      <c r="BX340" s="40"/>
      <c r="BY340" s="40"/>
      <c r="BZ340" s="40"/>
      <c r="CA340" s="40"/>
      <c r="CB340" s="40"/>
      <c r="CC340" s="40"/>
      <c r="CD340" s="40"/>
      <c r="CE340" s="76">
        <f t="shared" si="16"/>
        <v>0</v>
      </c>
    </row>
    <row r="341" spans="1:83" s="5" customFormat="1" x14ac:dyDescent="0.25">
      <c r="A341" s="45" t="s">
        <v>444</v>
      </c>
      <c r="B341" s="75">
        <f t="shared" si="15"/>
        <v>0</v>
      </c>
      <c r="C341" s="67">
        <v>1</v>
      </c>
      <c r="D341" s="70">
        <v>44249</v>
      </c>
      <c r="E341" s="77">
        <v>110.07</v>
      </c>
      <c r="F341" s="77">
        <f t="shared" si="17"/>
        <v>0</v>
      </c>
      <c r="G341" s="75"/>
      <c r="H341" s="16"/>
      <c r="I341" s="16"/>
      <c r="J341" s="175"/>
      <c r="K341" s="16"/>
      <c r="L341" s="40"/>
      <c r="M341" s="40"/>
      <c r="N341" s="40"/>
      <c r="O341" s="40"/>
      <c r="P341" s="40"/>
      <c r="Q341" s="40"/>
      <c r="R341" s="40"/>
      <c r="S341" s="40"/>
      <c r="T341" s="40"/>
      <c r="U341" s="40"/>
      <c r="V341" s="40"/>
      <c r="W341" s="40"/>
      <c r="X341" s="40"/>
      <c r="Y341" s="40"/>
      <c r="Z341" s="40"/>
      <c r="AA341" s="40"/>
      <c r="AB341" s="40"/>
      <c r="AC341" s="40"/>
      <c r="AD341" s="40"/>
      <c r="AE341" s="40"/>
      <c r="AF341" s="40"/>
      <c r="AG341" s="40"/>
      <c r="AH341" s="40"/>
      <c r="AI341" s="40"/>
      <c r="AJ341" s="40"/>
      <c r="AK341" s="40"/>
      <c r="AL341" s="40"/>
      <c r="AM341" s="40"/>
      <c r="AN341" s="40"/>
      <c r="AO341" s="40"/>
      <c r="AP341" s="40"/>
      <c r="AQ341" s="40"/>
      <c r="AR341" s="40"/>
      <c r="AS341" s="40"/>
      <c r="AT341" s="40"/>
      <c r="AU341" s="40"/>
      <c r="AV341" s="40"/>
      <c r="AW341" s="40"/>
      <c r="AX341" s="40"/>
      <c r="AY341" s="40"/>
      <c r="AZ341" s="40"/>
      <c r="BA341" s="40"/>
      <c r="BB341" s="40"/>
      <c r="BC341" s="40"/>
      <c r="BD341" s="40"/>
      <c r="BE341" s="40"/>
      <c r="BF341" s="40"/>
      <c r="BG341" s="40"/>
      <c r="BH341" s="40"/>
      <c r="BI341" s="40"/>
      <c r="BJ341" s="40"/>
      <c r="BK341" s="40"/>
      <c r="BL341" s="40"/>
      <c r="BM341" s="40"/>
      <c r="BN341" s="40"/>
      <c r="BO341" s="40"/>
      <c r="BP341" s="40"/>
      <c r="BQ341" s="40"/>
      <c r="BR341" s="40"/>
      <c r="BS341" s="40"/>
      <c r="BT341" s="40"/>
      <c r="BU341" s="40"/>
      <c r="BV341" s="40"/>
      <c r="BW341" s="40"/>
      <c r="BX341" s="40"/>
      <c r="BY341" s="40"/>
      <c r="BZ341" s="40"/>
      <c r="CA341" s="40"/>
      <c r="CB341" s="40"/>
      <c r="CC341" s="40"/>
      <c r="CD341" s="40"/>
      <c r="CE341" s="76">
        <f t="shared" si="16"/>
        <v>0</v>
      </c>
    </row>
    <row r="342" spans="1:83" s="5" customFormat="1" ht="12" customHeight="1" x14ac:dyDescent="0.25">
      <c r="A342" s="45" t="s">
        <v>574</v>
      </c>
      <c r="B342" s="75">
        <f t="shared" si="15"/>
        <v>0</v>
      </c>
      <c r="C342" s="67">
        <v>1</v>
      </c>
      <c r="D342" s="70">
        <v>44585</v>
      </c>
      <c r="E342" s="77">
        <v>67.900000000000006</v>
      </c>
      <c r="F342" s="77">
        <f t="shared" si="17"/>
        <v>0</v>
      </c>
      <c r="G342" s="75"/>
      <c r="H342" s="16"/>
      <c r="I342" s="16"/>
      <c r="J342" s="175"/>
      <c r="K342" s="16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  <c r="AQ342" s="40"/>
      <c r="AR342" s="40"/>
      <c r="AS342" s="40"/>
      <c r="AT342" s="40"/>
      <c r="AU342" s="40"/>
      <c r="AV342" s="40"/>
      <c r="AW342" s="40"/>
      <c r="AX342" s="40"/>
      <c r="AY342" s="40"/>
      <c r="AZ342" s="40"/>
      <c r="BA342" s="40"/>
      <c r="BB342" s="40"/>
      <c r="BC342" s="40"/>
      <c r="BD342" s="40"/>
      <c r="BE342" s="40"/>
      <c r="BF342" s="40">
        <v>4</v>
      </c>
      <c r="BG342" s="40"/>
      <c r="BH342" s="40"/>
      <c r="BI342" s="40"/>
      <c r="BJ342" s="40"/>
      <c r="BK342" s="40"/>
      <c r="BL342" s="40"/>
      <c r="BM342" s="40"/>
      <c r="BN342" s="40"/>
      <c r="BO342" s="40">
        <v>4</v>
      </c>
      <c r="BP342" s="40"/>
      <c r="BQ342" s="40"/>
      <c r="BR342" s="40"/>
      <c r="BS342" s="40"/>
      <c r="BT342" s="40"/>
      <c r="BU342" s="40"/>
      <c r="BV342" s="40"/>
      <c r="BW342" s="40"/>
      <c r="BX342" s="40"/>
      <c r="BY342" s="40"/>
      <c r="BZ342" s="40"/>
      <c r="CA342" s="40"/>
      <c r="CB342" s="40"/>
      <c r="CC342" s="40"/>
      <c r="CD342" s="40"/>
      <c r="CE342" s="76">
        <f t="shared" si="16"/>
        <v>0</v>
      </c>
    </row>
    <row r="343" spans="1:83" s="5" customFormat="1" x14ac:dyDescent="0.25">
      <c r="A343" s="56" t="s">
        <v>106</v>
      </c>
      <c r="B343" s="75">
        <f t="shared" si="15"/>
        <v>0</v>
      </c>
      <c r="C343" s="67">
        <v>1</v>
      </c>
      <c r="D343" s="69">
        <v>44375</v>
      </c>
      <c r="E343" s="114">
        <v>30.97</v>
      </c>
      <c r="F343" s="77">
        <f t="shared" si="17"/>
        <v>0</v>
      </c>
      <c r="G343" s="75"/>
      <c r="H343" s="16"/>
      <c r="I343" s="16"/>
      <c r="J343" s="175"/>
      <c r="K343" s="16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  <c r="AQ343" s="40"/>
      <c r="AR343" s="40"/>
      <c r="AS343" s="40"/>
      <c r="AT343" s="40"/>
      <c r="AU343" s="40"/>
      <c r="AV343" s="40"/>
      <c r="AW343" s="40"/>
      <c r="AX343" s="40"/>
      <c r="AY343" s="40"/>
      <c r="AZ343" s="40"/>
      <c r="BA343" s="40"/>
      <c r="BB343" s="40"/>
      <c r="BC343" s="40"/>
      <c r="BD343" s="40"/>
      <c r="BE343" s="40"/>
      <c r="BF343" s="40"/>
      <c r="BG343" s="40"/>
      <c r="BH343" s="40"/>
      <c r="BI343" s="40"/>
      <c r="BJ343" s="40"/>
      <c r="BK343" s="40"/>
      <c r="BL343" s="40"/>
      <c r="BM343" s="40"/>
      <c r="BN343" s="40"/>
      <c r="BO343" s="40"/>
      <c r="BP343" s="40"/>
      <c r="BQ343" s="40"/>
      <c r="BR343" s="40"/>
      <c r="BS343" s="40"/>
      <c r="BT343" s="40"/>
      <c r="BU343" s="40"/>
      <c r="BV343" s="40"/>
      <c r="BW343" s="40"/>
      <c r="BX343" s="40"/>
      <c r="BY343" s="40"/>
      <c r="BZ343" s="40"/>
      <c r="CA343" s="40"/>
      <c r="CB343" s="40"/>
      <c r="CC343" s="40"/>
      <c r="CD343" s="40"/>
      <c r="CE343" s="76">
        <f t="shared" si="16"/>
        <v>0</v>
      </c>
    </row>
    <row r="344" spans="1:83" s="5" customFormat="1" x14ac:dyDescent="0.25">
      <c r="A344" s="56" t="s">
        <v>491</v>
      </c>
      <c r="B344" s="75">
        <f t="shared" si="15"/>
        <v>0</v>
      </c>
      <c r="C344" s="67">
        <v>10</v>
      </c>
      <c r="D344" s="69">
        <v>44452</v>
      </c>
      <c r="E344" s="114">
        <v>16.57</v>
      </c>
      <c r="F344" s="77">
        <f t="shared" si="17"/>
        <v>0</v>
      </c>
      <c r="G344" s="75"/>
      <c r="H344" s="16"/>
      <c r="I344" s="16"/>
      <c r="J344" s="175"/>
      <c r="K344" s="16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  <c r="AQ344" s="40"/>
      <c r="AR344" s="40"/>
      <c r="AS344" s="40"/>
      <c r="AT344" s="40"/>
      <c r="AU344" s="40"/>
      <c r="AV344" s="40"/>
      <c r="AW344" s="40"/>
      <c r="AX344" s="40"/>
      <c r="AY344" s="40"/>
      <c r="AZ344" s="40"/>
      <c r="BA344" s="40"/>
      <c r="BB344" s="40"/>
      <c r="BC344" s="40"/>
      <c r="BD344" s="40"/>
      <c r="BE344" s="40"/>
      <c r="BF344" s="40"/>
      <c r="BG344" s="40"/>
      <c r="BH344" s="40"/>
      <c r="BI344" s="40"/>
      <c r="BJ344" s="40"/>
      <c r="BK344" s="40"/>
      <c r="BL344" s="40"/>
      <c r="BM344" s="40"/>
      <c r="BN344" s="40"/>
      <c r="BO344" s="40"/>
      <c r="BP344" s="40"/>
      <c r="BQ344" s="40"/>
      <c r="BR344" s="40"/>
      <c r="BS344" s="40"/>
      <c r="BT344" s="40"/>
      <c r="BU344" s="40"/>
      <c r="BV344" s="40"/>
      <c r="BW344" s="40"/>
      <c r="BX344" s="40"/>
      <c r="BY344" s="40"/>
      <c r="BZ344" s="40"/>
      <c r="CA344" s="40"/>
      <c r="CB344" s="40"/>
      <c r="CC344" s="40"/>
      <c r="CD344" s="40"/>
      <c r="CE344" s="76">
        <f t="shared" si="16"/>
        <v>0</v>
      </c>
    </row>
    <row r="345" spans="1:83" s="5" customFormat="1" x14ac:dyDescent="0.25">
      <c r="A345" s="45" t="s">
        <v>186</v>
      </c>
      <c r="B345" s="75">
        <f t="shared" si="15"/>
        <v>0</v>
      </c>
      <c r="C345" s="67">
        <v>1</v>
      </c>
      <c r="D345" s="69">
        <v>44466</v>
      </c>
      <c r="E345" s="77">
        <v>122.17</v>
      </c>
      <c r="F345" s="77">
        <f t="shared" si="17"/>
        <v>0</v>
      </c>
      <c r="G345" s="75"/>
      <c r="H345" s="16"/>
      <c r="I345" s="16"/>
      <c r="J345" s="175"/>
      <c r="K345" s="16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  <c r="AQ345" s="40"/>
      <c r="AR345" s="40"/>
      <c r="AS345" s="40"/>
      <c r="AT345" s="40"/>
      <c r="AU345" s="40"/>
      <c r="AV345" s="40"/>
      <c r="AW345" s="40"/>
      <c r="AX345" s="40"/>
      <c r="AY345" s="40"/>
      <c r="AZ345" s="40"/>
      <c r="BA345" s="40"/>
      <c r="BB345" s="40"/>
      <c r="BC345" s="40"/>
      <c r="BD345" s="40"/>
      <c r="BE345" s="40"/>
      <c r="BF345" s="40"/>
      <c r="BG345" s="40"/>
      <c r="BH345" s="40"/>
      <c r="BI345" s="40"/>
      <c r="BJ345" s="40"/>
      <c r="BK345" s="40"/>
      <c r="BL345" s="40"/>
      <c r="BM345" s="40"/>
      <c r="BN345" s="40"/>
      <c r="BO345" s="40"/>
      <c r="BP345" s="40"/>
      <c r="BQ345" s="40"/>
      <c r="BR345" s="40"/>
      <c r="BS345" s="40"/>
      <c r="BT345" s="40"/>
      <c r="BU345" s="40"/>
      <c r="BV345" s="40"/>
      <c r="BW345" s="40"/>
      <c r="BX345" s="40"/>
      <c r="BY345" s="40"/>
      <c r="BZ345" s="40"/>
      <c r="CA345" s="40"/>
      <c r="CB345" s="40"/>
      <c r="CC345" s="40"/>
      <c r="CD345" s="40"/>
      <c r="CE345" s="76">
        <f t="shared" si="16"/>
        <v>0</v>
      </c>
    </row>
    <row r="346" spans="1:83" s="5" customFormat="1" x14ac:dyDescent="0.25">
      <c r="A346" s="56" t="s">
        <v>105</v>
      </c>
      <c r="B346" s="75">
        <f t="shared" si="15"/>
        <v>0</v>
      </c>
      <c r="C346" s="67">
        <v>1</v>
      </c>
      <c r="D346" s="69">
        <v>44431</v>
      </c>
      <c r="E346" s="77">
        <v>25.72</v>
      </c>
      <c r="F346" s="77">
        <f t="shared" si="17"/>
        <v>0</v>
      </c>
      <c r="G346" s="75"/>
      <c r="H346" s="16"/>
      <c r="I346" s="16"/>
      <c r="J346" s="175"/>
      <c r="K346" s="16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  <c r="AQ346" s="40"/>
      <c r="AR346" s="40"/>
      <c r="AS346" s="40"/>
      <c r="AT346" s="40"/>
      <c r="AU346" s="40"/>
      <c r="AV346" s="40"/>
      <c r="AW346" s="40"/>
      <c r="AX346" s="40"/>
      <c r="AY346" s="40"/>
      <c r="AZ346" s="40"/>
      <c r="BA346" s="40"/>
      <c r="BB346" s="40"/>
      <c r="BC346" s="40"/>
      <c r="BD346" s="40"/>
      <c r="BE346" s="40"/>
      <c r="BF346" s="40"/>
      <c r="BG346" s="40"/>
      <c r="BH346" s="40"/>
      <c r="BI346" s="40"/>
      <c r="BJ346" s="40"/>
      <c r="BK346" s="40"/>
      <c r="BL346" s="40"/>
      <c r="BM346" s="40"/>
      <c r="BN346" s="40"/>
      <c r="BO346" s="40"/>
      <c r="BP346" s="40"/>
      <c r="BQ346" s="40"/>
      <c r="BR346" s="40"/>
      <c r="BS346" s="40"/>
      <c r="BT346" s="40"/>
      <c r="BU346" s="40"/>
      <c r="BV346" s="40"/>
      <c r="BW346" s="40"/>
      <c r="BX346" s="40"/>
      <c r="BY346" s="40"/>
      <c r="BZ346" s="40"/>
      <c r="CA346" s="40"/>
      <c r="CB346" s="40"/>
      <c r="CC346" s="40"/>
      <c r="CD346" s="40"/>
      <c r="CE346" s="76">
        <f t="shared" si="16"/>
        <v>0</v>
      </c>
    </row>
    <row r="347" spans="1:83" s="5" customFormat="1" x14ac:dyDescent="0.25">
      <c r="A347" s="56" t="s">
        <v>104</v>
      </c>
      <c r="B347" s="75">
        <f t="shared" si="15"/>
        <v>0</v>
      </c>
      <c r="C347" s="67">
        <v>1</v>
      </c>
      <c r="D347" s="68">
        <v>44557</v>
      </c>
      <c r="E347" s="77">
        <v>67.23</v>
      </c>
      <c r="F347" s="77">
        <f t="shared" si="17"/>
        <v>0</v>
      </c>
      <c r="G347" s="75"/>
      <c r="H347" s="16"/>
      <c r="I347" s="16"/>
      <c r="J347" s="175"/>
      <c r="K347" s="16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  <c r="AQ347" s="40"/>
      <c r="AR347" s="40"/>
      <c r="AS347" s="40"/>
      <c r="AT347" s="40"/>
      <c r="AU347" s="40"/>
      <c r="AV347" s="40"/>
      <c r="AW347" s="40"/>
      <c r="AX347" s="40"/>
      <c r="AY347" s="40"/>
      <c r="AZ347" s="40"/>
      <c r="BA347" s="40"/>
      <c r="BB347" s="40"/>
      <c r="BC347" s="40"/>
      <c r="BD347" s="40"/>
      <c r="BE347" s="40"/>
      <c r="BF347" s="40"/>
      <c r="BG347" s="40"/>
      <c r="BH347" s="40"/>
      <c r="BI347" s="40"/>
      <c r="BJ347" s="40"/>
      <c r="BK347" s="40"/>
      <c r="BL347" s="40"/>
      <c r="BM347" s="40"/>
      <c r="BN347" s="40"/>
      <c r="BO347" s="40"/>
      <c r="BP347" s="40"/>
      <c r="BQ347" s="40"/>
      <c r="BR347" s="40"/>
      <c r="BS347" s="40"/>
      <c r="BT347" s="40"/>
      <c r="BU347" s="40"/>
      <c r="BV347" s="40"/>
      <c r="BW347" s="40"/>
      <c r="BX347" s="40"/>
      <c r="BY347" s="40"/>
      <c r="BZ347" s="40"/>
      <c r="CA347" s="40"/>
      <c r="CB347" s="40"/>
      <c r="CC347" s="40"/>
      <c r="CD347" s="40"/>
      <c r="CE347" s="76">
        <f t="shared" si="16"/>
        <v>0</v>
      </c>
    </row>
    <row r="348" spans="1:83" s="5" customFormat="1" x14ac:dyDescent="0.25">
      <c r="A348" s="56" t="s">
        <v>103</v>
      </c>
      <c r="B348" s="75">
        <f t="shared" si="15"/>
        <v>0</v>
      </c>
      <c r="C348" s="67">
        <v>1</v>
      </c>
      <c r="D348" s="68">
        <v>44585</v>
      </c>
      <c r="E348" s="77">
        <v>111.19</v>
      </c>
      <c r="F348" s="77">
        <f t="shared" si="17"/>
        <v>0</v>
      </c>
      <c r="G348" s="75"/>
      <c r="H348" s="16"/>
      <c r="I348" s="16"/>
      <c r="J348" s="175"/>
      <c r="K348" s="16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  <c r="AQ348" s="40"/>
      <c r="AR348" s="40"/>
      <c r="AS348" s="40"/>
      <c r="AT348" s="40"/>
      <c r="AU348" s="40"/>
      <c r="AV348" s="40"/>
      <c r="AW348" s="40"/>
      <c r="AX348" s="40"/>
      <c r="AY348" s="40"/>
      <c r="AZ348" s="40"/>
      <c r="BA348" s="40"/>
      <c r="BB348" s="40"/>
      <c r="BC348" s="40"/>
      <c r="BD348" s="40"/>
      <c r="BE348" s="40"/>
      <c r="BF348" s="40">
        <v>2</v>
      </c>
      <c r="BG348" s="40"/>
      <c r="BH348" s="40"/>
      <c r="BI348" s="40"/>
      <c r="BJ348" s="40"/>
      <c r="BK348" s="40"/>
      <c r="BL348" s="40"/>
      <c r="BM348" s="40"/>
      <c r="BN348" s="40"/>
      <c r="BO348" s="40"/>
      <c r="BP348" s="40"/>
      <c r="BQ348" s="40"/>
      <c r="BR348" s="40"/>
      <c r="BS348" s="40"/>
      <c r="BT348" s="40"/>
      <c r="BU348" s="40"/>
      <c r="BV348" s="40"/>
      <c r="BW348" s="40"/>
      <c r="BX348" s="40"/>
      <c r="BY348" s="40"/>
      <c r="BZ348" s="40">
        <v>2</v>
      </c>
      <c r="CA348" s="40"/>
      <c r="CB348" s="40"/>
      <c r="CC348" s="40"/>
      <c r="CD348" s="40"/>
      <c r="CE348" s="76">
        <f t="shared" si="16"/>
        <v>0</v>
      </c>
    </row>
    <row r="349" spans="1:83" s="5" customFormat="1" x14ac:dyDescent="0.25">
      <c r="A349" s="56" t="s">
        <v>300</v>
      </c>
      <c r="B349" s="75">
        <f t="shared" si="15"/>
        <v>0</v>
      </c>
      <c r="C349" s="67">
        <v>5</v>
      </c>
      <c r="D349" s="68">
        <v>44557</v>
      </c>
      <c r="E349" s="77">
        <v>146.66999999999999</v>
      </c>
      <c r="F349" s="77">
        <f t="shared" si="17"/>
        <v>0</v>
      </c>
      <c r="G349" s="75"/>
      <c r="H349" s="16"/>
      <c r="I349" s="16"/>
      <c r="J349" s="175"/>
      <c r="K349" s="16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  <c r="AQ349" s="40"/>
      <c r="AR349" s="40"/>
      <c r="AS349" s="40"/>
      <c r="AT349" s="40"/>
      <c r="AU349" s="40"/>
      <c r="AV349" s="40"/>
      <c r="AW349" s="40"/>
      <c r="AX349" s="40"/>
      <c r="AY349" s="40"/>
      <c r="AZ349" s="40"/>
      <c r="BA349" s="40"/>
      <c r="BB349" s="40"/>
      <c r="BC349" s="40"/>
      <c r="BD349" s="40"/>
      <c r="BE349" s="40"/>
      <c r="BF349" s="40"/>
      <c r="BG349" s="40"/>
      <c r="BH349" s="40"/>
      <c r="BI349" s="40"/>
      <c r="BJ349" s="40"/>
      <c r="BK349" s="40"/>
      <c r="BL349" s="40"/>
      <c r="BM349" s="40"/>
      <c r="BN349" s="40"/>
      <c r="BO349" s="40"/>
      <c r="BP349" s="40"/>
      <c r="BQ349" s="40"/>
      <c r="BR349" s="40"/>
      <c r="BS349" s="40"/>
      <c r="BT349" s="40"/>
      <c r="BU349" s="40"/>
      <c r="BV349" s="40"/>
      <c r="BW349" s="40"/>
      <c r="BX349" s="40"/>
      <c r="BY349" s="40"/>
      <c r="BZ349" s="40"/>
      <c r="CA349" s="40"/>
      <c r="CB349" s="40"/>
      <c r="CC349" s="40"/>
      <c r="CD349" s="40"/>
      <c r="CE349" s="76">
        <f t="shared" si="16"/>
        <v>0</v>
      </c>
    </row>
    <row r="350" spans="1:83" s="5" customFormat="1" x14ac:dyDescent="0.25">
      <c r="A350" s="56" t="s">
        <v>120</v>
      </c>
      <c r="B350" s="75">
        <f t="shared" si="15"/>
        <v>0</v>
      </c>
      <c r="C350" s="67">
        <v>1</v>
      </c>
      <c r="D350" s="68">
        <v>44532</v>
      </c>
      <c r="E350" s="77">
        <v>47.53</v>
      </c>
      <c r="F350" s="77">
        <f t="shared" si="17"/>
        <v>0</v>
      </c>
      <c r="G350" s="75"/>
      <c r="H350" s="16"/>
      <c r="I350" s="16"/>
      <c r="J350" s="175"/>
      <c r="K350" s="16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  <c r="AQ350" s="40"/>
      <c r="AR350" s="40"/>
      <c r="AS350" s="40"/>
      <c r="AT350" s="40"/>
      <c r="AU350" s="40"/>
      <c r="AV350" s="40"/>
      <c r="AW350" s="40"/>
      <c r="AX350" s="40"/>
      <c r="AY350" s="40"/>
      <c r="AZ350" s="40"/>
      <c r="BA350" s="40"/>
      <c r="BB350" s="40"/>
      <c r="BC350" s="40"/>
      <c r="BD350" s="40"/>
      <c r="BE350" s="40"/>
      <c r="BF350" s="40"/>
      <c r="BG350" s="40"/>
      <c r="BH350" s="40"/>
      <c r="BI350" s="40"/>
      <c r="BJ350" s="40"/>
      <c r="BK350" s="40"/>
      <c r="BL350" s="40"/>
      <c r="BM350" s="40"/>
      <c r="BN350" s="40"/>
      <c r="BO350" s="40"/>
      <c r="BP350" s="40"/>
      <c r="BQ350" s="40"/>
      <c r="BR350" s="40"/>
      <c r="BS350" s="40"/>
      <c r="BT350" s="40"/>
      <c r="BU350" s="40"/>
      <c r="BV350" s="40"/>
      <c r="BW350" s="40"/>
      <c r="BX350" s="40"/>
      <c r="BY350" s="40"/>
      <c r="BZ350" s="40"/>
      <c r="CA350" s="40"/>
      <c r="CB350" s="40"/>
      <c r="CC350" s="40"/>
      <c r="CD350" s="40"/>
      <c r="CE350" s="76">
        <f t="shared" si="16"/>
        <v>0</v>
      </c>
    </row>
    <row r="351" spans="1:83" s="5" customFormat="1" x14ac:dyDescent="0.25">
      <c r="A351" s="56" t="s">
        <v>445</v>
      </c>
      <c r="B351" s="75">
        <f t="shared" ref="B351:B365" si="18">SUMIF(G$3:CD$3,"прих",G351:CD351)-SUMIF(G$3:CD$3,"отгр",G351:CD351)</f>
        <v>0</v>
      </c>
      <c r="C351" s="67">
        <v>1</v>
      </c>
      <c r="D351" s="68">
        <v>44249</v>
      </c>
      <c r="E351" s="77">
        <v>57.18</v>
      </c>
      <c r="F351" s="77">
        <f t="shared" si="17"/>
        <v>0</v>
      </c>
      <c r="G351" s="75"/>
      <c r="H351" s="16"/>
      <c r="I351" s="16"/>
      <c r="J351" s="175"/>
      <c r="K351" s="16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  <c r="AQ351" s="40"/>
      <c r="AR351" s="40"/>
      <c r="AS351" s="40"/>
      <c r="AT351" s="40"/>
      <c r="AU351" s="40"/>
      <c r="AV351" s="40"/>
      <c r="AW351" s="40"/>
      <c r="AX351" s="40"/>
      <c r="AY351" s="40"/>
      <c r="AZ351" s="40"/>
      <c r="BA351" s="40"/>
      <c r="BB351" s="40"/>
      <c r="BC351" s="40"/>
      <c r="BD351" s="40"/>
      <c r="BE351" s="40"/>
      <c r="BF351" s="40"/>
      <c r="BG351" s="40"/>
      <c r="BH351" s="40"/>
      <c r="BI351" s="40"/>
      <c r="BJ351" s="40"/>
      <c r="BK351" s="40"/>
      <c r="BL351" s="40"/>
      <c r="BM351" s="40"/>
      <c r="BN351" s="40"/>
      <c r="BO351" s="40"/>
      <c r="BP351" s="40"/>
      <c r="BQ351" s="40"/>
      <c r="BR351" s="40"/>
      <c r="BS351" s="40"/>
      <c r="BT351" s="40"/>
      <c r="BU351" s="40"/>
      <c r="BV351" s="40"/>
      <c r="BW351" s="40"/>
      <c r="BX351" s="40"/>
      <c r="BY351" s="40"/>
      <c r="BZ351" s="40"/>
      <c r="CA351" s="40"/>
      <c r="CB351" s="40"/>
      <c r="CC351" s="40"/>
      <c r="CD351" s="40"/>
      <c r="CE351" s="76">
        <f t="shared" si="16"/>
        <v>0</v>
      </c>
    </row>
    <row r="352" spans="1:83" s="5" customFormat="1" x14ac:dyDescent="0.25">
      <c r="A352" s="56" t="s">
        <v>102</v>
      </c>
      <c r="B352" s="75">
        <f t="shared" si="18"/>
        <v>0</v>
      </c>
      <c r="C352" s="67">
        <v>1</v>
      </c>
      <c r="D352" s="68">
        <v>44532</v>
      </c>
      <c r="E352" s="77">
        <v>50.18</v>
      </c>
      <c r="F352" s="77">
        <f t="shared" si="17"/>
        <v>0</v>
      </c>
      <c r="G352" s="75"/>
      <c r="H352" s="16"/>
      <c r="I352" s="16"/>
      <c r="J352" s="175"/>
      <c r="K352" s="16"/>
      <c r="L352" s="40"/>
      <c r="M352" s="40"/>
      <c r="N352" s="40"/>
      <c r="O352" s="40"/>
      <c r="P352" s="40"/>
      <c r="Q352" s="40"/>
      <c r="R352" s="40"/>
      <c r="S352" s="40"/>
      <c r="T352" s="40"/>
      <c r="U352" s="40"/>
      <c r="V352" s="40"/>
      <c r="W352" s="40"/>
      <c r="X352" s="40"/>
      <c r="Y352" s="40"/>
      <c r="Z352" s="40"/>
      <c r="AA352" s="40"/>
      <c r="AB352" s="40"/>
      <c r="AC352" s="40"/>
      <c r="AD352" s="40"/>
      <c r="AE352" s="40"/>
      <c r="AF352" s="40"/>
      <c r="AG352" s="40"/>
      <c r="AH352" s="40"/>
      <c r="AI352" s="40"/>
      <c r="AJ352" s="40"/>
      <c r="AK352" s="40"/>
      <c r="AL352" s="40"/>
      <c r="AM352" s="40"/>
      <c r="AN352" s="40"/>
      <c r="AO352" s="40"/>
      <c r="AP352" s="40"/>
      <c r="AQ352" s="40"/>
      <c r="AR352" s="40"/>
      <c r="AS352" s="40"/>
      <c r="AT352" s="40"/>
      <c r="AU352" s="40"/>
      <c r="AV352" s="40"/>
      <c r="AW352" s="40"/>
      <c r="AX352" s="40"/>
      <c r="AY352" s="40"/>
      <c r="AZ352" s="40"/>
      <c r="BA352" s="40"/>
      <c r="BB352" s="40"/>
      <c r="BC352" s="40"/>
      <c r="BD352" s="40"/>
      <c r="BE352" s="40"/>
      <c r="BF352" s="40"/>
      <c r="BG352" s="40"/>
      <c r="BH352" s="40"/>
      <c r="BI352" s="40"/>
      <c r="BJ352" s="40"/>
      <c r="BK352" s="40"/>
      <c r="BL352" s="40"/>
      <c r="BM352" s="40"/>
      <c r="BN352" s="40"/>
      <c r="BO352" s="40"/>
      <c r="BP352" s="40"/>
      <c r="BQ352" s="40"/>
      <c r="BR352" s="40"/>
      <c r="BS352" s="40"/>
      <c r="BT352" s="40"/>
      <c r="BU352" s="40"/>
      <c r="BV352" s="40"/>
      <c r="BW352" s="40"/>
      <c r="BX352" s="40"/>
      <c r="BY352" s="40"/>
      <c r="BZ352" s="40"/>
      <c r="CA352" s="40"/>
      <c r="CB352" s="40"/>
      <c r="CC352" s="40"/>
      <c r="CD352" s="40"/>
      <c r="CE352" s="76">
        <f t="shared" si="16"/>
        <v>0</v>
      </c>
    </row>
    <row r="353" spans="1:83" s="5" customFormat="1" ht="12" customHeight="1" x14ac:dyDescent="0.25">
      <c r="A353" s="45" t="s">
        <v>398</v>
      </c>
      <c r="B353" s="75">
        <f t="shared" si="18"/>
        <v>0</v>
      </c>
      <c r="C353" s="67">
        <v>1</v>
      </c>
      <c r="D353" s="69">
        <v>44396</v>
      </c>
      <c r="E353" s="77">
        <v>370.35</v>
      </c>
      <c r="F353" s="77">
        <f t="shared" si="17"/>
        <v>0</v>
      </c>
      <c r="G353" s="75"/>
      <c r="H353" s="16"/>
      <c r="I353" s="16"/>
      <c r="J353" s="175"/>
      <c r="K353" s="16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  <c r="AQ353" s="40"/>
      <c r="AR353" s="40"/>
      <c r="AS353" s="40"/>
      <c r="AT353" s="40"/>
      <c r="AU353" s="40"/>
      <c r="AV353" s="40"/>
      <c r="AW353" s="40"/>
      <c r="AX353" s="40"/>
      <c r="AY353" s="40"/>
      <c r="AZ353" s="40"/>
      <c r="BA353" s="40"/>
      <c r="BB353" s="40"/>
      <c r="BC353" s="40"/>
      <c r="BD353" s="40"/>
      <c r="BE353" s="40"/>
      <c r="BF353" s="40"/>
      <c r="BG353" s="40"/>
      <c r="BH353" s="40"/>
      <c r="BI353" s="40"/>
      <c r="BJ353" s="40"/>
      <c r="BK353" s="40"/>
      <c r="BL353" s="40"/>
      <c r="BM353" s="40"/>
      <c r="BN353" s="40"/>
      <c r="BO353" s="40"/>
      <c r="BP353" s="40"/>
      <c r="BQ353" s="40"/>
      <c r="BR353" s="40"/>
      <c r="BS353" s="40"/>
      <c r="BT353" s="40"/>
      <c r="BU353" s="40"/>
      <c r="BV353" s="40"/>
      <c r="BW353" s="40"/>
      <c r="BX353" s="40"/>
      <c r="BY353" s="40"/>
      <c r="BZ353" s="40"/>
      <c r="CA353" s="40"/>
      <c r="CB353" s="40"/>
      <c r="CC353" s="40"/>
      <c r="CD353" s="40"/>
      <c r="CE353" s="76">
        <f t="shared" si="16"/>
        <v>0</v>
      </c>
    </row>
    <row r="354" spans="1:83" s="5" customFormat="1" ht="12" customHeight="1" x14ac:dyDescent="0.25">
      <c r="A354" s="45" t="s">
        <v>550</v>
      </c>
      <c r="B354" s="75">
        <f t="shared" si="18"/>
        <v>0</v>
      </c>
      <c r="C354" s="67">
        <v>1</v>
      </c>
      <c r="D354" s="69">
        <v>44557</v>
      </c>
      <c r="E354" s="77">
        <v>231.34</v>
      </c>
      <c r="F354" s="77">
        <f t="shared" si="17"/>
        <v>0</v>
      </c>
      <c r="G354" s="75"/>
      <c r="H354" s="16"/>
      <c r="I354" s="16"/>
      <c r="J354" s="175"/>
      <c r="K354" s="16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  <c r="AQ354" s="40"/>
      <c r="AR354" s="40"/>
      <c r="AS354" s="40"/>
      <c r="AT354" s="40"/>
      <c r="AU354" s="40"/>
      <c r="AV354" s="40"/>
      <c r="AW354" s="40"/>
      <c r="AX354" s="40"/>
      <c r="AY354" s="40"/>
      <c r="AZ354" s="40"/>
      <c r="BA354" s="40"/>
      <c r="BB354" s="40"/>
      <c r="BC354" s="40"/>
      <c r="BD354" s="40"/>
      <c r="BE354" s="40"/>
      <c r="BF354" s="40"/>
      <c r="BG354" s="40"/>
      <c r="BH354" s="40"/>
      <c r="BI354" s="40"/>
      <c r="BJ354" s="40"/>
      <c r="BK354" s="40"/>
      <c r="BL354" s="40"/>
      <c r="BM354" s="40"/>
      <c r="BN354" s="40"/>
      <c r="BO354" s="40"/>
      <c r="BP354" s="40"/>
      <c r="BQ354" s="40"/>
      <c r="BR354" s="40"/>
      <c r="BS354" s="40"/>
      <c r="BT354" s="40"/>
      <c r="BU354" s="40"/>
      <c r="BV354" s="40"/>
      <c r="BW354" s="40"/>
      <c r="BX354" s="40"/>
      <c r="BY354" s="40"/>
      <c r="BZ354" s="40"/>
      <c r="CA354" s="40"/>
      <c r="CB354" s="40"/>
      <c r="CC354" s="40"/>
      <c r="CD354" s="40"/>
      <c r="CE354" s="76">
        <f t="shared" si="16"/>
        <v>0</v>
      </c>
    </row>
    <row r="355" spans="1:83" s="5" customFormat="1" x14ac:dyDescent="0.25">
      <c r="A355" s="56" t="s">
        <v>292</v>
      </c>
      <c r="B355" s="75">
        <f t="shared" si="18"/>
        <v>0</v>
      </c>
      <c r="C355" s="67">
        <v>25</v>
      </c>
      <c r="D355" s="68">
        <v>44557</v>
      </c>
      <c r="E355" s="77">
        <v>17.57</v>
      </c>
      <c r="F355" s="77">
        <f t="shared" si="17"/>
        <v>0</v>
      </c>
      <c r="G355" s="75">
        <v>25</v>
      </c>
      <c r="H355" s="16"/>
      <c r="I355" s="16"/>
      <c r="J355" s="175">
        <v>25</v>
      </c>
      <c r="K355" s="16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  <c r="AQ355" s="40"/>
      <c r="AR355" s="40"/>
      <c r="AS355" s="40"/>
      <c r="AT355" s="40"/>
      <c r="AU355" s="40"/>
      <c r="AV355" s="40"/>
      <c r="AW355" s="40"/>
      <c r="AX355" s="40"/>
      <c r="AY355" s="40"/>
      <c r="AZ355" s="40"/>
      <c r="BA355" s="40"/>
      <c r="BB355" s="40"/>
      <c r="BC355" s="40"/>
      <c r="BD355" s="40"/>
      <c r="BE355" s="40"/>
      <c r="BF355" s="40"/>
      <c r="BG355" s="40"/>
      <c r="BH355" s="40"/>
      <c r="BI355" s="40"/>
      <c r="BJ355" s="40"/>
      <c r="BK355" s="40"/>
      <c r="BL355" s="40"/>
      <c r="BM355" s="40"/>
      <c r="BN355" s="40"/>
      <c r="BO355" s="40"/>
      <c r="BP355" s="40"/>
      <c r="BQ355" s="40"/>
      <c r="BR355" s="40"/>
      <c r="BS355" s="40"/>
      <c r="BT355" s="40"/>
      <c r="BU355" s="40"/>
      <c r="BV355" s="40"/>
      <c r="BW355" s="40"/>
      <c r="BX355" s="40"/>
      <c r="BY355" s="40"/>
      <c r="BZ355" s="40"/>
      <c r="CA355" s="40"/>
      <c r="CB355" s="40"/>
      <c r="CC355" s="40"/>
      <c r="CD355" s="40"/>
      <c r="CE355" s="76">
        <f t="shared" si="16"/>
        <v>0</v>
      </c>
    </row>
    <row r="356" spans="1:83" s="5" customFormat="1" x14ac:dyDescent="0.25">
      <c r="A356" s="56" t="s">
        <v>390</v>
      </c>
      <c r="B356" s="75">
        <f t="shared" si="18"/>
        <v>0</v>
      </c>
      <c r="C356" s="67">
        <v>25</v>
      </c>
      <c r="D356" s="68">
        <v>44557</v>
      </c>
      <c r="E356" s="77">
        <v>17.57</v>
      </c>
      <c r="F356" s="77">
        <f t="shared" si="17"/>
        <v>0</v>
      </c>
      <c r="G356" s="75">
        <v>125</v>
      </c>
      <c r="H356" s="16"/>
      <c r="I356" s="16"/>
      <c r="J356" s="175">
        <v>125</v>
      </c>
      <c r="K356" s="16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  <c r="AQ356" s="40"/>
      <c r="AR356" s="40"/>
      <c r="AS356" s="40"/>
      <c r="AT356" s="40"/>
      <c r="AU356" s="40"/>
      <c r="AV356" s="40"/>
      <c r="AW356" s="40"/>
      <c r="AX356" s="40"/>
      <c r="AY356" s="40"/>
      <c r="AZ356" s="40"/>
      <c r="BA356" s="40"/>
      <c r="BB356" s="40"/>
      <c r="BC356" s="40"/>
      <c r="BD356" s="40"/>
      <c r="BE356" s="40"/>
      <c r="BF356" s="40"/>
      <c r="BG356" s="40"/>
      <c r="BH356" s="40"/>
      <c r="BI356" s="40"/>
      <c r="BJ356" s="40"/>
      <c r="BK356" s="40"/>
      <c r="BL356" s="40"/>
      <c r="BM356" s="40"/>
      <c r="BN356" s="40"/>
      <c r="BO356" s="40"/>
      <c r="BP356" s="40"/>
      <c r="BQ356" s="40"/>
      <c r="BR356" s="40"/>
      <c r="BS356" s="40"/>
      <c r="BT356" s="40"/>
      <c r="BU356" s="40"/>
      <c r="BV356" s="40"/>
      <c r="BW356" s="40"/>
      <c r="BX356" s="40"/>
      <c r="BY356" s="40"/>
      <c r="BZ356" s="40"/>
      <c r="CA356" s="40"/>
      <c r="CB356" s="40"/>
      <c r="CC356" s="40"/>
      <c r="CD356" s="40"/>
      <c r="CE356" s="76">
        <f t="shared" si="16"/>
        <v>0</v>
      </c>
    </row>
    <row r="357" spans="1:83" s="5" customFormat="1" ht="12" customHeight="1" x14ac:dyDescent="0.25">
      <c r="A357" s="124" t="s">
        <v>44</v>
      </c>
      <c r="B357" s="75">
        <f t="shared" si="18"/>
        <v>0</v>
      </c>
      <c r="C357" s="67">
        <v>11</v>
      </c>
      <c r="D357" s="69">
        <v>44585</v>
      </c>
      <c r="E357" s="77">
        <v>4.84</v>
      </c>
      <c r="F357" s="77">
        <f t="shared" si="17"/>
        <v>0</v>
      </c>
      <c r="G357" s="75">
        <v>55</v>
      </c>
      <c r="H357" s="16"/>
      <c r="I357" s="16"/>
      <c r="J357" s="175"/>
      <c r="K357" s="16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>
        <v>55</v>
      </c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  <c r="AQ357" s="40"/>
      <c r="AR357" s="40"/>
      <c r="AS357" s="40"/>
      <c r="AT357" s="40"/>
      <c r="AU357" s="40"/>
      <c r="AV357" s="40"/>
      <c r="AW357" s="40"/>
      <c r="AX357" s="40"/>
      <c r="AY357" s="40"/>
      <c r="AZ357" s="40"/>
      <c r="BA357" s="40"/>
      <c r="BB357" s="40"/>
      <c r="BC357" s="40"/>
      <c r="BD357" s="40">
        <v>231</v>
      </c>
      <c r="BE357" s="40"/>
      <c r="BF357" s="40"/>
      <c r="BG357" s="40"/>
      <c r="BH357" s="40"/>
      <c r="BI357" s="40"/>
      <c r="BJ357" s="40"/>
      <c r="BK357" s="40"/>
      <c r="BL357" s="40"/>
      <c r="BM357" s="40"/>
      <c r="BN357" s="40"/>
      <c r="BO357" s="40"/>
      <c r="BP357" s="40">
        <v>176</v>
      </c>
      <c r="BQ357" s="40"/>
      <c r="BR357" s="40">
        <v>55</v>
      </c>
      <c r="BS357" s="40"/>
      <c r="BT357" s="40"/>
      <c r="BU357" s="40"/>
      <c r="BV357" s="40"/>
      <c r="BW357" s="40"/>
      <c r="BX357" s="40"/>
      <c r="BY357" s="40"/>
      <c r="BZ357" s="40"/>
      <c r="CA357" s="40"/>
      <c r="CB357" s="40"/>
      <c r="CC357" s="40"/>
      <c r="CD357" s="40"/>
      <c r="CE357" s="76">
        <f t="shared" si="16"/>
        <v>0</v>
      </c>
    </row>
    <row r="358" spans="1:83" s="5" customFormat="1" ht="12" customHeight="1" x14ac:dyDescent="0.25">
      <c r="A358" s="124" t="s">
        <v>44</v>
      </c>
      <c r="B358" s="75">
        <f t="shared" si="18"/>
        <v>120</v>
      </c>
      <c r="C358" s="67">
        <v>12</v>
      </c>
      <c r="D358" s="69">
        <v>44593</v>
      </c>
      <c r="E358" s="77">
        <v>5.67</v>
      </c>
      <c r="F358" s="77">
        <f t="shared" si="17"/>
        <v>680.4</v>
      </c>
      <c r="G358" s="75"/>
      <c r="H358" s="16"/>
      <c r="I358" s="16"/>
      <c r="J358" s="175"/>
      <c r="K358" s="16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  <c r="AQ358" s="40"/>
      <c r="AR358" s="40"/>
      <c r="AS358" s="40"/>
      <c r="AT358" s="40"/>
      <c r="AU358" s="40"/>
      <c r="AV358" s="40"/>
      <c r="AW358" s="40"/>
      <c r="AX358" s="40"/>
      <c r="AY358" s="40"/>
      <c r="AZ358" s="40"/>
      <c r="BA358" s="40"/>
      <c r="BB358" s="40"/>
      <c r="BC358" s="40"/>
      <c r="BD358" s="40"/>
      <c r="BE358" s="40">
        <v>120</v>
      </c>
      <c r="BF358" s="40"/>
      <c r="BG358" s="40"/>
      <c r="BH358" s="40"/>
      <c r="BI358" s="40"/>
      <c r="BJ358" s="40"/>
      <c r="BK358" s="40"/>
      <c r="BL358" s="40"/>
      <c r="BM358" s="40"/>
      <c r="BN358" s="40"/>
      <c r="BO358" s="40"/>
      <c r="BP358" s="40"/>
      <c r="BQ358" s="40"/>
      <c r="BR358" s="40"/>
      <c r="BS358" s="40"/>
      <c r="BT358" s="40"/>
      <c r="BU358" s="40"/>
      <c r="BV358" s="40"/>
      <c r="BW358" s="40"/>
      <c r="BX358" s="40"/>
      <c r="BY358" s="40"/>
      <c r="BZ358" s="40"/>
      <c r="CA358" s="40"/>
      <c r="CB358" s="40"/>
      <c r="CC358" s="40"/>
      <c r="CD358" s="40"/>
      <c r="CE358" s="76">
        <f t="shared" si="16"/>
        <v>120</v>
      </c>
    </row>
    <row r="359" spans="1:83" s="5" customFormat="1" ht="12" customHeight="1" x14ac:dyDescent="0.25">
      <c r="A359" s="171" t="s">
        <v>347</v>
      </c>
      <c r="B359" s="75">
        <f t="shared" si="18"/>
        <v>10</v>
      </c>
      <c r="C359" s="67">
        <v>1</v>
      </c>
      <c r="D359" s="69">
        <v>44557</v>
      </c>
      <c r="E359" s="77">
        <v>4.68</v>
      </c>
      <c r="F359" s="77">
        <f t="shared" si="17"/>
        <v>46.8</v>
      </c>
      <c r="G359" s="75">
        <v>10</v>
      </c>
      <c r="H359" s="16"/>
      <c r="I359" s="16"/>
      <c r="J359" s="175"/>
      <c r="K359" s="16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>
        <v>10</v>
      </c>
      <c r="AL359" s="40"/>
      <c r="AM359" s="40"/>
      <c r="AN359" s="40"/>
      <c r="AO359" s="40"/>
      <c r="AP359" s="40"/>
      <c r="AQ359" s="40"/>
      <c r="AR359" s="40"/>
      <c r="AS359" s="40"/>
      <c r="AT359" s="40"/>
      <c r="AU359" s="40"/>
      <c r="AV359" s="40"/>
      <c r="AW359" s="40"/>
      <c r="AX359" s="40"/>
      <c r="AY359" s="40"/>
      <c r="AZ359" s="40"/>
      <c r="BA359" s="40"/>
      <c r="BB359" s="40"/>
      <c r="BC359" s="40"/>
      <c r="BD359" s="40"/>
      <c r="BE359" s="40"/>
      <c r="BF359" s="40"/>
      <c r="BG359" s="40"/>
      <c r="BH359" s="40"/>
      <c r="BI359" s="40"/>
      <c r="BJ359" s="40"/>
      <c r="BK359" s="40"/>
      <c r="BL359" s="40"/>
      <c r="BM359" s="40"/>
      <c r="BN359" s="40"/>
      <c r="BO359" s="40"/>
      <c r="BP359" s="40"/>
      <c r="BQ359" s="40"/>
      <c r="BR359" s="40"/>
      <c r="BS359" s="40"/>
      <c r="BT359" s="40"/>
      <c r="BU359" s="40"/>
      <c r="BV359" s="40"/>
      <c r="BW359" s="40"/>
      <c r="BX359" s="40"/>
      <c r="BY359" s="40"/>
      <c r="BZ359" s="40"/>
      <c r="CA359" s="40"/>
      <c r="CB359" s="40"/>
      <c r="CC359" s="40"/>
      <c r="CD359" s="40"/>
      <c r="CE359" s="76">
        <f t="shared" si="16"/>
        <v>0</v>
      </c>
    </row>
    <row r="360" spans="1:83" s="5" customFormat="1" ht="12" customHeight="1" x14ac:dyDescent="0.25">
      <c r="A360" s="171" t="s">
        <v>431</v>
      </c>
      <c r="B360" s="75">
        <f t="shared" si="18"/>
        <v>0</v>
      </c>
      <c r="C360" s="67">
        <v>25</v>
      </c>
      <c r="D360" s="69">
        <v>44503</v>
      </c>
      <c r="E360" s="77">
        <v>10.85</v>
      </c>
      <c r="F360" s="77">
        <f t="shared" si="17"/>
        <v>0</v>
      </c>
      <c r="G360" s="75"/>
      <c r="H360" s="16"/>
      <c r="I360" s="16"/>
      <c r="J360" s="175"/>
      <c r="K360" s="16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  <c r="AQ360" s="40"/>
      <c r="AR360" s="40"/>
      <c r="AS360" s="40"/>
      <c r="AT360" s="40"/>
      <c r="AU360" s="40"/>
      <c r="AV360" s="40"/>
      <c r="AW360" s="40"/>
      <c r="AX360" s="40"/>
      <c r="AY360" s="40"/>
      <c r="AZ360" s="40"/>
      <c r="BA360" s="40"/>
      <c r="BB360" s="40"/>
      <c r="BC360" s="40"/>
      <c r="BD360" s="40"/>
      <c r="BE360" s="40"/>
      <c r="BF360" s="40"/>
      <c r="BG360" s="40"/>
      <c r="BH360" s="40"/>
      <c r="BI360" s="40"/>
      <c r="BJ360" s="40"/>
      <c r="BK360" s="40"/>
      <c r="BL360" s="40"/>
      <c r="BM360" s="40"/>
      <c r="BN360" s="40"/>
      <c r="BO360" s="40"/>
      <c r="BP360" s="40"/>
      <c r="BQ360" s="40"/>
      <c r="BR360" s="40"/>
      <c r="BS360" s="40"/>
      <c r="BT360" s="40"/>
      <c r="BU360" s="40"/>
      <c r="BV360" s="40"/>
      <c r="BW360" s="40"/>
      <c r="BX360" s="40"/>
      <c r="BY360" s="40"/>
      <c r="BZ360" s="40"/>
      <c r="CA360" s="40"/>
      <c r="CB360" s="40"/>
      <c r="CC360" s="40"/>
      <c r="CD360" s="40"/>
      <c r="CE360" s="76">
        <f t="shared" si="16"/>
        <v>0</v>
      </c>
    </row>
    <row r="361" spans="1:83" s="5" customFormat="1" ht="12" customHeight="1" x14ac:dyDescent="0.25">
      <c r="A361" s="45" t="s">
        <v>420</v>
      </c>
      <c r="B361" s="75">
        <f t="shared" si="18"/>
        <v>0</v>
      </c>
      <c r="C361" s="67">
        <v>1</v>
      </c>
      <c r="D361" s="69">
        <v>44494</v>
      </c>
      <c r="E361" s="77">
        <v>76.08</v>
      </c>
      <c r="F361" s="77">
        <f t="shared" si="17"/>
        <v>0</v>
      </c>
      <c r="G361" s="75"/>
      <c r="H361" s="16"/>
      <c r="I361" s="16"/>
      <c r="J361" s="175"/>
      <c r="K361" s="16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  <c r="AQ361" s="40"/>
      <c r="AR361" s="40"/>
      <c r="AS361" s="40"/>
      <c r="AT361" s="40"/>
      <c r="AU361" s="40"/>
      <c r="AV361" s="40"/>
      <c r="AW361" s="40"/>
      <c r="AX361" s="40"/>
      <c r="AY361" s="40"/>
      <c r="AZ361" s="40"/>
      <c r="BA361" s="40"/>
      <c r="BB361" s="40"/>
      <c r="BC361" s="40"/>
      <c r="BD361" s="40"/>
      <c r="BE361" s="40"/>
      <c r="BF361" s="40"/>
      <c r="BG361" s="40"/>
      <c r="BH361" s="40"/>
      <c r="BI361" s="40"/>
      <c r="BJ361" s="40"/>
      <c r="BK361" s="40"/>
      <c r="BL361" s="40"/>
      <c r="BM361" s="40"/>
      <c r="BN361" s="40"/>
      <c r="BO361" s="40"/>
      <c r="BP361" s="40"/>
      <c r="BQ361" s="40"/>
      <c r="BR361" s="40"/>
      <c r="BS361" s="40"/>
      <c r="BT361" s="40"/>
      <c r="BU361" s="40"/>
      <c r="BV361" s="40"/>
      <c r="BW361" s="40"/>
      <c r="BX361" s="40"/>
      <c r="BY361" s="40"/>
      <c r="BZ361" s="40"/>
      <c r="CA361" s="40"/>
      <c r="CB361" s="40"/>
      <c r="CC361" s="40"/>
      <c r="CD361" s="40"/>
      <c r="CE361" s="76">
        <f t="shared" si="16"/>
        <v>0</v>
      </c>
    </row>
    <row r="362" spans="1:83" s="5" customFormat="1" ht="12" customHeight="1" x14ac:dyDescent="0.25">
      <c r="A362" s="45" t="s">
        <v>242</v>
      </c>
      <c r="B362" s="75">
        <f t="shared" si="18"/>
        <v>0</v>
      </c>
      <c r="C362" s="67">
        <v>10</v>
      </c>
      <c r="D362" s="69">
        <v>44585</v>
      </c>
      <c r="E362" s="77">
        <v>35.25</v>
      </c>
      <c r="F362" s="77">
        <f t="shared" si="17"/>
        <v>0</v>
      </c>
      <c r="G362" s="75"/>
      <c r="H362" s="16"/>
      <c r="I362" s="16"/>
      <c r="J362" s="175"/>
      <c r="K362" s="16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  <c r="AQ362" s="40"/>
      <c r="AR362" s="40"/>
      <c r="AS362" s="40"/>
      <c r="AT362" s="40"/>
      <c r="AU362" s="40"/>
      <c r="AV362" s="40"/>
      <c r="AW362" s="40"/>
      <c r="AX362" s="40"/>
      <c r="AY362" s="40"/>
      <c r="AZ362" s="40"/>
      <c r="BA362" s="40"/>
      <c r="BB362" s="40"/>
      <c r="BC362" s="40"/>
      <c r="BD362" s="40"/>
      <c r="BE362" s="40"/>
      <c r="BF362" s="40">
        <v>100</v>
      </c>
      <c r="BG362" s="40">
        <v>100</v>
      </c>
      <c r="BH362" s="40"/>
      <c r="BI362" s="40"/>
      <c r="BJ362" s="40"/>
      <c r="BK362" s="40"/>
      <c r="BL362" s="40"/>
      <c r="BM362" s="40"/>
      <c r="BN362" s="40"/>
      <c r="BO362" s="40"/>
      <c r="BP362" s="40"/>
      <c r="BQ362" s="40"/>
      <c r="BR362" s="40"/>
      <c r="BS362" s="40"/>
      <c r="BT362" s="40"/>
      <c r="BU362" s="40"/>
      <c r="BV362" s="40"/>
      <c r="BW362" s="40"/>
      <c r="BX362" s="40"/>
      <c r="BY362" s="40"/>
      <c r="BZ362" s="40"/>
      <c r="CA362" s="40"/>
      <c r="CB362" s="40"/>
      <c r="CC362" s="40"/>
      <c r="CD362" s="40"/>
      <c r="CE362" s="76">
        <f t="shared" si="16"/>
        <v>0</v>
      </c>
    </row>
    <row r="363" spans="1:83" s="5" customFormat="1" ht="12" customHeight="1" x14ac:dyDescent="0.25">
      <c r="A363" s="45" t="s">
        <v>450</v>
      </c>
      <c r="B363" s="75">
        <f t="shared" si="18"/>
        <v>0</v>
      </c>
      <c r="C363" s="67">
        <v>4.5</v>
      </c>
      <c r="D363" s="69">
        <v>44277</v>
      </c>
      <c r="E363" s="77">
        <v>55.44</v>
      </c>
      <c r="F363" s="77">
        <f t="shared" si="17"/>
        <v>0</v>
      </c>
      <c r="G363" s="75"/>
      <c r="H363" s="16"/>
      <c r="I363" s="16"/>
      <c r="J363" s="175"/>
      <c r="K363" s="16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  <c r="AQ363" s="40"/>
      <c r="AR363" s="40"/>
      <c r="AS363" s="40"/>
      <c r="AT363" s="40"/>
      <c r="AU363" s="40"/>
      <c r="AV363" s="40"/>
      <c r="AW363" s="40"/>
      <c r="AX363" s="40"/>
      <c r="AY363" s="40"/>
      <c r="AZ363" s="40"/>
      <c r="BA363" s="40"/>
      <c r="BB363" s="40"/>
      <c r="BC363" s="40"/>
      <c r="BD363" s="40"/>
      <c r="BE363" s="40"/>
      <c r="BF363" s="40"/>
      <c r="BG363" s="40"/>
      <c r="BH363" s="40"/>
      <c r="BI363" s="40"/>
      <c r="BJ363" s="40"/>
      <c r="BK363" s="40"/>
      <c r="BL363" s="40"/>
      <c r="BM363" s="40"/>
      <c r="BN363" s="40"/>
      <c r="BO363" s="40"/>
      <c r="BP363" s="40"/>
      <c r="BQ363" s="40"/>
      <c r="BR363" s="40"/>
      <c r="BS363" s="40"/>
      <c r="BT363" s="40"/>
      <c r="BU363" s="40"/>
      <c r="BV363" s="40"/>
      <c r="BW363" s="40"/>
      <c r="BX363" s="40"/>
      <c r="BY363" s="40"/>
      <c r="BZ363" s="40"/>
      <c r="CA363" s="40"/>
      <c r="CB363" s="40"/>
      <c r="CC363" s="40"/>
      <c r="CD363" s="40"/>
      <c r="CE363" s="76">
        <f t="shared" si="16"/>
        <v>0</v>
      </c>
    </row>
    <row r="364" spans="1:83" s="5" customFormat="1" ht="12" customHeight="1" x14ac:dyDescent="0.25">
      <c r="A364" s="45" t="s">
        <v>207</v>
      </c>
      <c r="B364" s="75">
        <f t="shared" si="18"/>
        <v>0</v>
      </c>
      <c r="C364" s="67">
        <v>1</v>
      </c>
      <c r="D364" s="69">
        <v>44532</v>
      </c>
      <c r="E364" s="77">
        <v>35.65</v>
      </c>
      <c r="F364" s="77">
        <f t="shared" si="17"/>
        <v>0</v>
      </c>
      <c r="G364" s="75"/>
      <c r="H364" s="16"/>
      <c r="I364" s="16"/>
      <c r="J364" s="175"/>
      <c r="K364" s="16"/>
      <c r="L364" s="40"/>
      <c r="M364" s="40"/>
      <c r="N364" s="40"/>
      <c r="O364" s="40"/>
      <c r="P364" s="40"/>
      <c r="Q364" s="40"/>
      <c r="R364" s="40"/>
      <c r="S364" s="40"/>
      <c r="T364" s="40"/>
      <c r="U364" s="40"/>
      <c r="V364" s="40"/>
      <c r="W364" s="40"/>
      <c r="X364" s="40"/>
      <c r="Y364" s="40"/>
      <c r="Z364" s="40"/>
      <c r="AA364" s="40"/>
      <c r="AB364" s="40"/>
      <c r="AC364" s="40"/>
      <c r="AD364" s="40"/>
      <c r="AE364" s="40"/>
      <c r="AF364" s="40"/>
      <c r="AG364" s="40"/>
      <c r="AH364" s="40"/>
      <c r="AI364" s="40"/>
      <c r="AJ364" s="40"/>
      <c r="AK364" s="40"/>
      <c r="AL364" s="40"/>
      <c r="AM364" s="40"/>
      <c r="AN364" s="40"/>
      <c r="AO364" s="40"/>
      <c r="AP364" s="40"/>
      <c r="AQ364" s="40"/>
      <c r="AR364" s="40"/>
      <c r="AS364" s="40"/>
      <c r="AT364" s="40"/>
      <c r="AU364" s="40"/>
      <c r="AV364" s="40"/>
      <c r="AW364" s="40"/>
      <c r="AX364" s="40"/>
      <c r="AY364" s="40"/>
      <c r="AZ364" s="40"/>
      <c r="BA364" s="40"/>
      <c r="BB364" s="40"/>
      <c r="BC364" s="40"/>
      <c r="BD364" s="40"/>
      <c r="BE364" s="40"/>
      <c r="BF364" s="40"/>
      <c r="BG364" s="40"/>
      <c r="BH364" s="40"/>
      <c r="BI364" s="40"/>
      <c r="BJ364" s="40"/>
      <c r="BK364" s="40"/>
      <c r="BL364" s="40"/>
      <c r="BM364" s="40"/>
      <c r="BN364" s="40"/>
      <c r="BO364" s="40"/>
      <c r="BP364" s="40"/>
      <c r="BQ364" s="40"/>
      <c r="BR364" s="40"/>
      <c r="BS364" s="40"/>
      <c r="BT364" s="40"/>
      <c r="BU364" s="40"/>
      <c r="BV364" s="40"/>
      <c r="BW364" s="40"/>
      <c r="BX364" s="40"/>
      <c r="BY364" s="40"/>
      <c r="BZ364" s="40"/>
      <c r="CA364" s="40"/>
      <c r="CB364" s="40"/>
      <c r="CC364" s="40"/>
      <c r="CD364" s="40"/>
      <c r="CE364" s="76">
        <f t="shared" si="16"/>
        <v>0</v>
      </c>
    </row>
    <row r="365" spans="1:83" s="5" customFormat="1" ht="12" customHeight="1" x14ac:dyDescent="0.25">
      <c r="A365" s="45" t="s">
        <v>138</v>
      </c>
      <c r="B365" s="75">
        <f t="shared" si="18"/>
        <v>0</v>
      </c>
      <c r="C365" s="67">
        <v>1</v>
      </c>
      <c r="D365" s="69">
        <v>44417</v>
      </c>
      <c r="E365" s="77">
        <v>53.28</v>
      </c>
      <c r="F365" s="77">
        <f t="shared" si="17"/>
        <v>0</v>
      </c>
      <c r="G365" s="75"/>
      <c r="H365" s="16"/>
      <c r="I365" s="16"/>
      <c r="J365" s="175"/>
      <c r="K365" s="16"/>
      <c r="L365" s="40"/>
      <c r="M365" s="40"/>
      <c r="N365" s="40"/>
      <c r="O365" s="40"/>
      <c r="P365" s="40"/>
      <c r="Q365" s="40"/>
      <c r="R365" s="40"/>
      <c r="S365" s="40"/>
      <c r="T365" s="40"/>
      <c r="U365" s="40"/>
      <c r="V365" s="40"/>
      <c r="W365" s="40"/>
      <c r="X365" s="40"/>
      <c r="Y365" s="40"/>
      <c r="Z365" s="40"/>
      <c r="AA365" s="40"/>
      <c r="AB365" s="40"/>
      <c r="AC365" s="40"/>
      <c r="AD365" s="40"/>
      <c r="AE365" s="40"/>
      <c r="AF365" s="40"/>
      <c r="AG365" s="40"/>
      <c r="AH365" s="40"/>
      <c r="AI365" s="40"/>
      <c r="AJ365" s="40"/>
      <c r="AK365" s="40"/>
      <c r="AL365" s="40"/>
      <c r="AM365" s="40"/>
      <c r="AN365" s="40"/>
      <c r="AO365" s="40"/>
      <c r="AP365" s="40"/>
      <c r="AQ365" s="40"/>
      <c r="AR365" s="40"/>
      <c r="AS365" s="40"/>
      <c r="AT365" s="40"/>
      <c r="AU365" s="40"/>
      <c r="AV365" s="40"/>
      <c r="AW365" s="40"/>
      <c r="AX365" s="40"/>
      <c r="AY365" s="40"/>
      <c r="AZ365" s="40"/>
      <c r="BA365" s="40"/>
      <c r="BB365" s="40"/>
      <c r="BC365" s="40"/>
      <c r="BD365" s="40"/>
      <c r="BE365" s="40"/>
      <c r="BF365" s="40"/>
      <c r="BG365" s="40"/>
      <c r="BH365" s="40"/>
      <c r="BI365" s="40"/>
      <c r="BJ365" s="40"/>
      <c r="BK365" s="40"/>
      <c r="BL365" s="40"/>
      <c r="BM365" s="40"/>
      <c r="BN365" s="40"/>
      <c r="BO365" s="40"/>
      <c r="BP365" s="40"/>
      <c r="BQ365" s="40"/>
      <c r="BR365" s="40"/>
      <c r="BS365" s="40"/>
      <c r="BT365" s="40"/>
      <c r="BU365" s="40"/>
      <c r="BV365" s="40"/>
      <c r="BW365" s="40"/>
      <c r="BX365" s="40"/>
      <c r="BY365" s="40"/>
      <c r="BZ365" s="40"/>
      <c r="CA365" s="40"/>
      <c r="CB365" s="40"/>
      <c r="CC365" s="40"/>
      <c r="CD365" s="40"/>
      <c r="CE365" s="76">
        <f t="shared" si="16"/>
        <v>0</v>
      </c>
    </row>
    <row r="366" spans="1:83" s="5" customFormat="1" ht="15.6" x14ac:dyDescent="0.3">
      <c r="A366" s="19" t="s">
        <v>21</v>
      </c>
      <c r="B366" s="105">
        <f>SUM(B287:B365)</f>
        <v>206</v>
      </c>
      <c r="C366" s="66"/>
      <c r="D366" s="73"/>
      <c r="E366" s="72"/>
      <c r="F366" s="77">
        <f t="shared" si="17"/>
        <v>0</v>
      </c>
      <c r="G366" s="20">
        <f>SUM(G287:G365)</f>
        <v>290</v>
      </c>
      <c r="H366" s="169"/>
      <c r="I366" s="169"/>
      <c r="J366" s="178"/>
      <c r="K366" s="169"/>
      <c r="L366" s="40"/>
      <c r="M366" s="40"/>
      <c r="N366" s="40"/>
      <c r="O366" s="40"/>
      <c r="P366" s="40"/>
      <c r="Q366" s="40"/>
      <c r="R366" s="40"/>
      <c r="S366" s="40"/>
      <c r="T366" s="40"/>
      <c r="U366" s="40"/>
      <c r="V366" s="40"/>
      <c r="W366" s="40"/>
      <c r="X366" s="40"/>
      <c r="Y366" s="40"/>
      <c r="Z366" s="40"/>
      <c r="AA366" s="40"/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  <c r="AQ366" s="40"/>
      <c r="AR366" s="40"/>
      <c r="AS366" s="40"/>
      <c r="AT366" s="40"/>
      <c r="AU366" s="40"/>
      <c r="AV366" s="40"/>
      <c r="AW366" s="40"/>
      <c r="AX366" s="40"/>
      <c r="AY366" s="40"/>
      <c r="AZ366" s="40"/>
      <c r="BA366" s="40"/>
      <c r="BB366" s="40"/>
      <c r="BC366" s="40"/>
      <c r="BD366" s="40"/>
      <c r="BE366" s="40"/>
      <c r="BF366" s="40"/>
      <c r="BG366" s="40"/>
      <c r="BH366" s="40"/>
      <c r="BI366" s="40"/>
      <c r="BJ366" s="40"/>
      <c r="BK366" s="40"/>
      <c r="BL366" s="40"/>
      <c r="BM366" s="40"/>
      <c r="BN366" s="40"/>
      <c r="BO366" s="40"/>
      <c r="BP366" s="40"/>
      <c r="BQ366" s="40"/>
      <c r="BR366" s="40"/>
      <c r="BS366" s="40"/>
      <c r="BT366" s="40"/>
      <c r="BU366" s="40"/>
      <c r="BV366" s="40"/>
      <c r="BW366" s="40"/>
      <c r="BX366" s="40"/>
      <c r="BY366" s="40"/>
      <c r="BZ366" s="40"/>
      <c r="CA366" s="40"/>
      <c r="CB366" s="40"/>
      <c r="CC366" s="40"/>
      <c r="CD366" s="40"/>
      <c r="CE366" s="20">
        <f t="shared" si="16"/>
        <v>206</v>
      </c>
    </row>
    <row r="367" spans="1:83" s="5" customFormat="1" x14ac:dyDescent="0.25">
      <c r="A367" s="61" t="s">
        <v>259</v>
      </c>
      <c r="B367" s="75">
        <f>SUMIF(G$3:CD$3,"прих",G367:CD367)-SUMIF(G$3:CD$3,"отгр",G367:CD367)</f>
        <v>0</v>
      </c>
      <c r="C367" s="67">
        <v>10</v>
      </c>
      <c r="D367" s="74">
        <v>44305</v>
      </c>
      <c r="E367" s="83">
        <v>19.100000000000001</v>
      </c>
      <c r="F367" s="77">
        <f t="shared" si="17"/>
        <v>0</v>
      </c>
      <c r="G367" s="75"/>
      <c r="H367" s="16"/>
      <c r="I367" s="16"/>
      <c r="J367" s="175"/>
      <c r="K367" s="16"/>
      <c r="L367" s="40"/>
      <c r="M367" s="40"/>
      <c r="N367" s="40"/>
      <c r="O367" s="40"/>
      <c r="P367" s="40"/>
      <c r="Q367" s="40"/>
      <c r="R367" s="40"/>
      <c r="S367" s="40"/>
      <c r="T367" s="40"/>
      <c r="U367" s="40"/>
      <c r="V367" s="40"/>
      <c r="W367" s="40"/>
      <c r="X367" s="40"/>
      <c r="Y367" s="40"/>
      <c r="Z367" s="40"/>
      <c r="AA367" s="40"/>
      <c r="AB367" s="40"/>
      <c r="AC367" s="40"/>
      <c r="AD367" s="40"/>
      <c r="AE367" s="40"/>
      <c r="AF367" s="40"/>
      <c r="AG367" s="40"/>
      <c r="AH367" s="40"/>
      <c r="AI367" s="40"/>
      <c r="AJ367" s="40"/>
      <c r="AK367" s="40"/>
      <c r="AL367" s="40"/>
      <c r="AM367" s="40"/>
      <c r="AN367" s="40"/>
      <c r="AO367" s="40"/>
      <c r="AP367" s="40"/>
      <c r="AQ367" s="40"/>
      <c r="AR367" s="40"/>
      <c r="AS367" s="40"/>
      <c r="AT367" s="40"/>
      <c r="AU367" s="40"/>
      <c r="AV367" s="40"/>
      <c r="AW367" s="40"/>
      <c r="AX367" s="40"/>
      <c r="AY367" s="40"/>
      <c r="AZ367" s="40"/>
      <c r="BA367" s="40"/>
      <c r="BB367" s="40"/>
      <c r="BC367" s="40"/>
      <c r="BD367" s="40"/>
      <c r="BE367" s="40"/>
      <c r="BF367" s="40"/>
      <c r="BG367" s="40"/>
      <c r="BH367" s="40"/>
      <c r="BI367" s="40"/>
      <c r="BJ367" s="40"/>
      <c r="BK367" s="40"/>
      <c r="BL367" s="40"/>
      <c r="BM367" s="40"/>
      <c r="BN367" s="40"/>
      <c r="BO367" s="40"/>
      <c r="BP367" s="40"/>
      <c r="BQ367" s="40"/>
      <c r="BR367" s="40"/>
      <c r="BS367" s="40"/>
      <c r="BT367" s="40"/>
      <c r="BU367" s="40"/>
      <c r="BV367" s="40"/>
      <c r="BW367" s="40"/>
      <c r="BX367" s="40"/>
      <c r="BY367" s="40"/>
      <c r="BZ367" s="40"/>
      <c r="CA367" s="40"/>
      <c r="CB367" s="40"/>
      <c r="CC367" s="40"/>
      <c r="CD367" s="40"/>
      <c r="CE367" s="76">
        <f t="shared" si="16"/>
        <v>0</v>
      </c>
    </row>
    <row r="368" spans="1:83" s="5" customFormat="1" x14ac:dyDescent="0.25">
      <c r="A368" s="45" t="s">
        <v>136</v>
      </c>
      <c r="B368" s="75">
        <f>SUMIF(G$3:CD$3,"прих",G368:CD368)-SUMIF(G$3:CD$3,"отгр",G368:CD368)</f>
        <v>40</v>
      </c>
      <c r="C368" s="67">
        <v>5</v>
      </c>
      <c r="D368" s="93">
        <v>44501</v>
      </c>
      <c r="E368" s="83">
        <v>34.07</v>
      </c>
      <c r="F368" s="77">
        <f t="shared" si="17"/>
        <v>1362.8</v>
      </c>
      <c r="G368" s="75">
        <v>40</v>
      </c>
      <c r="H368" s="16"/>
      <c r="I368" s="16"/>
      <c r="J368" s="175"/>
      <c r="K368" s="16"/>
      <c r="L368" s="40"/>
      <c r="M368" s="40"/>
      <c r="N368" s="40"/>
      <c r="O368" s="40"/>
      <c r="P368" s="40"/>
      <c r="Q368" s="40"/>
      <c r="R368" s="40"/>
      <c r="S368" s="40"/>
      <c r="T368" s="40"/>
      <c r="U368" s="40"/>
      <c r="V368" s="40"/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  <c r="AQ368" s="40"/>
      <c r="AR368" s="40"/>
      <c r="AS368" s="40"/>
      <c r="AT368" s="40"/>
      <c r="AU368" s="40"/>
      <c r="AV368" s="40"/>
      <c r="AW368" s="40"/>
      <c r="AX368" s="40"/>
      <c r="AY368" s="40"/>
      <c r="AZ368" s="40"/>
      <c r="BA368" s="40"/>
      <c r="BB368" s="40"/>
      <c r="BC368" s="40"/>
      <c r="BD368" s="40"/>
      <c r="BE368" s="40"/>
      <c r="BF368" s="40"/>
      <c r="BG368" s="40"/>
      <c r="BH368" s="40"/>
      <c r="BI368" s="40"/>
      <c r="BJ368" s="40"/>
      <c r="BK368" s="40"/>
      <c r="BL368" s="40"/>
      <c r="BM368" s="40"/>
      <c r="BN368" s="40"/>
      <c r="BO368" s="40"/>
      <c r="BP368" s="40"/>
      <c r="BQ368" s="40"/>
      <c r="BR368" s="40"/>
      <c r="BS368" s="40"/>
      <c r="BT368" s="40"/>
      <c r="BU368" s="40"/>
      <c r="BV368" s="40"/>
      <c r="BW368" s="40"/>
      <c r="BX368" s="40"/>
      <c r="BY368" s="40"/>
      <c r="BZ368" s="40"/>
      <c r="CA368" s="40"/>
      <c r="CB368" s="40"/>
      <c r="CC368" s="40"/>
      <c r="CD368" s="40">
        <v>40</v>
      </c>
      <c r="CE368" s="76">
        <f t="shared" si="16"/>
        <v>0</v>
      </c>
    </row>
    <row r="369" spans="1:107" s="5" customFormat="1" x14ac:dyDescent="0.25">
      <c r="A369" s="61" t="s">
        <v>54</v>
      </c>
      <c r="B369" s="75">
        <f>SUMIF(G$3:CD$3,"прих",G369:CD369)-SUMIF(G$3:CD$3,"отгр",G369:CD369)</f>
        <v>50</v>
      </c>
      <c r="C369" s="67">
        <v>25</v>
      </c>
      <c r="D369" s="93" t="s">
        <v>477</v>
      </c>
      <c r="E369" s="83">
        <v>25.43</v>
      </c>
      <c r="F369" s="77">
        <f t="shared" si="17"/>
        <v>1271.5</v>
      </c>
      <c r="G369" s="75">
        <v>50</v>
      </c>
      <c r="H369" s="16"/>
      <c r="I369" s="16"/>
      <c r="J369" s="175"/>
      <c r="K369" s="16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>
        <v>50</v>
      </c>
      <c r="AH369" s="40"/>
      <c r="AI369" s="40"/>
      <c r="AJ369" s="40"/>
      <c r="AK369" s="40"/>
      <c r="AL369" s="40"/>
      <c r="AM369" s="40"/>
      <c r="AN369" s="40"/>
      <c r="AO369" s="40"/>
      <c r="AP369" s="40"/>
      <c r="AQ369" s="40"/>
      <c r="AR369" s="40"/>
      <c r="AS369" s="40"/>
      <c r="AT369" s="40"/>
      <c r="AU369" s="40"/>
      <c r="AV369" s="40"/>
      <c r="AW369" s="40"/>
      <c r="AX369" s="40"/>
      <c r="AY369" s="40"/>
      <c r="AZ369" s="40"/>
      <c r="BA369" s="40"/>
      <c r="BB369" s="40"/>
      <c r="BC369" s="40"/>
      <c r="BD369" s="40"/>
      <c r="BE369" s="40"/>
      <c r="BF369" s="40"/>
      <c r="BG369" s="40"/>
      <c r="BH369" s="40"/>
      <c r="BI369" s="40"/>
      <c r="BJ369" s="40"/>
      <c r="BK369" s="40"/>
      <c r="BL369" s="40"/>
      <c r="BM369" s="40"/>
      <c r="BN369" s="40"/>
      <c r="BO369" s="40"/>
      <c r="BP369" s="40"/>
      <c r="BQ369" s="40"/>
      <c r="BR369" s="40"/>
      <c r="BS369" s="40"/>
      <c r="BT369" s="40"/>
      <c r="BU369" s="40"/>
      <c r="BV369" s="40"/>
      <c r="BW369" s="40"/>
      <c r="BX369" s="40"/>
      <c r="BY369" s="40"/>
      <c r="BZ369" s="40"/>
      <c r="CA369" s="40"/>
      <c r="CB369" s="40"/>
      <c r="CC369" s="40"/>
      <c r="CD369" s="40"/>
      <c r="CE369" s="76">
        <f t="shared" si="16"/>
        <v>0</v>
      </c>
    </row>
    <row r="370" spans="1:107" s="5" customFormat="1" x14ac:dyDescent="0.25">
      <c r="A370" s="45" t="s">
        <v>151</v>
      </c>
      <c r="B370" s="75">
        <f>SUMIF(G$3:CD$3,"прих",G370:CD370)-SUMIF(G$3:CD$3,"отгр",G370:CD370)</f>
        <v>600</v>
      </c>
      <c r="C370" s="67">
        <v>25</v>
      </c>
      <c r="D370" s="93">
        <v>44501</v>
      </c>
      <c r="E370" s="83">
        <v>28.14</v>
      </c>
      <c r="F370" s="77">
        <f t="shared" si="17"/>
        <v>16884</v>
      </c>
      <c r="G370" s="75">
        <v>800</v>
      </c>
      <c r="H370" s="16"/>
      <c r="I370" s="16"/>
      <c r="J370" s="175"/>
      <c r="K370" s="16"/>
      <c r="L370" s="40"/>
      <c r="M370" s="40"/>
      <c r="N370" s="40"/>
      <c r="O370" s="40"/>
      <c r="P370" s="40"/>
      <c r="Q370" s="40"/>
      <c r="R370" s="40"/>
      <c r="S370" s="40"/>
      <c r="T370" s="40">
        <v>200</v>
      </c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  <c r="AQ370" s="40"/>
      <c r="AR370" s="40"/>
      <c r="AS370" s="40"/>
      <c r="AT370" s="40"/>
      <c r="AU370" s="40"/>
      <c r="AV370" s="40"/>
      <c r="AW370" s="40"/>
      <c r="AX370" s="40"/>
      <c r="AY370" s="40"/>
      <c r="AZ370" s="40"/>
      <c r="BA370" s="40"/>
      <c r="BB370" s="40"/>
      <c r="BC370" s="40"/>
      <c r="BD370" s="40"/>
      <c r="BE370" s="40"/>
      <c r="BF370" s="40"/>
      <c r="BG370" s="40"/>
      <c r="BH370" s="40"/>
      <c r="BI370" s="40"/>
      <c r="BJ370" s="40"/>
      <c r="BK370" s="40"/>
      <c r="BL370" s="40"/>
      <c r="BM370" s="40"/>
      <c r="BN370" s="40"/>
      <c r="BO370" s="40"/>
      <c r="BP370" s="40"/>
      <c r="BQ370" s="40"/>
      <c r="BR370" s="40"/>
      <c r="BS370" s="40"/>
      <c r="BT370" s="40"/>
      <c r="BU370" s="40"/>
      <c r="BV370" s="40"/>
      <c r="BW370" s="40"/>
      <c r="BX370" s="40"/>
      <c r="BY370" s="40"/>
      <c r="BZ370" s="40"/>
      <c r="CA370" s="40"/>
      <c r="CB370" s="40"/>
      <c r="CC370" s="40"/>
      <c r="CD370" s="40">
        <v>600</v>
      </c>
      <c r="CE370" s="76">
        <f t="shared" si="16"/>
        <v>0</v>
      </c>
    </row>
    <row r="371" spans="1:107" s="5" customFormat="1" x14ac:dyDescent="0.25">
      <c r="A371" s="24" t="s">
        <v>67</v>
      </c>
      <c r="B371" s="75">
        <f>SUMIF(G$3:CD$3,"прих",G371:CD371)-SUMIF(G$3:CD$3,"отгр",G371:CD371)</f>
        <v>800</v>
      </c>
      <c r="C371" s="67">
        <v>25</v>
      </c>
      <c r="D371" s="74">
        <v>44501</v>
      </c>
      <c r="E371" s="77">
        <v>35.549999999999997</v>
      </c>
      <c r="F371" s="77">
        <f t="shared" si="17"/>
        <v>28439.999999999996</v>
      </c>
      <c r="G371" s="75">
        <v>800</v>
      </c>
      <c r="H371" s="16"/>
      <c r="I371" s="16"/>
      <c r="J371" s="175"/>
      <c r="K371" s="16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  <c r="AQ371" s="40"/>
      <c r="AR371" s="40"/>
      <c r="AS371" s="40"/>
      <c r="AT371" s="40"/>
      <c r="AU371" s="40"/>
      <c r="AV371" s="40"/>
      <c r="AW371" s="40"/>
      <c r="AX371" s="40"/>
      <c r="AY371" s="40"/>
      <c r="AZ371" s="40"/>
      <c r="BA371" s="40"/>
      <c r="BB371" s="40"/>
      <c r="BC371" s="40"/>
      <c r="BD371" s="40"/>
      <c r="BE371" s="40"/>
      <c r="BF371" s="40"/>
      <c r="BG371" s="40"/>
      <c r="BH371" s="40"/>
      <c r="BI371" s="40"/>
      <c r="BJ371" s="40"/>
      <c r="BK371" s="40"/>
      <c r="BL371" s="40"/>
      <c r="BM371" s="40"/>
      <c r="BN371" s="40"/>
      <c r="BO371" s="40"/>
      <c r="BP371" s="40"/>
      <c r="BQ371" s="40"/>
      <c r="BR371" s="40"/>
      <c r="BS371" s="40"/>
      <c r="BT371" s="40"/>
      <c r="BU371" s="40"/>
      <c r="BV371" s="40"/>
      <c r="BW371" s="40"/>
      <c r="BX371" s="40"/>
      <c r="BY371" s="40"/>
      <c r="BZ371" s="40"/>
      <c r="CA371" s="40"/>
      <c r="CB371" s="40"/>
      <c r="CC371" s="40"/>
      <c r="CD371" s="40">
        <v>800</v>
      </c>
      <c r="CE371" s="76">
        <f t="shared" si="16"/>
        <v>0</v>
      </c>
    </row>
    <row r="372" spans="1:107" s="5" customFormat="1" ht="13.8" x14ac:dyDescent="0.25">
      <c r="A372" s="97" t="s">
        <v>21</v>
      </c>
      <c r="B372" s="98">
        <f>SUM(B367:B371)</f>
        <v>1490</v>
      </c>
      <c r="C372" s="99"/>
      <c r="D372" s="100"/>
      <c r="E372" s="101"/>
      <c r="F372" s="77">
        <f t="shared" si="17"/>
        <v>0</v>
      </c>
      <c r="G372" s="98">
        <f>SUM(G367:G371)</f>
        <v>1690</v>
      </c>
      <c r="H372" s="170"/>
      <c r="I372" s="170"/>
      <c r="J372" s="179"/>
      <c r="K372" s="17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  <c r="AQ372" s="40"/>
      <c r="AR372" s="40"/>
      <c r="AS372" s="40"/>
      <c r="AT372" s="40"/>
      <c r="AU372" s="40"/>
      <c r="AV372" s="40"/>
      <c r="AW372" s="40"/>
      <c r="AX372" s="40"/>
      <c r="AY372" s="40"/>
      <c r="AZ372" s="40"/>
      <c r="BA372" s="40"/>
      <c r="BB372" s="40"/>
      <c r="BC372" s="40"/>
      <c r="BD372" s="40"/>
      <c r="BE372" s="40"/>
      <c r="BF372" s="40"/>
      <c r="BG372" s="40"/>
      <c r="BH372" s="40"/>
      <c r="BI372" s="40"/>
      <c r="BJ372" s="40"/>
      <c r="BK372" s="40"/>
      <c r="BL372" s="40"/>
      <c r="BM372" s="40"/>
      <c r="BN372" s="40"/>
      <c r="BO372" s="40"/>
      <c r="BP372" s="40"/>
      <c r="BQ372" s="40"/>
      <c r="BR372" s="40"/>
      <c r="BS372" s="40"/>
      <c r="BT372" s="40"/>
      <c r="BU372" s="40"/>
      <c r="BV372" s="40"/>
      <c r="BW372" s="40"/>
      <c r="BX372" s="40"/>
      <c r="BY372" s="40"/>
      <c r="BZ372" s="40"/>
      <c r="CA372" s="40"/>
      <c r="CB372" s="40"/>
      <c r="CC372" s="40"/>
      <c r="CD372" s="40"/>
      <c r="CE372" s="98">
        <f t="shared" si="16"/>
        <v>1490</v>
      </c>
    </row>
    <row r="373" spans="1:107" ht="13.8" x14ac:dyDescent="0.25">
      <c r="A373" s="97" t="s">
        <v>22</v>
      </c>
      <c r="B373" s="98">
        <f>B286+B366+B372</f>
        <v>8110.5000000000009</v>
      </c>
      <c r="C373" s="102"/>
      <c r="D373" s="102"/>
      <c r="E373" s="102"/>
      <c r="F373" s="77">
        <f t="shared" si="17"/>
        <v>0</v>
      </c>
      <c r="G373" s="98">
        <f>G286+G366+G372</f>
        <v>4634.5</v>
      </c>
      <c r="H373" s="170"/>
      <c r="I373" s="170"/>
      <c r="J373" s="179"/>
      <c r="K373" s="17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  <c r="AQ373" s="40"/>
      <c r="AR373" s="40"/>
      <c r="AS373" s="40"/>
      <c r="AT373" s="40"/>
      <c r="AU373" s="40"/>
      <c r="AV373" s="40"/>
      <c r="AW373" s="40"/>
      <c r="AX373" s="40"/>
      <c r="AY373" s="40"/>
      <c r="AZ373" s="40"/>
      <c r="BA373" s="40"/>
      <c r="BB373" s="40"/>
      <c r="BC373" s="40"/>
      <c r="BD373" s="40"/>
      <c r="BE373" s="40"/>
      <c r="BF373" s="40"/>
      <c r="BG373" s="40"/>
      <c r="BH373" s="40"/>
      <c r="BI373" s="40"/>
      <c r="BJ373" s="40"/>
      <c r="BK373" s="40"/>
      <c r="BL373" s="40"/>
      <c r="BM373" s="40"/>
      <c r="BN373" s="40"/>
      <c r="BO373" s="40"/>
      <c r="BP373" s="40"/>
      <c r="BQ373" s="40"/>
      <c r="BR373" s="40"/>
      <c r="BS373" s="40"/>
      <c r="BT373" s="40"/>
      <c r="BU373" s="40"/>
      <c r="BV373" s="40"/>
      <c r="BW373" s="40"/>
      <c r="BX373" s="40"/>
      <c r="BY373" s="40"/>
      <c r="BZ373" s="40"/>
      <c r="CA373" s="40"/>
      <c r="CB373" s="40"/>
      <c r="CC373" s="40"/>
      <c r="CD373" s="40"/>
      <c r="CE373" s="98">
        <f t="shared" si="16"/>
        <v>8110.5000000000009</v>
      </c>
      <c r="CF373" s="5"/>
      <c r="CH373" s="7"/>
      <c r="CI373" s="7"/>
      <c r="CJ373" s="7"/>
      <c r="CK373" s="7"/>
      <c r="CL373" s="7"/>
      <c r="CM373" s="7"/>
      <c r="CN373" s="7"/>
      <c r="CO373" s="7"/>
      <c r="CP373" s="7"/>
      <c r="CQ373" s="7"/>
      <c r="CR373" s="7"/>
      <c r="CS373" s="7"/>
      <c r="CT373" s="7"/>
      <c r="CU373" s="7"/>
      <c r="CV373" s="7"/>
      <c r="CW373" s="7"/>
      <c r="CX373" s="7"/>
      <c r="CY373" s="7"/>
      <c r="CZ373" s="7"/>
      <c r="DA373" s="7"/>
      <c r="DB373" s="7"/>
      <c r="DC373" s="7"/>
    </row>
    <row r="374" spans="1:107" ht="14.25" customHeight="1" x14ac:dyDescent="0.25">
      <c r="A374" s="36"/>
      <c r="B374" s="11"/>
      <c r="C374" s="4"/>
      <c r="D374" s="11"/>
      <c r="E374" s="37"/>
      <c r="F374" s="34"/>
      <c r="G374" s="57"/>
      <c r="H374" s="35">
        <f t="shared" ref="H374:AW374" si="19">SUM(H4:H373)</f>
        <v>30</v>
      </c>
      <c r="I374" s="35">
        <f t="shared" si="19"/>
        <v>10</v>
      </c>
      <c r="J374" s="177">
        <f t="shared" si="19"/>
        <v>204.5</v>
      </c>
      <c r="K374" s="35">
        <f t="shared" si="19"/>
        <v>140</v>
      </c>
      <c r="L374" s="35">
        <f t="shared" si="19"/>
        <v>7</v>
      </c>
      <c r="M374" s="35">
        <f t="shared" si="19"/>
        <v>8.8000000000000007</v>
      </c>
      <c r="N374" s="35">
        <f t="shared" si="19"/>
        <v>10</v>
      </c>
      <c r="O374" s="35"/>
      <c r="P374" s="35">
        <f t="shared" si="19"/>
        <v>1100</v>
      </c>
      <c r="Q374" s="35">
        <f t="shared" si="19"/>
        <v>832</v>
      </c>
      <c r="R374" s="35">
        <f t="shared" si="19"/>
        <v>1410</v>
      </c>
      <c r="S374" s="35">
        <f t="shared" si="19"/>
        <v>751</v>
      </c>
      <c r="T374" s="35">
        <f t="shared" si="19"/>
        <v>272</v>
      </c>
      <c r="U374" s="35">
        <f t="shared" si="19"/>
        <v>40</v>
      </c>
      <c r="V374" s="35">
        <f t="shared" si="19"/>
        <v>3.6</v>
      </c>
      <c r="W374" s="35">
        <f t="shared" si="19"/>
        <v>550</v>
      </c>
      <c r="X374" s="35">
        <f t="shared" si="19"/>
        <v>15</v>
      </c>
      <c r="Y374" s="35">
        <f t="shared" si="19"/>
        <v>9</v>
      </c>
      <c r="Z374" s="35">
        <f t="shared" si="19"/>
        <v>30</v>
      </c>
      <c r="AA374" s="35">
        <f t="shared" si="19"/>
        <v>56</v>
      </c>
      <c r="AB374" s="35"/>
      <c r="AC374" s="35">
        <f t="shared" si="19"/>
        <v>90</v>
      </c>
      <c r="AD374" s="35">
        <f t="shared" si="19"/>
        <v>3.8</v>
      </c>
      <c r="AE374" s="35">
        <f t="shared" si="19"/>
        <v>6.8</v>
      </c>
      <c r="AF374" s="35">
        <f t="shared" si="19"/>
        <v>55</v>
      </c>
      <c r="AG374" s="35">
        <f t="shared" si="19"/>
        <v>50</v>
      </c>
      <c r="AH374" s="35">
        <f t="shared" si="19"/>
        <v>70</v>
      </c>
      <c r="AI374" s="35">
        <f t="shared" si="19"/>
        <v>60</v>
      </c>
      <c r="AJ374" s="35">
        <f t="shared" si="19"/>
        <v>104</v>
      </c>
      <c r="AK374" s="35">
        <f t="shared" si="19"/>
        <v>20</v>
      </c>
      <c r="AL374" s="35">
        <f t="shared" si="19"/>
        <v>98</v>
      </c>
      <c r="AM374" s="35">
        <f t="shared" si="19"/>
        <v>2</v>
      </c>
      <c r="AN374" s="35">
        <f t="shared" si="19"/>
        <v>30</v>
      </c>
      <c r="AO374" s="35">
        <f t="shared" si="19"/>
        <v>4</v>
      </c>
      <c r="AP374" s="35">
        <f t="shared" si="19"/>
        <v>65</v>
      </c>
      <c r="AQ374" s="35">
        <f t="shared" si="19"/>
        <v>36</v>
      </c>
      <c r="AR374" s="35">
        <f t="shared" si="19"/>
        <v>10</v>
      </c>
      <c r="AS374" s="35">
        <f t="shared" si="19"/>
        <v>31</v>
      </c>
      <c r="AT374" s="35">
        <f t="shared" si="19"/>
        <v>50</v>
      </c>
      <c r="AU374" s="35">
        <f t="shared" si="19"/>
        <v>1</v>
      </c>
      <c r="AV374" s="35">
        <f t="shared" si="19"/>
        <v>24</v>
      </c>
      <c r="AW374" s="35">
        <f t="shared" si="19"/>
        <v>1273</v>
      </c>
      <c r="AX374" s="35">
        <f t="shared" ref="AX374:BE374" si="20">SUM(AX4:AX373)</f>
        <v>10</v>
      </c>
      <c r="AY374" s="35">
        <f t="shared" si="20"/>
        <v>50</v>
      </c>
      <c r="AZ374" s="35">
        <f t="shared" si="20"/>
        <v>160</v>
      </c>
      <c r="BA374" s="35">
        <f t="shared" si="20"/>
        <v>33</v>
      </c>
      <c r="BB374" s="35">
        <f t="shared" si="20"/>
        <v>30</v>
      </c>
      <c r="BC374" s="35">
        <f t="shared" si="20"/>
        <v>10</v>
      </c>
      <c r="BD374" s="35">
        <f t="shared" si="20"/>
        <v>2786.3</v>
      </c>
      <c r="BE374" s="35">
        <f t="shared" si="20"/>
        <v>1996.3</v>
      </c>
      <c r="BF374" s="35">
        <f>SUM(BF4:BF373)</f>
        <v>117</v>
      </c>
      <c r="BG374" s="35">
        <f t="shared" ref="BG374:CA374" si="21">SUM(BG4:BG373)</f>
        <v>101</v>
      </c>
      <c r="BH374" s="35">
        <f t="shared" si="21"/>
        <v>1</v>
      </c>
      <c r="BI374" s="35">
        <f t="shared" si="21"/>
        <v>43.1</v>
      </c>
      <c r="BJ374" s="35">
        <f t="shared" si="21"/>
        <v>2</v>
      </c>
      <c r="BK374" s="35">
        <f t="shared" si="21"/>
        <v>2.1</v>
      </c>
      <c r="BL374" s="35">
        <f t="shared" si="21"/>
        <v>74</v>
      </c>
      <c r="BM374" s="35">
        <f t="shared" si="21"/>
        <v>30</v>
      </c>
      <c r="BN374" s="35">
        <f t="shared" si="21"/>
        <v>2</v>
      </c>
      <c r="BO374" s="35">
        <f t="shared" si="21"/>
        <v>4</v>
      </c>
      <c r="BP374" s="35">
        <f t="shared" si="21"/>
        <v>176</v>
      </c>
      <c r="BQ374" s="35">
        <f t="shared" si="21"/>
        <v>20</v>
      </c>
      <c r="BR374" s="35">
        <f t="shared" si="21"/>
        <v>55</v>
      </c>
      <c r="BS374" s="35">
        <f t="shared" si="21"/>
        <v>3.8000000000000003</v>
      </c>
      <c r="BT374" s="35">
        <f t="shared" si="21"/>
        <v>50</v>
      </c>
      <c r="BU374" s="35">
        <f t="shared" si="21"/>
        <v>31</v>
      </c>
      <c r="BV374" s="35">
        <f t="shared" si="21"/>
        <v>1</v>
      </c>
      <c r="BW374" s="35">
        <f t="shared" si="21"/>
        <v>40</v>
      </c>
      <c r="BX374" s="35">
        <f t="shared" si="21"/>
        <v>10</v>
      </c>
      <c r="BY374" s="35">
        <f t="shared" si="21"/>
        <v>1.9</v>
      </c>
      <c r="BZ374" s="35">
        <f t="shared" si="21"/>
        <v>6</v>
      </c>
      <c r="CA374" s="35">
        <f t="shared" si="21"/>
        <v>1</v>
      </c>
      <c r="CB374" s="35">
        <f>SUM(CB4:CB373)</f>
        <v>11</v>
      </c>
      <c r="CC374" s="35">
        <f>SUM(CC4:CC373)</f>
        <v>10</v>
      </c>
      <c r="CD374" s="35">
        <f>SUM(CD4:CD373)</f>
        <v>2324.4</v>
      </c>
      <c r="CE374" s="57"/>
      <c r="CF374" s="86"/>
      <c r="CH374" s="7"/>
      <c r="CI374" s="7"/>
      <c r="CJ374" s="7"/>
      <c r="CK374" s="7"/>
      <c r="CL374" s="7"/>
      <c r="CM374" s="7"/>
      <c r="CN374" s="7"/>
      <c r="CO374" s="7"/>
      <c r="CP374" s="7"/>
      <c r="CQ374" s="7"/>
      <c r="CR374" s="7"/>
      <c r="CS374" s="7"/>
      <c r="CT374" s="7"/>
      <c r="CU374" s="7"/>
      <c r="CV374" s="7"/>
      <c r="CW374" s="7"/>
      <c r="CX374" s="7"/>
      <c r="CY374" s="7"/>
      <c r="CZ374" s="7"/>
      <c r="DA374" s="7"/>
      <c r="DB374" s="7"/>
      <c r="DC374" s="7"/>
    </row>
    <row r="375" spans="1:107" x14ac:dyDescent="0.25">
      <c r="A375" s="36"/>
      <c r="B375" s="11"/>
      <c r="C375" s="4"/>
      <c r="D375" s="11"/>
      <c r="E375" s="6"/>
      <c r="F375" s="4"/>
      <c r="G375" s="49"/>
      <c r="H375" s="49"/>
      <c r="I375" s="49"/>
      <c r="J375" s="180"/>
      <c r="K375" s="49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/>
      <c r="AK375" s="35"/>
      <c r="AL375" s="35"/>
      <c r="AM375" s="35"/>
      <c r="AN375" s="35"/>
      <c r="AO375" s="35"/>
      <c r="AP375" s="35"/>
      <c r="AQ375" s="35"/>
      <c r="AR375" s="35"/>
      <c r="AS375" s="35"/>
      <c r="AT375" s="35"/>
      <c r="AU375" s="35"/>
      <c r="AV375" s="35"/>
      <c r="AW375" s="35"/>
      <c r="AX375" s="35"/>
      <c r="AY375" s="35"/>
      <c r="AZ375" s="35"/>
      <c r="BA375" s="35"/>
      <c r="BB375" s="35"/>
      <c r="BC375" s="35"/>
      <c r="BD375" s="35"/>
      <c r="BE375" s="35"/>
      <c r="BF375" s="35"/>
      <c r="BG375" s="35"/>
      <c r="BH375" s="35"/>
      <c r="BI375" s="35"/>
      <c r="BJ375" s="35"/>
      <c r="BK375" s="35"/>
      <c r="BL375" s="35"/>
      <c r="BM375" s="35"/>
      <c r="BN375" s="35"/>
      <c r="BO375" s="35"/>
      <c r="BP375" s="35"/>
      <c r="BQ375" s="35"/>
      <c r="BR375" s="35"/>
      <c r="BS375" s="35"/>
      <c r="BT375" s="35"/>
      <c r="BU375" s="35"/>
      <c r="BV375" s="35"/>
      <c r="BW375" s="35"/>
      <c r="BX375" s="35"/>
      <c r="BY375" s="35"/>
      <c r="BZ375" s="35"/>
      <c r="CA375" s="35"/>
      <c r="CB375" s="35"/>
      <c r="CC375" s="35"/>
      <c r="CD375" s="52"/>
      <c r="CE375" s="42"/>
      <c r="CF375" s="5"/>
      <c r="CH375" s="7"/>
      <c r="CI375" s="7"/>
      <c r="CJ375" s="7"/>
      <c r="CK375" s="7"/>
      <c r="CL375" s="7"/>
      <c r="CM375" s="7"/>
      <c r="CN375" s="7"/>
      <c r="CO375" s="7"/>
      <c r="CP375" s="7"/>
      <c r="CQ375" s="7"/>
      <c r="CR375" s="7"/>
      <c r="CS375" s="7"/>
      <c r="CT375" s="7"/>
      <c r="CU375" s="7"/>
      <c r="CV375" s="7"/>
      <c r="CW375" s="7"/>
      <c r="CX375" s="7"/>
      <c r="CY375" s="7"/>
      <c r="CZ375" s="7"/>
      <c r="DA375" s="7"/>
      <c r="DB375" s="7"/>
      <c r="DC375" s="7"/>
    </row>
    <row r="376" spans="1:107" x14ac:dyDescent="0.25">
      <c r="A376" s="36"/>
      <c r="B376" s="16"/>
      <c r="C376" s="4"/>
      <c r="D376" s="11"/>
      <c r="E376" s="6"/>
      <c r="F376" s="4"/>
      <c r="G376" s="49"/>
      <c r="H376" s="49"/>
      <c r="I376" s="49"/>
      <c r="J376" s="180"/>
      <c r="K376" s="49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/>
      <c r="AK376" s="35"/>
      <c r="AL376" s="35"/>
      <c r="AM376" s="35"/>
      <c r="AN376" s="35"/>
      <c r="AO376" s="35"/>
      <c r="AP376" s="35"/>
      <c r="AQ376" s="35"/>
      <c r="AR376" s="35"/>
      <c r="AS376" s="35"/>
      <c r="AT376" s="35"/>
      <c r="AU376" s="35"/>
      <c r="AV376" s="35"/>
      <c r="AW376" s="35"/>
      <c r="AX376" s="35"/>
      <c r="AY376" s="35"/>
      <c r="AZ376" s="35"/>
      <c r="BA376" s="35"/>
      <c r="BB376" s="35"/>
      <c r="BC376" s="35"/>
      <c r="BD376" s="35"/>
      <c r="BE376" s="35"/>
      <c r="BF376" s="35"/>
      <c r="BG376" s="35"/>
      <c r="BH376" s="35"/>
      <c r="BI376" s="35"/>
      <c r="BJ376" s="35"/>
      <c r="BK376" s="35"/>
      <c r="BL376" s="35"/>
      <c r="BM376" s="35"/>
      <c r="BN376" s="35"/>
      <c r="BO376" s="35"/>
      <c r="BP376" s="35"/>
      <c r="BQ376" s="35"/>
      <c r="BR376" s="35"/>
      <c r="BS376" s="35"/>
      <c r="BT376" s="35"/>
      <c r="BU376" s="35"/>
      <c r="BV376" s="35"/>
      <c r="BW376" s="35"/>
      <c r="BX376" s="35"/>
      <c r="BY376" s="35"/>
      <c r="BZ376" s="35"/>
      <c r="CA376" s="35"/>
      <c r="CB376" s="35"/>
      <c r="CC376" s="35"/>
      <c r="CD376" s="52"/>
      <c r="CF376" s="5"/>
      <c r="CH376" s="7"/>
      <c r="CI376" s="7"/>
      <c r="CJ376" s="7"/>
      <c r="CK376" s="7"/>
      <c r="CL376" s="7"/>
      <c r="CM376" s="7"/>
      <c r="CN376" s="7"/>
      <c r="CO376" s="7"/>
      <c r="CP376" s="7"/>
      <c r="CQ376" s="7"/>
      <c r="CR376" s="7"/>
      <c r="CS376" s="7"/>
      <c r="CT376" s="7"/>
      <c r="CU376" s="7"/>
      <c r="CV376" s="7"/>
      <c r="CW376" s="7"/>
      <c r="CX376" s="7"/>
      <c r="CY376" s="7"/>
      <c r="CZ376" s="7"/>
      <c r="DA376" s="7"/>
      <c r="DB376" s="7"/>
      <c r="DC376" s="7"/>
    </row>
    <row r="377" spans="1:107" ht="13.8" thickBot="1" x14ac:dyDescent="0.3"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/>
      <c r="AK377" s="35"/>
      <c r="AL377" s="35"/>
      <c r="AM377" s="35"/>
      <c r="AN377" s="35"/>
      <c r="AO377" s="35"/>
      <c r="AP377" s="35"/>
      <c r="AQ377" s="35"/>
      <c r="AR377" s="35"/>
      <c r="AS377" s="35"/>
      <c r="AT377" s="35"/>
      <c r="AU377" s="35"/>
      <c r="AV377" s="35"/>
      <c r="AW377" s="35"/>
      <c r="AX377" s="35"/>
      <c r="AY377" s="35"/>
      <c r="AZ377" s="35"/>
      <c r="BA377" s="35"/>
      <c r="BB377" s="35"/>
      <c r="BC377" s="35"/>
      <c r="BD377" s="35"/>
      <c r="BE377" s="35"/>
      <c r="BF377" s="35"/>
      <c r="BG377" s="35"/>
      <c r="BH377" s="35"/>
      <c r="BI377" s="35"/>
      <c r="BJ377" s="35"/>
      <c r="BK377" s="35"/>
      <c r="BL377" s="35"/>
      <c r="BM377" s="35"/>
      <c r="BN377" s="35"/>
      <c r="BO377" s="35"/>
      <c r="BP377" s="35"/>
      <c r="BQ377" s="35"/>
      <c r="BR377" s="35"/>
      <c r="BS377" s="35"/>
      <c r="BT377" s="35"/>
      <c r="BU377" s="35"/>
      <c r="BV377" s="35"/>
      <c r="BW377" s="35"/>
      <c r="BX377" s="35"/>
      <c r="BY377" s="35"/>
      <c r="BZ377" s="35"/>
      <c r="CA377" s="35"/>
      <c r="CB377" s="35"/>
      <c r="CC377" s="35"/>
      <c r="CD377" s="52"/>
      <c r="CF377" s="5"/>
      <c r="CH377" s="7"/>
      <c r="CI377" s="7"/>
      <c r="CJ377" s="7"/>
      <c r="CK377" s="7"/>
      <c r="CL377" s="7"/>
      <c r="CM377" s="7"/>
      <c r="CN377" s="7"/>
      <c r="CO377" s="7"/>
      <c r="CP377" s="7"/>
      <c r="CQ377" s="7"/>
      <c r="CR377" s="7"/>
      <c r="CS377" s="7"/>
      <c r="CT377" s="7"/>
      <c r="CU377" s="7"/>
      <c r="CV377" s="7"/>
      <c r="CW377" s="7"/>
      <c r="CX377" s="7"/>
      <c r="CY377" s="7"/>
      <c r="CZ377" s="7"/>
      <c r="DA377" s="7"/>
      <c r="DB377" s="7"/>
      <c r="DC377" s="7"/>
    </row>
    <row r="378" spans="1:107" x14ac:dyDescent="0.25">
      <c r="A378" s="65" t="s">
        <v>229</v>
      </c>
      <c r="B378" s="16"/>
      <c r="C378" s="4"/>
      <c r="D378" s="11"/>
      <c r="E378" s="6"/>
      <c r="F378" s="4"/>
      <c r="G378" s="49"/>
      <c r="H378" s="49"/>
      <c r="I378" s="49"/>
      <c r="J378" s="180"/>
      <c r="K378" s="49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/>
      <c r="AK378" s="35"/>
      <c r="AL378" s="35"/>
      <c r="AM378" s="35"/>
      <c r="AN378" s="35"/>
      <c r="AO378" s="35"/>
      <c r="AP378" s="35"/>
      <c r="AQ378" s="35"/>
      <c r="AR378" s="35"/>
      <c r="AS378" s="35"/>
      <c r="AT378" s="35"/>
      <c r="AW378" s="88">
        <v>755801.59999999998</v>
      </c>
      <c r="AX378" s="35"/>
      <c r="AY378" s="35"/>
      <c r="AZ378" s="35"/>
      <c r="BA378" s="35"/>
      <c r="BB378" s="35"/>
      <c r="BC378" s="35"/>
      <c r="BD378" s="88">
        <v>1600682.24</v>
      </c>
      <c r="BE378" s="88">
        <v>1039271.92</v>
      </c>
      <c r="BF378" s="35"/>
      <c r="BG378" s="35"/>
      <c r="BH378" s="35"/>
      <c r="BI378" s="35"/>
      <c r="BJ378" s="35"/>
      <c r="BK378" s="35"/>
      <c r="BL378" s="35"/>
      <c r="BM378" s="35"/>
      <c r="BN378" s="35"/>
      <c r="BO378" s="35"/>
      <c r="BP378" s="35"/>
      <c r="BQ378" s="35"/>
      <c r="BR378" s="35"/>
      <c r="BS378" s="35"/>
      <c r="BT378" s="35"/>
      <c r="BU378" s="35"/>
      <c r="BV378" s="35"/>
      <c r="BW378" s="35"/>
      <c r="BX378" s="35"/>
      <c r="BY378" s="35"/>
      <c r="BZ378" s="35"/>
      <c r="CA378" s="35"/>
      <c r="CB378" s="35"/>
      <c r="CC378" s="35"/>
      <c r="CD378" s="52"/>
      <c r="CE378" s="87">
        <f>AW378+BD378+BE378</f>
        <v>3395755.76</v>
      </c>
      <c r="CF378" s="5"/>
      <c r="CH378" s="7"/>
      <c r="CI378" s="7"/>
      <c r="CJ378" s="7"/>
      <c r="CK378" s="7"/>
      <c r="CL378" s="7"/>
      <c r="CM378" s="7"/>
      <c r="CN378" s="7"/>
      <c r="CO378" s="7"/>
      <c r="CP378" s="7"/>
      <c r="CQ378" s="7"/>
      <c r="CR378" s="7"/>
      <c r="CS378" s="7"/>
      <c r="CT378" s="7"/>
      <c r="CU378" s="7"/>
      <c r="CV378" s="7"/>
      <c r="CW378" s="7"/>
      <c r="CX378" s="7"/>
      <c r="CY378" s="7"/>
      <c r="CZ378" s="7"/>
      <c r="DA378" s="7"/>
      <c r="DB378" s="7"/>
      <c r="DC378" s="7"/>
    </row>
    <row r="379" spans="1:107" ht="13.8" x14ac:dyDescent="0.25">
      <c r="A379" s="53" t="s">
        <v>230</v>
      </c>
      <c r="B379" s="16"/>
      <c r="C379" s="4"/>
      <c r="D379" s="11"/>
      <c r="E379" s="6"/>
      <c r="F379" s="4"/>
      <c r="G379" s="49"/>
      <c r="H379" s="49"/>
      <c r="I379" s="49"/>
      <c r="J379" s="180"/>
      <c r="K379" s="49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/>
      <c r="AK379" s="35"/>
      <c r="AL379" s="35"/>
      <c r="AM379" s="35"/>
      <c r="AN379" s="35"/>
      <c r="AO379" s="35"/>
      <c r="AP379" s="35"/>
      <c r="AQ379" s="35"/>
      <c r="AR379" s="35"/>
      <c r="AS379" s="35"/>
      <c r="AT379" s="35"/>
      <c r="AU379" s="35"/>
      <c r="AV379" s="35"/>
      <c r="AW379" s="89">
        <v>755801.59999999998</v>
      </c>
      <c r="AX379" s="35"/>
      <c r="AY379" s="35"/>
      <c r="AZ379" s="35"/>
      <c r="BA379" s="35"/>
      <c r="BB379" s="35"/>
      <c r="BC379" s="35"/>
      <c r="BD379" s="89"/>
      <c r="BE379" s="89"/>
      <c r="BF379" s="35"/>
      <c r="BG379" s="35"/>
      <c r="BH379" s="35"/>
      <c r="BI379" s="35"/>
      <c r="BJ379" s="35"/>
      <c r="BK379" s="35"/>
      <c r="BL379" s="35"/>
      <c r="BM379" s="35"/>
      <c r="BN379" s="35"/>
      <c r="BO379" s="35"/>
      <c r="BP379" s="35"/>
      <c r="BQ379" s="35"/>
      <c r="BR379" s="35"/>
      <c r="BS379" s="35"/>
      <c r="BT379" s="35"/>
      <c r="BU379" s="35"/>
      <c r="BV379" s="35"/>
      <c r="BW379" s="35"/>
      <c r="BX379" s="35"/>
      <c r="BY379" s="35"/>
      <c r="BZ379" s="35"/>
      <c r="CA379" s="35"/>
      <c r="CB379" s="35"/>
      <c r="CC379" s="35"/>
      <c r="CD379" s="52"/>
      <c r="CE379" s="85">
        <f>AW379+BD379+BE379</f>
        <v>755801.59999999998</v>
      </c>
      <c r="CF379" s="5"/>
      <c r="CH379" s="7"/>
      <c r="CI379" s="7"/>
      <c r="CJ379" s="7"/>
      <c r="CK379" s="7"/>
      <c r="CL379" s="7"/>
      <c r="CM379" s="7"/>
      <c r="CN379" s="7"/>
      <c r="CO379" s="7"/>
      <c r="CP379" s="7"/>
      <c r="CQ379" s="7"/>
      <c r="CR379" s="7"/>
      <c r="CS379" s="7"/>
      <c r="CT379" s="7"/>
      <c r="CU379" s="7"/>
      <c r="CV379" s="7"/>
      <c r="CW379" s="7"/>
      <c r="CX379" s="7"/>
      <c r="CY379" s="7"/>
      <c r="CZ379" s="7"/>
      <c r="DA379" s="7"/>
      <c r="DB379" s="7"/>
      <c r="DC379" s="7"/>
    </row>
    <row r="380" spans="1:107" ht="13.8" thickBot="1" x14ac:dyDescent="0.3">
      <c r="A380" s="65" t="s">
        <v>231</v>
      </c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/>
      <c r="AK380" s="35"/>
      <c r="AL380" s="35"/>
      <c r="AM380" s="35"/>
      <c r="AN380" s="35"/>
      <c r="AO380" s="35"/>
      <c r="AP380" s="35"/>
      <c r="AQ380" s="35"/>
      <c r="AR380" s="35"/>
      <c r="AS380" s="35"/>
      <c r="AT380" s="35"/>
      <c r="AW380" s="90">
        <f>AW378-AW379</f>
        <v>0</v>
      </c>
      <c r="AX380" s="35"/>
      <c r="AY380" s="35"/>
      <c r="AZ380" s="35"/>
      <c r="BA380" s="35"/>
      <c r="BB380" s="35"/>
      <c r="BC380" s="35"/>
      <c r="BD380" s="90">
        <f>BD378-BD379</f>
        <v>1600682.24</v>
      </c>
      <c r="BE380" s="90">
        <f>BE378-BE379</f>
        <v>1039271.92</v>
      </c>
      <c r="BF380" s="35"/>
      <c r="BG380" s="35"/>
      <c r="BH380" s="35"/>
      <c r="BI380" s="35"/>
      <c r="BJ380" s="35"/>
      <c r="BK380" s="35"/>
      <c r="BL380" s="35"/>
      <c r="BM380" s="35"/>
      <c r="BN380" s="35"/>
      <c r="BO380" s="35"/>
      <c r="BP380" s="35"/>
      <c r="BQ380" s="35"/>
      <c r="BR380" s="35"/>
      <c r="BS380" s="35"/>
      <c r="BT380" s="35"/>
      <c r="BU380" s="35"/>
      <c r="BV380" s="35"/>
      <c r="BW380" s="35"/>
      <c r="BX380" s="35"/>
      <c r="BY380" s="35"/>
      <c r="BZ380" s="35"/>
      <c r="CA380" s="35"/>
      <c r="CB380" s="35"/>
      <c r="CC380" s="35"/>
      <c r="CD380" s="52"/>
      <c r="CE380" s="90">
        <f>CE378-CE379-32256</f>
        <v>2607698.1599999997</v>
      </c>
      <c r="CF380" s="5"/>
      <c r="CH380" s="7"/>
      <c r="CI380" s="7"/>
      <c r="CJ380" s="7"/>
      <c r="CK380" s="7"/>
      <c r="CL380" s="7"/>
      <c r="CM380" s="7"/>
      <c r="CN380" s="7"/>
      <c r="CO380" s="7"/>
      <c r="CP380" s="7"/>
      <c r="CQ380" s="7"/>
      <c r="CR380" s="7"/>
      <c r="CS380" s="7"/>
      <c r="CT380" s="7"/>
      <c r="CU380" s="7"/>
      <c r="CV380" s="7"/>
      <c r="CW380" s="7"/>
      <c r="CX380" s="7"/>
      <c r="CY380" s="7"/>
      <c r="CZ380" s="7"/>
      <c r="DA380" s="7"/>
      <c r="DB380" s="7"/>
      <c r="DC380" s="7"/>
    </row>
    <row r="381" spans="1:107" x14ac:dyDescent="0.25">
      <c r="A381" s="36"/>
      <c r="B381" s="16"/>
      <c r="C381" s="4"/>
      <c r="D381" s="11"/>
      <c r="E381" s="6"/>
      <c r="F381" s="4"/>
      <c r="G381" s="49"/>
      <c r="H381" s="49"/>
      <c r="I381" s="49"/>
      <c r="J381" s="180"/>
      <c r="K381" s="49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/>
      <c r="AK381" s="35"/>
      <c r="AL381" s="35"/>
      <c r="AM381" s="35"/>
      <c r="AN381" s="35"/>
      <c r="AO381" s="35"/>
      <c r="AP381" s="35"/>
      <c r="AQ381" s="35"/>
      <c r="AR381" s="35"/>
      <c r="AS381" s="35"/>
      <c r="AT381" s="35"/>
      <c r="AX381" s="35"/>
      <c r="AY381" s="35"/>
      <c r="AZ381" s="35"/>
      <c r="BA381" s="35"/>
      <c r="BB381" s="35"/>
      <c r="BC381" s="35"/>
      <c r="BD381" s="35"/>
      <c r="BE381" s="35"/>
      <c r="BF381" s="35"/>
      <c r="BG381" s="35"/>
      <c r="BH381" s="35"/>
      <c r="BI381" s="35"/>
      <c r="BJ381" s="35"/>
      <c r="BK381" s="35"/>
      <c r="BL381" s="35"/>
      <c r="BM381" s="35"/>
      <c r="BN381" s="35"/>
      <c r="BO381" s="35"/>
      <c r="BP381" s="35"/>
      <c r="BQ381" s="35"/>
      <c r="BR381" s="35"/>
      <c r="BS381" s="35"/>
      <c r="BT381" s="35"/>
      <c r="BU381" s="35"/>
      <c r="BV381" s="35"/>
      <c r="BW381" s="35"/>
      <c r="BX381" s="35"/>
      <c r="BY381" s="35"/>
      <c r="BZ381" s="35"/>
      <c r="CA381" s="35"/>
      <c r="CB381" s="35"/>
      <c r="CC381" s="35"/>
      <c r="CD381" s="52"/>
      <c r="CF381" s="5"/>
      <c r="CH381" s="7"/>
      <c r="CI381" s="7"/>
      <c r="CJ381" s="7"/>
      <c r="CK381" s="7"/>
      <c r="CL381" s="7"/>
      <c r="CM381" s="7"/>
      <c r="CN381" s="7"/>
      <c r="CO381" s="7"/>
      <c r="CP381" s="7"/>
      <c r="CQ381" s="7"/>
      <c r="CR381" s="7"/>
      <c r="CS381" s="7"/>
      <c r="CT381" s="7"/>
      <c r="CU381" s="7"/>
      <c r="CV381" s="7"/>
      <c r="CW381" s="7"/>
      <c r="CX381" s="7"/>
      <c r="CY381" s="7"/>
      <c r="CZ381" s="7"/>
      <c r="DA381" s="7"/>
      <c r="DB381" s="7"/>
      <c r="DC381" s="7"/>
    </row>
    <row r="382" spans="1:107" ht="13.8" thickBot="1" x14ac:dyDescent="0.3"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  <c r="AK382" s="35"/>
      <c r="AL382" s="35"/>
      <c r="AM382" s="157"/>
      <c r="AN382" s="157"/>
      <c r="AO382" s="157"/>
      <c r="AP382" s="157"/>
      <c r="AQ382" s="157"/>
      <c r="AR382" s="157"/>
      <c r="AS382" s="157"/>
      <c r="AT382" s="157"/>
      <c r="AU382" s="149"/>
      <c r="AV382" s="149"/>
      <c r="AW382" s="157"/>
      <c r="AX382" s="157"/>
      <c r="AY382" s="157"/>
      <c r="AZ382" s="157"/>
      <c r="BA382" s="157"/>
      <c r="BB382" s="157"/>
      <c r="BC382" s="157"/>
      <c r="BD382" s="157"/>
      <c r="BE382" s="157"/>
      <c r="BF382" s="157"/>
      <c r="BG382" s="157"/>
      <c r="BH382" s="157"/>
      <c r="BI382" s="157"/>
      <c r="BJ382" s="157"/>
      <c r="BK382" s="157"/>
      <c r="BL382" s="157"/>
      <c r="BM382" s="157"/>
      <c r="BN382" s="157"/>
      <c r="BO382" s="157"/>
      <c r="BP382" s="157"/>
      <c r="BQ382" s="157"/>
      <c r="BR382" s="157"/>
      <c r="BS382" s="157"/>
      <c r="BT382" s="157"/>
      <c r="BU382" s="157"/>
      <c r="BV382" s="157"/>
      <c r="BW382" s="157"/>
      <c r="BX382" s="157"/>
      <c r="BY382" s="157"/>
      <c r="BZ382" s="157"/>
      <c r="CA382" s="157"/>
      <c r="CB382" s="157"/>
      <c r="CC382" s="157"/>
      <c r="CD382" s="52"/>
      <c r="CF382" s="5"/>
      <c r="CH382" s="7"/>
      <c r="CI382" s="7"/>
      <c r="CJ382" s="7"/>
      <c r="CK382" s="7"/>
      <c r="CL382" s="7"/>
      <c r="CM382" s="7"/>
      <c r="CN382" s="7"/>
      <c r="CO382" s="7"/>
      <c r="CP382" s="7"/>
      <c r="CQ382" s="7"/>
      <c r="CR382" s="7"/>
      <c r="CS382" s="7"/>
      <c r="CT382" s="7"/>
      <c r="CU382" s="7"/>
      <c r="CV382" s="7"/>
      <c r="CW382" s="7"/>
      <c r="CX382" s="7"/>
      <c r="CY382" s="7"/>
      <c r="CZ382" s="7"/>
      <c r="DA382" s="7"/>
      <c r="DB382" s="7"/>
      <c r="DC382" s="7"/>
    </row>
    <row r="383" spans="1:107" x14ac:dyDescent="0.25">
      <c r="A383" s="29" t="s">
        <v>53</v>
      </c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  <c r="AG383" s="139"/>
      <c r="AH383" s="35"/>
      <c r="AI383" s="35"/>
      <c r="AJ383" s="35"/>
      <c r="AK383" s="35"/>
      <c r="AL383" s="35"/>
      <c r="AM383" s="157"/>
      <c r="AN383" s="157"/>
      <c r="AO383" s="157"/>
      <c r="AP383" s="157"/>
      <c r="AQ383" s="157"/>
      <c r="AR383" s="157"/>
      <c r="AS383" s="157"/>
      <c r="AT383" s="157"/>
      <c r="CD383" s="52"/>
      <c r="CE383" s="88" t="e">
        <f>#REF!+#REF!+#REF!+#REF!+#REF!+#REF!+#REF!+#REF!</f>
        <v>#REF!</v>
      </c>
      <c r="CF383" s="5"/>
      <c r="CH383" s="7"/>
      <c r="CI383" s="7"/>
      <c r="CJ383" s="7"/>
      <c r="CK383" s="7"/>
      <c r="CL383" s="7"/>
      <c r="CM383" s="7"/>
      <c r="CN383" s="7"/>
      <c r="CO383" s="7"/>
      <c r="CP383" s="7"/>
      <c r="CQ383" s="7"/>
      <c r="CR383" s="7"/>
      <c r="CS383" s="7"/>
      <c r="CT383" s="7"/>
      <c r="CU383" s="7"/>
      <c r="CV383" s="7"/>
      <c r="CW383" s="7"/>
      <c r="CX383" s="7"/>
      <c r="CY383" s="7"/>
      <c r="CZ383" s="7"/>
      <c r="DA383" s="7"/>
      <c r="DB383" s="7"/>
      <c r="DC383" s="7"/>
    </row>
    <row r="384" spans="1:107" ht="13.8" x14ac:dyDescent="0.25">
      <c r="A384" s="53" t="s">
        <v>78</v>
      </c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  <c r="AF384" s="35"/>
      <c r="AH384" s="35"/>
      <c r="AI384" s="35"/>
      <c r="AJ384" s="35"/>
      <c r="AK384" s="35"/>
      <c r="AL384" s="35"/>
      <c r="AM384" s="157"/>
      <c r="AN384" s="157"/>
      <c r="AO384" s="157"/>
      <c r="AP384" s="157"/>
      <c r="AQ384" s="157"/>
      <c r="AR384" s="157"/>
      <c r="AS384" s="157"/>
      <c r="AT384" s="157"/>
      <c r="CD384" s="52"/>
      <c r="CE384" s="89" t="e">
        <f>#REF!+#REF!+#REF!+#REF!+#REF!+#REF!+#REF!+#REF!</f>
        <v>#REF!</v>
      </c>
      <c r="CF384" s="5"/>
      <c r="CH384" s="7"/>
      <c r="CI384" s="7"/>
      <c r="CJ384" s="7"/>
      <c r="CK384" s="7"/>
      <c r="CL384" s="7"/>
      <c r="CM384" s="7"/>
      <c r="CN384" s="7"/>
      <c r="CO384" s="7"/>
      <c r="CP384" s="7"/>
      <c r="CQ384" s="7"/>
      <c r="CR384" s="7"/>
      <c r="CS384" s="7"/>
      <c r="CT384" s="7"/>
      <c r="CU384" s="7"/>
      <c r="CV384" s="7"/>
      <c r="CW384" s="7"/>
      <c r="CX384" s="7"/>
      <c r="CY384" s="7"/>
      <c r="CZ384" s="7"/>
      <c r="DA384" s="7"/>
      <c r="DB384" s="7"/>
      <c r="DC384" s="7"/>
    </row>
    <row r="385" spans="1:107" ht="13.8" thickBot="1" x14ac:dyDescent="0.3">
      <c r="A385" s="29" t="s">
        <v>73</v>
      </c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  <c r="AH385" s="35"/>
      <c r="AI385" s="35"/>
      <c r="AJ385" s="35"/>
      <c r="AK385" s="35"/>
      <c r="AL385" s="35"/>
      <c r="AM385" s="157"/>
      <c r="AN385" s="157"/>
      <c r="AO385" s="157"/>
      <c r="AP385" s="157"/>
      <c r="AQ385" s="157"/>
      <c r="AR385" s="157"/>
      <c r="AS385" s="157"/>
      <c r="AT385" s="157"/>
      <c r="CD385" s="52"/>
      <c r="CE385" s="90" t="e">
        <f>CE383-CE384</f>
        <v>#REF!</v>
      </c>
      <c r="CF385" s="5"/>
      <c r="CH385" s="7"/>
      <c r="CI385" s="7"/>
      <c r="CJ385" s="7"/>
      <c r="CK385" s="7"/>
      <c r="CL385" s="7"/>
      <c r="CM385" s="7"/>
      <c r="CN385" s="7"/>
      <c r="CO385" s="7"/>
      <c r="CP385" s="7"/>
      <c r="CQ385" s="7"/>
      <c r="CR385" s="7"/>
      <c r="CS385" s="7"/>
      <c r="CT385" s="7"/>
      <c r="CU385" s="7"/>
      <c r="CV385" s="7"/>
      <c r="CW385" s="7"/>
      <c r="CX385" s="7"/>
      <c r="CY385" s="7"/>
      <c r="CZ385" s="7"/>
      <c r="DA385" s="7"/>
      <c r="DB385" s="7"/>
      <c r="DC385" s="7"/>
    </row>
    <row r="386" spans="1:107" x14ac:dyDescent="0.25">
      <c r="B386" s="7"/>
      <c r="C386" s="7"/>
      <c r="D386" s="7"/>
      <c r="F386" s="7"/>
      <c r="G386" s="7"/>
      <c r="H386" s="7"/>
      <c r="I386" s="7"/>
      <c r="K386" s="7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D386" s="35"/>
      <c r="AE386" s="35"/>
      <c r="AF386" s="35"/>
      <c r="AH386" s="35"/>
      <c r="AI386" s="35"/>
      <c r="AJ386" s="35"/>
      <c r="AK386" s="35"/>
      <c r="AL386" s="35"/>
      <c r="AM386" s="157"/>
      <c r="AN386" s="157"/>
      <c r="AO386" s="157"/>
      <c r="AP386" s="157"/>
      <c r="AQ386" s="157"/>
      <c r="AR386" s="157"/>
      <c r="AS386" s="157"/>
      <c r="AT386" s="157"/>
      <c r="CD386" s="7"/>
      <c r="CE386" s="7"/>
      <c r="CF386" s="5"/>
      <c r="CG386" s="7"/>
      <c r="CH386" s="7"/>
      <c r="CI386" s="7"/>
      <c r="CJ386" s="7"/>
      <c r="CK386" s="7"/>
      <c r="CL386" s="7"/>
      <c r="CM386" s="7"/>
      <c r="CN386" s="7"/>
      <c r="CO386" s="7"/>
      <c r="CP386" s="7"/>
      <c r="CQ386" s="7"/>
      <c r="CR386" s="7"/>
      <c r="CS386" s="7"/>
      <c r="CT386" s="7"/>
      <c r="CU386" s="7"/>
      <c r="CV386" s="7"/>
      <c r="CW386" s="7"/>
      <c r="CX386" s="7"/>
      <c r="CY386" s="7"/>
      <c r="CZ386" s="7"/>
      <c r="DA386" s="7"/>
      <c r="DB386" s="7"/>
      <c r="DC386" s="7"/>
    </row>
    <row r="387" spans="1:107" ht="13.8" thickBot="1" x14ac:dyDescent="0.3">
      <c r="B387" s="7"/>
      <c r="C387" s="7"/>
      <c r="D387" s="7"/>
      <c r="F387" s="7"/>
      <c r="G387" s="7"/>
      <c r="H387" s="7"/>
      <c r="I387" s="7"/>
      <c r="K387" s="7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35"/>
      <c r="AF387" s="35"/>
      <c r="AH387" s="35"/>
      <c r="AI387" s="35"/>
      <c r="AJ387" s="35"/>
      <c r="AK387" s="35"/>
      <c r="AL387" s="35"/>
      <c r="AM387" s="157"/>
      <c r="AN387" s="157"/>
      <c r="AO387" s="157"/>
      <c r="AP387" s="157"/>
      <c r="AQ387" s="157"/>
      <c r="AR387" s="157"/>
      <c r="AS387" s="157"/>
      <c r="AT387" s="157"/>
      <c r="CD387" s="7"/>
      <c r="CE387" s="7"/>
      <c r="CF387" s="5"/>
      <c r="CG387" s="7"/>
      <c r="CH387" s="7"/>
      <c r="CI387" s="7"/>
      <c r="CJ387" s="7"/>
      <c r="CK387" s="7"/>
      <c r="CL387" s="7"/>
      <c r="CM387" s="7"/>
      <c r="CN387" s="7"/>
      <c r="CO387" s="7"/>
      <c r="CP387" s="7"/>
      <c r="CQ387" s="7"/>
      <c r="CR387" s="7"/>
      <c r="CS387" s="7"/>
      <c r="CT387" s="7"/>
      <c r="CU387" s="7"/>
      <c r="CV387" s="7"/>
      <c r="CW387" s="7"/>
      <c r="CX387" s="7"/>
      <c r="CY387" s="7"/>
      <c r="CZ387" s="7"/>
      <c r="DA387" s="7"/>
      <c r="DB387" s="7"/>
      <c r="DC387" s="7"/>
    </row>
    <row r="388" spans="1:107" x14ac:dyDescent="0.25">
      <c r="A388" s="65" t="s">
        <v>232</v>
      </c>
      <c r="B388" s="7"/>
      <c r="C388" s="7"/>
      <c r="D388" s="7"/>
      <c r="F388" s="7"/>
      <c r="G388" s="7"/>
      <c r="H388" s="7"/>
      <c r="I388" s="7"/>
      <c r="K388" s="7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  <c r="AH388" s="35"/>
      <c r="AI388" s="35"/>
      <c r="AJ388" s="35"/>
      <c r="AK388" s="35"/>
      <c r="AL388" s="35"/>
      <c r="AM388" s="157"/>
      <c r="AN388" s="157"/>
      <c r="AO388" s="157"/>
      <c r="AP388" s="157"/>
      <c r="AQ388" s="157"/>
      <c r="AR388" s="157"/>
      <c r="AS388" s="157"/>
      <c r="AT388" s="157"/>
      <c r="BF388" s="183">
        <v>1473.44</v>
      </c>
      <c r="BG388" s="186"/>
      <c r="BH388" s="186"/>
      <c r="BI388" s="186"/>
      <c r="CD388" s="7"/>
      <c r="CE388" s="88">
        <f>BF388</f>
        <v>1473.44</v>
      </c>
      <c r="CF388" s="5"/>
      <c r="CG388" s="7"/>
      <c r="CH388" s="7"/>
      <c r="CI388" s="7"/>
      <c r="CJ388" s="7"/>
      <c r="CK388" s="7"/>
      <c r="CL388" s="7"/>
      <c r="CM388" s="7"/>
      <c r="CN388" s="7"/>
      <c r="CO388" s="7"/>
      <c r="CP388" s="7"/>
      <c r="CQ388" s="7"/>
      <c r="CR388" s="7"/>
      <c r="CS388" s="7"/>
      <c r="CT388" s="7"/>
      <c r="CU388" s="7"/>
      <c r="CV388" s="7"/>
      <c r="CW388" s="7"/>
      <c r="CX388" s="7"/>
      <c r="CY388" s="7"/>
      <c r="CZ388" s="7"/>
      <c r="DA388" s="7"/>
      <c r="DB388" s="7"/>
      <c r="DC388" s="7"/>
    </row>
    <row r="389" spans="1:107" x14ac:dyDescent="0.25">
      <c r="A389" s="65" t="s">
        <v>399</v>
      </c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  <c r="AH389" s="35"/>
      <c r="AI389" s="35"/>
      <c r="AJ389" s="35"/>
      <c r="AK389" s="35"/>
      <c r="AL389" s="35"/>
      <c r="AM389" s="157"/>
      <c r="AN389" s="157"/>
      <c r="AO389" s="157"/>
      <c r="AP389" s="157"/>
      <c r="AQ389" s="157"/>
      <c r="AR389" s="157"/>
      <c r="AS389" s="157"/>
      <c r="AT389" s="157"/>
      <c r="BF389" s="184"/>
      <c r="BG389" s="186"/>
      <c r="BH389" s="186"/>
      <c r="BI389" s="186"/>
      <c r="CE389" s="89">
        <f>BF389</f>
        <v>0</v>
      </c>
    </row>
    <row r="390" spans="1:107" ht="14.4" thickBot="1" x14ac:dyDescent="0.3">
      <c r="A390" s="53" t="s">
        <v>233</v>
      </c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/>
      <c r="AH390" s="35"/>
      <c r="AI390" s="35"/>
      <c r="AJ390" s="35"/>
      <c r="AK390" s="35"/>
      <c r="AL390" s="35"/>
      <c r="AM390" s="157"/>
      <c r="AN390" s="157"/>
      <c r="AO390" s="157"/>
      <c r="AP390" s="157"/>
      <c r="AQ390" s="157"/>
      <c r="AR390" s="157"/>
      <c r="AS390" s="157"/>
      <c r="AT390" s="157"/>
      <c r="BF390" s="185">
        <f>BF388-BF389</f>
        <v>1473.44</v>
      </c>
      <c r="BG390" s="186"/>
      <c r="BH390" s="186"/>
      <c r="BI390" s="186"/>
      <c r="CE390" s="90">
        <f>CE388-CE389</f>
        <v>1473.44</v>
      </c>
    </row>
    <row r="391" spans="1:107" x14ac:dyDescent="0.25"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X391" s="35"/>
      <c r="Y391" s="35"/>
      <c r="Z391" s="35"/>
      <c r="AA391" s="35"/>
      <c r="AB391" s="35"/>
      <c r="AC391" s="35"/>
      <c r="AD391" s="35"/>
      <c r="AE391" s="35"/>
      <c r="AF391" s="35"/>
      <c r="AH391" s="35"/>
      <c r="AI391" s="35"/>
      <c r="AJ391" s="35"/>
      <c r="AK391" s="35"/>
      <c r="AL391" s="35"/>
      <c r="AM391" s="157"/>
      <c r="AN391" s="157"/>
      <c r="AO391" s="157"/>
      <c r="AP391" s="157"/>
      <c r="AQ391" s="157"/>
      <c r="AR391" s="157"/>
      <c r="AS391" s="157"/>
      <c r="AT391" s="157"/>
      <c r="AU391" s="157"/>
      <c r="AV391" s="157"/>
      <c r="AW391" s="157"/>
      <c r="AX391" s="157"/>
      <c r="AY391" s="157"/>
      <c r="AZ391" s="157"/>
      <c r="BA391" s="157"/>
      <c r="BB391" s="157"/>
      <c r="BC391" s="157"/>
      <c r="BD391" s="157"/>
      <c r="BF391" s="157"/>
      <c r="BG391" s="157"/>
      <c r="BH391" s="157"/>
      <c r="BI391" s="157"/>
      <c r="CD391" s="157"/>
    </row>
    <row r="392" spans="1:107" x14ac:dyDescent="0.25">
      <c r="AM392" s="157"/>
      <c r="AN392" s="157"/>
      <c r="AO392" s="157"/>
      <c r="AP392" s="157"/>
      <c r="AQ392" s="157"/>
      <c r="AR392" s="157"/>
      <c r="AS392" s="157"/>
      <c r="AT392" s="157"/>
      <c r="AU392" s="157"/>
      <c r="AV392" s="157"/>
      <c r="AW392" s="157"/>
      <c r="AX392" s="157"/>
      <c r="AY392" s="157"/>
      <c r="AZ392" s="157"/>
      <c r="BA392" s="157"/>
      <c r="BB392" s="157"/>
      <c r="BC392" s="157"/>
      <c r="BD392" s="157"/>
      <c r="BE392" s="157"/>
      <c r="BF392" s="157"/>
      <c r="BG392" s="157"/>
      <c r="BH392" s="157"/>
      <c r="BI392" s="157"/>
      <c r="BJ392" s="157"/>
      <c r="BK392" s="157"/>
      <c r="BL392" s="157"/>
      <c r="BM392" s="157"/>
      <c r="BN392" s="157"/>
      <c r="BO392" s="157"/>
      <c r="BP392" s="157"/>
      <c r="BQ392" s="157"/>
      <c r="BR392" s="157"/>
      <c r="BS392" s="157"/>
      <c r="BT392" s="157"/>
      <c r="BU392" s="157"/>
      <c r="BV392" s="157"/>
      <c r="BW392" s="157"/>
      <c r="BX392" s="157"/>
      <c r="BY392" s="157"/>
      <c r="BZ392" s="157"/>
      <c r="CA392" s="157"/>
      <c r="CB392" s="157"/>
      <c r="CC392" s="157"/>
    </row>
    <row r="393" spans="1:107" x14ac:dyDescent="0.25">
      <c r="AM393" s="157"/>
      <c r="AN393" s="157"/>
      <c r="AO393" s="157"/>
      <c r="AP393" s="157"/>
      <c r="AQ393" s="157"/>
      <c r="AR393" s="157"/>
      <c r="AS393" s="157"/>
      <c r="AT393" s="157"/>
      <c r="AU393" s="157"/>
      <c r="AV393" s="157"/>
      <c r="AW393" s="157"/>
      <c r="AX393" s="157"/>
      <c r="AY393" s="157"/>
      <c r="AZ393" s="157"/>
      <c r="BA393" s="157"/>
      <c r="BB393" s="157"/>
      <c r="BC393" s="157"/>
      <c r="BD393" s="157"/>
      <c r="BE393" s="157"/>
      <c r="BF393" s="157"/>
      <c r="BG393" s="157"/>
      <c r="BH393" s="157"/>
      <c r="BI393" s="157"/>
      <c r="BJ393" s="157"/>
      <c r="BK393" s="157"/>
      <c r="BL393" s="157"/>
      <c r="BM393" s="157"/>
      <c r="BN393" s="157"/>
      <c r="BO393" s="157"/>
      <c r="BP393" s="157"/>
      <c r="BQ393" s="157"/>
      <c r="BR393" s="157"/>
      <c r="BS393" s="157"/>
      <c r="BT393" s="157"/>
      <c r="BU393" s="157"/>
      <c r="BV393" s="157"/>
      <c r="BW393" s="157"/>
      <c r="BX393" s="157"/>
      <c r="BY393" s="157"/>
      <c r="BZ393" s="157"/>
      <c r="CA393" s="157"/>
      <c r="CB393" s="157"/>
      <c r="CC393" s="157"/>
    </row>
    <row r="394" spans="1:107" x14ac:dyDescent="0.25">
      <c r="B394" s="7"/>
      <c r="C394" s="7"/>
      <c r="D394" s="7"/>
      <c r="F394" s="7"/>
      <c r="G394" s="7"/>
      <c r="H394" s="7"/>
      <c r="I394" s="7"/>
      <c r="K394" s="7"/>
      <c r="L394" s="7"/>
      <c r="M394" s="7"/>
      <c r="N394" s="7"/>
      <c r="O394" s="7"/>
      <c r="P394" s="7"/>
      <c r="Q394" s="7"/>
      <c r="AM394" s="157"/>
      <c r="AN394" s="157"/>
      <c r="AO394" s="157"/>
      <c r="AP394" s="157"/>
      <c r="AQ394" s="157"/>
      <c r="AR394" s="157"/>
      <c r="AS394" s="157"/>
      <c r="AT394" s="157"/>
      <c r="AU394" s="157"/>
      <c r="AV394" s="157"/>
      <c r="AW394" s="157"/>
      <c r="AX394" s="157"/>
      <c r="AY394" s="157"/>
      <c r="AZ394" s="157"/>
      <c r="BA394" s="157"/>
      <c r="BB394" s="157"/>
      <c r="BC394" s="157"/>
      <c r="BD394" s="157"/>
      <c r="BE394" s="157"/>
      <c r="BF394" s="157"/>
      <c r="BG394" s="157"/>
      <c r="BH394" s="157"/>
      <c r="BI394" s="157"/>
      <c r="BJ394" s="157"/>
      <c r="BK394" s="157"/>
      <c r="BL394" s="157"/>
      <c r="BM394" s="157"/>
      <c r="BN394" s="157"/>
      <c r="BO394" s="157"/>
      <c r="BP394" s="157"/>
      <c r="BQ394" s="157"/>
      <c r="BR394" s="157"/>
      <c r="BS394" s="157"/>
      <c r="BT394" s="157"/>
      <c r="BU394" s="157"/>
      <c r="BV394" s="157"/>
      <c r="BW394" s="157"/>
      <c r="BX394" s="157"/>
      <c r="BY394" s="157"/>
      <c r="BZ394" s="157"/>
      <c r="CA394" s="157"/>
      <c r="CB394" s="157"/>
      <c r="CC394" s="157"/>
      <c r="CD394" s="7"/>
      <c r="CE394" s="7"/>
      <c r="CF394" s="7"/>
      <c r="CG394" s="7"/>
      <c r="CH394" s="7"/>
      <c r="CI394" s="7"/>
      <c r="CJ394" s="7"/>
      <c r="CK394" s="7"/>
      <c r="CL394" s="7"/>
      <c r="CM394" s="7"/>
      <c r="CN394" s="7"/>
      <c r="CO394" s="7"/>
      <c r="CP394" s="7"/>
      <c r="CQ394" s="7"/>
      <c r="CR394" s="7"/>
      <c r="CS394" s="7"/>
      <c r="CT394" s="7"/>
      <c r="CU394" s="7"/>
      <c r="CV394" s="7"/>
      <c r="CW394" s="7"/>
      <c r="CX394" s="7"/>
      <c r="CY394" s="7"/>
      <c r="CZ394" s="7"/>
      <c r="DA394" s="7"/>
      <c r="DB394" s="7"/>
      <c r="DC394" s="7"/>
    </row>
    <row r="395" spans="1:107" x14ac:dyDescent="0.25">
      <c r="B395" s="7"/>
      <c r="C395" s="7"/>
      <c r="D395" s="7"/>
      <c r="F395" s="7"/>
      <c r="G395" s="7"/>
      <c r="H395" s="7"/>
      <c r="I395" s="7"/>
      <c r="K395" s="7"/>
      <c r="L395" s="7"/>
      <c r="M395" s="7"/>
      <c r="N395" s="7"/>
      <c r="O395" s="7"/>
      <c r="P395" s="7"/>
      <c r="Q395" s="7"/>
      <c r="AM395" s="139"/>
      <c r="AN395" s="139"/>
      <c r="AO395" s="139"/>
      <c r="AP395" s="139"/>
      <c r="AQ395" s="139"/>
      <c r="AR395" s="139"/>
      <c r="AS395" s="139"/>
      <c r="AT395" s="139"/>
      <c r="AU395" s="139"/>
      <c r="AV395" s="139"/>
      <c r="AW395" s="139"/>
      <c r="AX395" s="139"/>
      <c r="AY395" s="139"/>
      <c r="AZ395" s="139"/>
      <c r="BA395" s="139"/>
      <c r="BB395" s="139"/>
      <c r="BC395" s="139"/>
      <c r="BD395" s="139"/>
      <c r="BE395" s="139"/>
      <c r="BF395" s="139"/>
      <c r="BG395" s="139"/>
      <c r="BH395" s="139"/>
      <c r="BI395" s="139"/>
      <c r="BJ395" s="139"/>
      <c r="BK395" s="139"/>
      <c r="BL395" s="139"/>
      <c r="BM395" s="139"/>
      <c r="BN395" s="139"/>
      <c r="BO395" s="139"/>
      <c r="BP395" s="139"/>
      <c r="BQ395" s="139"/>
      <c r="BR395" s="139"/>
      <c r="BS395" s="139"/>
      <c r="BT395" s="139"/>
      <c r="BU395" s="139"/>
      <c r="BV395" s="139"/>
      <c r="BW395" s="139"/>
      <c r="BX395" s="139"/>
      <c r="BY395" s="139"/>
      <c r="BZ395" s="139"/>
      <c r="CA395" s="139"/>
      <c r="CB395" s="139"/>
      <c r="CC395" s="139"/>
      <c r="CD395" s="7"/>
      <c r="CE395" s="7"/>
      <c r="CF395" s="7"/>
      <c r="CG395" s="7"/>
      <c r="CH395" s="7"/>
      <c r="CI395" s="7"/>
      <c r="CJ395" s="7"/>
      <c r="CK395" s="7"/>
      <c r="CL395" s="7"/>
      <c r="CM395" s="7"/>
      <c r="CN395" s="7"/>
      <c r="CO395" s="7"/>
      <c r="CP395" s="7"/>
      <c r="CQ395" s="7"/>
      <c r="CR395" s="7"/>
      <c r="CS395" s="7"/>
      <c r="CT395" s="7"/>
      <c r="CU395" s="7"/>
      <c r="CV395" s="7"/>
      <c r="CW395" s="7"/>
      <c r="CX395" s="7"/>
      <c r="CY395" s="7"/>
      <c r="CZ395" s="7"/>
      <c r="DA395" s="7"/>
      <c r="DB395" s="7"/>
      <c r="DC395" s="7"/>
    </row>
  </sheetData>
  <sheetProtection formatCells="0" formatColumns="0" formatRows="0" insertColumns="0" insertRows="0" insertHyperlinks="0" deleteColumns="0" deleteRows="0" sort="0" autoFilter="0" pivotTables="0"/>
  <phoneticPr fontId="0" type="noConversion"/>
  <conditionalFormatting sqref="CE4:CE373">
    <cfRule type="cellIs" dxfId="0" priority="31" stopIfTrue="1" operator="lessThan">
      <formula>0</formula>
    </cfRule>
  </conditionalFormatting>
  <printOptions horizontalCentered="1" verticalCentered="1"/>
  <pageMargins left="0.39370078740157483" right="0.39370078740157483" top="0.59055118110236227" bottom="0.59055118110236227" header="0.51181102362204722" footer="0.51181102362204722"/>
  <pageSetup paperSize="9" scale="75" orientation="portrait" horizontalDpi="120" verticalDpi="144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5779" r:id="rId4" name="CommandButton2">
          <controlPr defaultSize="0" autoLine="0" r:id="rId5">
            <anchor moveWithCells="1">
              <from>
                <xdr:col>0</xdr:col>
                <xdr:colOff>83820</xdr:colOff>
                <xdr:row>0</xdr:row>
                <xdr:rowOff>441960</xdr:rowOff>
              </from>
              <to>
                <xdr:col>0</xdr:col>
                <xdr:colOff>1706880</xdr:colOff>
                <xdr:row>2</xdr:row>
                <xdr:rowOff>38100</xdr:rowOff>
              </to>
            </anchor>
          </controlPr>
        </control>
      </mc:Choice>
      <mc:Fallback>
        <control shapeId="285779" r:id="rId4" name="CommandButton2"/>
      </mc:Fallback>
    </mc:AlternateContent>
    <mc:AlternateContent xmlns:mc="http://schemas.openxmlformats.org/markup-compatibility/2006">
      <mc:Choice Requires="x14">
        <control shapeId="285778" r:id="rId6" name="CommandButton1">
          <controlPr defaultSize="0" autoLine="0" r:id="rId7">
            <anchor moveWithCells="1">
              <from>
                <xdr:col>0</xdr:col>
                <xdr:colOff>68580</xdr:colOff>
                <xdr:row>0</xdr:row>
                <xdr:rowOff>45720</xdr:rowOff>
              </from>
              <to>
                <xdr:col>0</xdr:col>
                <xdr:colOff>1714500</xdr:colOff>
                <xdr:row>0</xdr:row>
                <xdr:rowOff>419100</xdr:rowOff>
              </to>
            </anchor>
          </controlPr>
        </control>
      </mc:Choice>
      <mc:Fallback>
        <control shapeId="285778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отгрузка</vt:lpstr>
      <vt:lpstr>склад</vt:lpstr>
      <vt:lpstr>отгрузка!Область_печати</vt:lpstr>
      <vt:lpstr>склад!Область_печати</vt:lpstr>
    </vt:vector>
  </TitlesOfParts>
  <Company>The Firm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Office-pc</cp:lastModifiedBy>
  <cp:lastPrinted>2020-01-08T08:36:04Z</cp:lastPrinted>
  <dcterms:created xsi:type="dcterms:W3CDTF">2002-05-06T11:33:47Z</dcterms:created>
  <dcterms:modified xsi:type="dcterms:W3CDTF">2022-02-01T10:05:50Z</dcterms:modified>
</cp:coreProperties>
</file>